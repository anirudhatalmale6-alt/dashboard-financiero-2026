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 EN DOLARES" sheetId="1" state="visible" r:id="rId3"/>
    <sheet name="VENTA EN PESOS" sheetId="2" state="visible" r:id="rId4"/>
    <sheet name="CREDITOS EN DOLARES" sheetId="3" state="visible" r:id="rId5"/>
    <sheet name="CREDITOS EN PESOS" sheetId="4" state="visible" r:id="rId6"/>
    <sheet name="ACUERD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<sst xmlns="http://schemas.openxmlformats.org/spreadsheetml/2006/main" count="209" uniqueCount="73">
  <si>
    <t xml:space="preserve">VENTA EN DOLARES</t>
  </si>
  <si>
    <t xml:space="preserve">Ventas en dólares — 1er cuota al momento de la venta</t>
  </si>
  <si>
    <t xml:space="preserve">VENDEDOR</t>
  </si>
  <si>
    <t xml:space="preserve">CLIENTES</t>
  </si>
  <si>
    <t xml:space="preserve">DETALLE</t>
  </si>
  <si>
    <t xml:space="preserve">FECHA VENTA</t>
  </si>
  <si>
    <t xml:space="preserve">FECHA ENTREGA</t>
  </si>
  <si>
    <t xml:space="preserve">COSTO</t>
  </si>
  <si>
    <t xml:space="preserve">PROVEEDOR</t>
  </si>
  <si>
    <t xml:space="preserve">INVERSOR</t>
  </si>
  <si>
    <t xml:space="preserve">CUOTAS</t>
  </si>
  <si>
    <t xml:space="preserve">VALOR CUOTA</t>
  </si>
  <si>
    <t xml:space="preserve">VENTA</t>
  </si>
  <si>
    <t xml:space="preserve">ACUERDO</t>
  </si>
  <si>
    <t xml:space="preserve">% COMISIÓN</t>
  </si>
  <si>
    <t xml:space="preserve">COMISIÓN</t>
  </si>
  <si>
    <t xml:space="preserve">PAGA 1er CUOTA</t>
  </si>
  <si>
    <t xml:space="preserve">ESTADO</t>
  </si>
  <si>
    <t xml:space="preserve">CUOTA 1</t>
  </si>
  <si>
    <t xml:space="preserve">CUOTA 2</t>
  </si>
  <si>
    <t xml:space="preserve">CUOTA 3</t>
  </si>
  <si>
    <t xml:space="preserve">CUOTA 4</t>
  </si>
  <si>
    <t xml:space="preserve">CUOTA 5</t>
  </si>
  <si>
    <t xml:space="preserve">CUOTA 6</t>
  </si>
  <si>
    <t xml:space="preserve">CUOTA 7</t>
  </si>
  <si>
    <t xml:space="preserve">CUOTA 8</t>
  </si>
  <si>
    <t xml:space="preserve">CUOTA 9</t>
  </si>
  <si>
    <t xml:space="preserve">CUOTA 10</t>
  </si>
  <si>
    <t xml:space="preserve">CUOTA 11</t>
  </si>
  <si>
    <t xml:space="preserve">CUOTA 12</t>
  </si>
  <si>
    <t xml:space="preserve">CUOTA 13</t>
  </si>
  <si>
    <t xml:space="preserve">CUOTA 14</t>
  </si>
  <si>
    <t xml:space="preserve">CUOTA 15</t>
  </si>
  <si>
    <t xml:space="preserve">CUOTA 16</t>
  </si>
  <si>
    <t xml:space="preserve">CUOTA 17</t>
  </si>
  <si>
    <t xml:space="preserve">CUOTA 18</t>
  </si>
  <si>
    <t xml:space="preserve">CUOTA 19</t>
  </si>
  <si>
    <t xml:space="preserve">CUOTA 20</t>
  </si>
  <si>
    <t xml:space="preserve">CUOTA 21</t>
  </si>
  <si>
    <t xml:space="preserve">CUOTA 22</t>
  </si>
  <si>
    <t xml:space="preserve">CUOTA 23</t>
  </si>
  <si>
    <t xml:space="preserve">CUOTA 24</t>
  </si>
  <si>
    <t xml:space="preserve">COBRADO</t>
  </si>
  <si>
    <t xml:space="preserve">RESTA COBRAR</t>
  </si>
  <si>
    <t xml:space="preserve">GANANCIA NETA</t>
  </si>
  <si>
    <t xml:space="preserve">VENTA EN PESOS</t>
  </si>
  <si>
    <t xml:space="preserve">Ventas en pesos — 1er cuota al momento de la venta</t>
  </si>
  <si>
    <t xml:space="preserve">CREDITOS EN DOLARES</t>
  </si>
  <si>
    <t xml:space="preserve">Créditos en dólares — 1er cuota a 30 días</t>
  </si>
  <si>
    <t xml:space="preserve">CREDITOS EN PESOS</t>
  </si>
  <si>
    <t xml:space="preserve">Créditos en pesos — 1er cuota a 30 días</t>
  </si>
  <si>
    <t xml:space="preserve">ACUERDOS COMERCIALES</t>
  </si>
  <si>
    <t xml:space="preserve">VENDEDOR / MÓDULO</t>
  </si>
  <si>
    <t xml:space="preserve">TIPO ACUERDO</t>
  </si>
  <si>
    <t xml:space="preserve">NOTAS</t>
  </si>
  <si>
    <t xml:space="preserve">OSITO</t>
  </si>
  <si>
    <t xml:space="preserve">GANANCIA</t>
  </si>
  <si>
    <t xml:space="preserve">50% ganancias para Osito</t>
  </si>
  <si>
    <t xml:space="preserve">MELY</t>
  </si>
  <si>
    <t xml:space="preserve">35% para Mely / 65% para vos</t>
  </si>
  <si>
    <t xml:space="preserve">GONZA</t>
  </si>
  <si>
    <t xml:space="preserve">50/50</t>
  </si>
  <si>
    <t xml:space="preserve">PATITO</t>
  </si>
  <si>
    <t xml:space="preserve">LINEA 314</t>
  </si>
  <si>
    <t xml:space="preserve">BRUTO</t>
  </si>
  <si>
    <t xml:space="preserve">5% sobre bruto total</t>
  </si>
  <si>
    <t xml:space="preserve">TINO</t>
  </si>
  <si>
    <t xml:space="preserve">ESPECIAL</t>
  </si>
  <si>
    <t xml:space="preserve">3% mensual hasta cubrir capital + intereses</t>
  </si>
  <si>
    <t xml:space="preserve">TOBIAS</t>
  </si>
  <si>
    <t xml:space="preserve">VENTA DIRECTA</t>
  </si>
  <si>
    <t xml:space="preserve">N/A</t>
  </si>
  <si>
    <t xml:space="preserve">100% tuyo — sin comisión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</si>
</sst>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D4A853"/>
      <name val="Arial"/>
      <family val="0"/>
      <charset val="1"/>
    </font>
    <font>
      <i val="true"/>
      <sz val="10"/>
      <color rgb="FF9A98A0"/>
      <name val="Arial"/>
      <family val="0"/>
      <charset val="1"/>
    </font>
    <font>
      <b val="true"/>
      <sz val="9"/>
      <color rgb="FFE8E6E3"/>
      <name val="Arial"/>
      <family val="0"/>
      <charset val="1"/>
    </font>
    <font>
      <sz val="10"/>
      <color rgb="FFE8E6E3"/>
      <name val="Arial"/>
      <family val="0"/>
      <charset val="1"/>
    </font>
    <font>
      <b val="true"/>
      <sz val="10"/>
      <color rgb="FFE8E6E3"/>
      <name val="Arial"/>
      <family val="0"/>
      <charset val="1"/>
    </font>
    <font>
      <sz val="11"/>
      <color rgb="FFE8E6E3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B25"/>
        <bgColor rgb="FF1A1A25"/>
      </patternFill>
    </fill>
    <fill>
      <patternFill patternType="solid">
        <fgColor rgb="FF2A2B3A"/>
        <bgColor rgb="FF1E2838"/>
      </patternFill>
    </fill>
    <fill>
      <patternFill patternType="solid">
        <fgColor rgb="FF1E2838"/>
        <bgColor rgb="FF1A2332"/>
      </patternFill>
    </fill>
    <fill>
      <patternFill patternType="solid">
        <fgColor rgb="FF16171F"/>
        <bgColor rgb="FF1A1A25"/>
      </patternFill>
    </fill>
    <fill>
      <patternFill patternType="solid">
        <fgColor rgb="FF1E1E2A"/>
        <bgColor rgb="FF1A1B25"/>
      </patternFill>
    </fill>
    <fill>
      <patternFill patternType="solid">
        <fgColor rgb="FF1A2332"/>
        <bgColor rgb="FF1E2838"/>
      </patternFill>
    </fill>
    <fill>
      <patternFill patternType="solid">
        <fgColor rgb="FF12131A"/>
        <bgColor rgb="FF16171F"/>
      </patternFill>
    </fill>
    <fill>
      <patternFill patternType="solid">
        <fgColor rgb="FF1A1A25"/>
        <bgColor rgb="FF1A1B2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A3B4A"/>
      </left>
      <right style="thin">
        <color rgb="FF3A3B4A"/>
      </right>
      <top style="thin">
        <color rgb="FF3A3B4A"/>
      </top>
      <bottom style="thin">
        <color rgb="FF3A3B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34D399"/>
      </font>
      <fill>
        <patternFill>
          <bgColor rgb="FF0D3320"/>
        </patternFill>
      </fill>
    </dxf>
    <dxf>
      <font>
        <b val="1"/>
        <color rgb="FFD4A853"/>
      </font>
      <fill>
        <patternFill>
          <bgColor rgb="FF332A0D"/>
        </patternFill>
      </fill>
    </dxf>
    <dxf>
      <font>
        <b val="1"/>
        <color rgb="FF60A5FA"/>
      </font>
      <fill>
        <patternFill>
          <bgColor rgb="FF1A2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1A1A25"/>
      <rgbColor rgb="FF008000"/>
      <rgbColor rgb="FF1A2040"/>
      <rgbColor rgb="FF808000"/>
      <rgbColor rgb="FF1A2332"/>
      <rgbColor rgb="FF008080"/>
      <rgbColor rgb="FFC0C0C0"/>
      <rgbColor rgb="FF808080"/>
      <rgbColor rgb="FF60A5FA"/>
      <rgbColor rgb="FF993366"/>
      <rgbColor rgb="FFE8E6E3"/>
      <rgbColor rgb="FFCCFFFF"/>
      <rgbColor rgb="FF1E1E2A"/>
      <rgbColor rgb="FFFF8080"/>
      <rgbColor rgb="FF0066CC"/>
      <rgbColor rgb="FFCCCCFF"/>
      <rgbColor rgb="FF12131A"/>
      <rgbColor rgb="FFFF00FF"/>
      <rgbColor rgb="FFFFFF00"/>
      <rgbColor rgb="FF00FFFF"/>
      <rgbColor rgb="FF16171F"/>
      <rgbColor rgb="FF1A1B25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4D399"/>
      <rgbColor rgb="FF99CC00"/>
      <rgbColor rgb="FFFFCC00"/>
      <rgbColor rgb="FFD4A853"/>
      <rgbColor rgb="FFFF6600"/>
      <rgbColor rgb="FF666699"/>
      <rgbColor rgb="FF9A98A0"/>
      <rgbColor rgb="FF1E2838"/>
      <rgbColor rgb="FF339966"/>
      <rgbColor rgb="FF0D3320"/>
      <rgbColor rgb="FF332A0D"/>
      <rgbColor rgb="FF993300"/>
      <rgbColor rgb="FF993366"/>
      <rgbColor rgb="FF3A3B4A"/>
      <rgbColor rgb="FF2A2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2" min="10" style="0" width="13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11"/>
    <col collapsed="false" customWidth="true" hidden="false" outlineLevel="0" max="41" min="17" style="0" width="12"/>
    <col collapsed="false" customWidth="true" hidden="false" outlineLevel="0" max="43" min="42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</row>
    <row r="4" customFormat="false" ht="15" hidden="false" customHeight="false" outlineLevel="0" collapsed="false">
      <c r="A4" s="4"/>
      <c r="B4" s="4"/>
      <c r="C4" s="4"/>
      <c r="D4" s="5"/>
      <c r="E4" s="5"/>
      <c r="F4" s="6"/>
      <c r="G4" s="4"/>
      <c r="H4" s="4"/>
      <c r="I4" s="4"/>
      <c r="J4" s="6"/>
      <c r="K4" s="7" t="str">
        <f aca="false">IF(OR(I4="",J4=""),"",I4*J4)</f>
        <v/>
      </c>
      <c r="L4" s="4"/>
      <c r="M4" s="8"/>
      <c r="N4" s="7" t="str">
        <f aca="false">IF(OR(L4="",M4="",K4=""),"",IF(L4="GANANCIA",(K4-F4)*M4,IF(L4="BRUTO",K4*M4,"")))</f>
        <v/>
      </c>
      <c r="O4" s="9" t="str">
        <f aca="false">IF(D4="","",D4)</f>
        <v/>
      </c>
      <c r="P4" s="10" t="str">
        <f aca="false">IF(I4="","",IF(COUNTIF(Q4:AN4,TRUE())&gt;=I4,"PAGADO",IF(COUNTIF(Q4:AN4,TRUE())&gt;0,"PARCIAL","VIGENTE")))</f>
        <v/>
      </c>
      <c r="Q4" s="11" t="str">
        <f aca="false">IF(OR(I4="",I4&lt;1,O4=""),"",O4+0)</f>
        <v/>
      </c>
      <c r="R4" s="11" t="str">
        <f aca="false">IF(OR(I4="",I4&lt;2,O4=""),"",O4+30)</f>
        <v/>
      </c>
      <c r="S4" s="11" t="str">
        <f aca="false">IF(OR(I4="",I4&lt;3,O4=""),"",O4+60)</f>
        <v/>
      </c>
      <c r="T4" s="11" t="str">
        <f aca="false">IF(OR(I4="",I4&lt;4,O4=""),"",O4+90)</f>
        <v/>
      </c>
      <c r="U4" s="11" t="str">
        <f aca="false">IF(OR(I4="",I4&lt;5,O4=""),"",O4+120)</f>
        <v/>
      </c>
      <c r="V4" s="11" t="str">
        <f aca="false">IF(OR(I4="",I4&lt;6,O4=""),"",O4+150)</f>
        <v/>
      </c>
      <c r="W4" s="11" t="str">
        <f aca="false">IF(OR(I4="",I4&lt;7,O4=""),"",O4+180)</f>
        <v/>
      </c>
      <c r="X4" s="11" t="str">
        <f aca="false">IF(OR(I4="",I4&lt;8,O4=""),"",O4+210)</f>
        <v/>
      </c>
      <c r="Y4" s="11" t="str">
        <f aca="false">IF(OR(I4="",I4&lt;9,O4=""),"",O4+240)</f>
        <v/>
      </c>
      <c r="Z4" s="11" t="str">
        <f aca="false">IF(OR(I4="",I4&lt;10,O4=""),"",O4+270)</f>
        <v/>
      </c>
      <c r="AA4" s="11" t="str">
        <f aca="false">IF(OR(I4="",I4&lt;11,O4=""),"",O4+300)</f>
        <v/>
      </c>
      <c r="AB4" s="11" t="str">
        <f aca="false">IF(OR(I4="",I4&lt;12,O4=""),"",O4+330)</f>
        <v/>
      </c>
      <c r="AC4" s="11" t="str">
        <f aca="false">IF(OR(I4="",I4&lt;13,O4=""),"",O4+360)</f>
        <v/>
      </c>
      <c r="AD4" s="11" t="str">
        <f aca="false">IF(OR(I4="",I4&lt;14,O4=""),"",O4+390)</f>
        <v/>
      </c>
      <c r="AE4" s="11" t="str">
        <f aca="false">IF(OR(I4="",I4&lt;15,O4=""),"",O4+420)</f>
        <v/>
      </c>
      <c r="AF4" s="11" t="str">
        <f aca="false">IF(OR(I4="",I4&lt;16,O4=""),"",O4+450)</f>
        <v/>
      </c>
      <c r="AG4" s="11" t="str">
        <f aca="false">IF(OR(I4="",I4&lt;17,O4=""),"",O4+480)</f>
        <v/>
      </c>
      <c r="AH4" s="11" t="str">
        <f aca="false">IF(OR(I4="",I4&lt;18,O4=""),"",O4+510)</f>
        <v/>
      </c>
      <c r="AI4" s="11" t="str">
        <f aca="false">IF(OR(I4="",I4&lt;19,O4=""),"",O4+540)</f>
        <v/>
      </c>
      <c r="AJ4" s="11" t="str">
        <f aca="false">IF(OR(I4="",I4&lt;20,O4=""),"",O4+570)</f>
        <v/>
      </c>
      <c r="AK4" s="11" t="str">
        <f aca="false">IF(OR(I4="",I4&lt;21,O4=""),"",O4+600)</f>
        <v/>
      </c>
      <c r="AL4" s="11" t="str">
        <f aca="false">IF(OR(I4="",I4&lt;22,O4=""),"",O4+630)</f>
        <v/>
      </c>
      <c r="AM4" s="11" t="str">
        <f aca="false">IF(OR(I4="",I4&lt;23,O4=""),"",O4+660)</f>
        <v/>
      </c>
      <c r="AN4" s="11" t="str">
        <f aca="false">IF(OR(I4="",I4&lt;24,O4=""),"",O4+690)</f>
        <v/>
      </c>
      <c r="AO4" s="7" t="str">
        <f aca="false">IF(J4="","",COUNTIF(Q4:AN4,TRUE())*J4)</f>
        <v/>
      </c>
      <c r="AP4" s="7" t="str">
        <f aca="false">IF(K4="","",K4-AO4)</f>
        <v/>
      </c>
      <c r="AQ4" s="7" t="str">
        <f aca="false">IF(K4="","",K4-F4-IF(N4="",0,N4))</f>
        <v/>
      </c>
    </row>
    <row r="5" customFormat="false" ht="15" hidden="false" customHeight="false" outlineLevel="0" collapsed="false">
      <c r="A5" s="12"/>
      <c r="B5" s="12"/>
      <c r="C5" s="12"/>
      <c r="D5" s="13"/>
      <c r="E5" s="13"/>
      <c r="F5" s="14"/>
      <c r="G5" s="12"/>
      <c r="H5" s="12"/>
      <c r="I5" s="12"/>
      <c r="J5" s="14"/>
      <c r="K5" s="15" t="str">
        <f aca="false">IF(OR(I5="",J5=""),"",I5*J5)</f>
        <v/>
      </c>
      <c r="L5" s="12"/>
      <c r="M5" s="16"/>
      <c r="N5" s="15" t="str">
        <f aca="false">IF(OR(L5="",M5="",K5=""),"",IF(L5="GANANCIA",(K5-F5)*M5,IF(L5="BRUTO",K5*M5,"")))</f>
        <v/>
      </c>
      <c r="O5" s="17" t="str">
        <f aca="false">IF(D5="","",D5)</f>
        <v/>
      </c>
      <c r="P5" s="18" t="str">
        <f aca="false">IF(I5="","",IF(COUNTIF(Q5:AN5,TRUE())&gt;=I5,"PAGADO",IF(COUNTIF(Q5:AN5,TRUE())&gt;0,"PARCIAL","VIGENTE")))</f>
        <v/>
      </c>
      <c r="Q5" s="19" t="str">
        <f aca="false">IF(OR(I5="",I5&lt;1,O5=""),"",O5+0)</f>
        <v/>
      </c>
      <c r="R5" s="19" t="str">
        <f aca="false">IF(OR(I5="",I5&lt;2,O5=""),"",O5+30)</f>
        <v/>
      </c>
      <c r="S5" s="19" t="str">
        <f aca="false">IF(OR(I5="",I5&lt;3,O5=""),"",O5+60)</f>
        <v/>
      </c>
      <c r="T5" s="19" t="str">
        <f aca="false">IF(OR(I5="",I5&lt;4,O5=""),"",O5+90)</f>
        <v/>
      </c>
      <c r="U5" s="19" t="str">
        <f aca="false">IF(OR(I5="",I5&lt;5,O5=""),"",O5+120)</f>
        <v/>
      </c>
      <c r="V5" s="19" t="str">
        <f aca="false">IF(OR(I5="",I5&lt;6,O5=""),"",O5+150)</f>
        <v/>
      </c>
      <c r="W5" s="19" t="str">
        <f aca="false">IF(OR(I5="",I5&lt;7,O5=""),"",O5+180)</f>
        <v/>
      </c>
      <c r="X5" s="19" t="str">
        <f aca="false">IF(OR(I5="",I5&lt;8,O5=""),"",O5+210)</f>
        <v/>
      </c>
      <c r="Y5" s="19" t="str">
        <f aca="false">IF(OR(I5="",I5&lt;9,O5=""),"",O5+240)</f>
        <v/>
      </c>
      <c r="Z5" s="19" t="str">
        <f aca="false">IF(OR(I5="",I5&lt;10,O5=""),"",O5+270)</f>
        <v/>
      </c>
      <c r="AA5" s="19" t="str">
        <f aca="false">IF(OR(I5="",I5&lt;11,O5=""),"",O5+300)</f>
        <v/>
      </c>
      <c r="AB5" s="19" t="str">
        <f aca="false">IF(OR(I5="",I5&lt;12,O5=""),"",O5+330)</f>
        <v/>
      </c>
      <c r="AC5" s="19" t="str">
        <f aca="false">IF(OR(I5="",I5&lt;13,O5=""),"",O5+360)</f>
        <v/>
      </c>
      <c r="AD5" s="19" t="str">
        <f aca="false">IF(OR(I5="",I5&lt;14,O5=""),"",O5+390)</f>
        <v/>
      </c>
      <c r="AE5" s="19" t="str">
        <f aca="false">IF(OR(I5="",I5&lt;15,O5=""),"",O5+420)</f>
        <v/>
      </c>
      <c r="AF5" s="19" t="str">
        <f aca="false">IF(OR(I5="",I5&lt;16,O5=""),"",O5+450)</f>
        <v/>
      </c>
      <c r="AG5" s="19" t="str">
        <f aca="false">IF(OR(I5="",I5&lt;17,O5=""),"",O5+480)</f>
        <v/>
      </c>
      <c r="AH5" s="19" t="str">
        <f aca="false">IF(OR(I5="",I5&lt;18,O5=""),"",O5+510)</f>
        <v/>
      </c>
      <c r="AI5" s="19" t="str">
        <f aca="false">IF(OR(I5="",I5&lt;19,O5=""),"",O5+540)</f>
        <v/>
      </c>
      <c r="AJ5" s="19" t="str">
        <f aca="false">IF(OR(I5="",I5&lt;20,O5=""),"",O5+570)</f>
        <v/>
      </c>
      <c r="AK5" s="19" t="str">
        <f aca="false">IF(OR(I5="",I5&lt;21,O5=""),"",O5+600)</f>
        <v/>
      </c>
      <c r="AL5" s="19" t="str">
        <f aca="false">IF(OR(I5="",I5&lt;22,O5=""),"",O5+630)</f>
        <v/>
      </c>
      <c r="AM5" s="19" t="str">
        <f aca="false">IF(OR(I5="",I5&lt;23,O5=""),"",O5+660)</f>
        <v/>
      </c>
      <c r="AN5" s="19" t="str">
        <f aca="false">IF(OR(I5="",I5&lt;24,O5=""),"",O5+690)</f>
        <v/>
      </c>
      <c r="AO5" s="15" t="str">
        <f aca="false">IF(J5="","",COUNTIF(Q5:AN5,TRUE())*J5)</f>
        <v/>
      </c>
      <c r="AP5" s="15" t="str">
        <f aca="false">IF(K5="","",K5-AO5)</f>
        <v/>
      </c>
      <c r="AQ5" s="15" t="str">
        <f aca="false">IF(K5="","",K5-F5-IF(N5="",0,N5))</f>
        <v/>
      </c>
    </row>
    <row r="6" customFormat="false" ht="15" hidden="false" customHeight="false" outlineLevel="0" collapsed="false">
      <c r="A6" s="4"/>
      <c r="B6" s="4"/>
      <c r="C6" s="4"/>
      <c r="D6" s="5"/>
      <c r="E6" s="5"/>
      <c r="F6" s="6"/>
      <c r="G6" s="4"/>
      <c r="H6" s="4"/>
      <c r="I6" s="4"/>
      <c r="J6" s="6"/>
      <c r="K6" s="7" t="str">
        <f aca="false">IF(OR(I6="",J6=""),"",I6*J6)</f>
        <v/>
      </c>
      <c r="L6" s="4"/>
      <c r="M6" s="8"/>
      <c r="N6" s="7" t="str">
        <f aca="false">IF(OR(L6="",M6="",K6=""),"",IF(L6="GANANCIA",(K6-F6)*M6,IF(L6="BRUTO",K6*M6,"")))</f>
        <v/>
      </c>
      <c r="O6" s="9" t="str">
        <f aca="false">IF(D6="","",D6)</f>
        <v/>
      </c>
      <c r="P6" s="10" t="str">
        <f aca="false">IF(I6="","",IF(COUNTIF(Q6:AN6,TRUE())&gt;=I6,"PAGADO",IF(COUNTIF(Q6:AN6,TRUE())&gt;0,"PARCIAL","VIGENTE")))</f>
        <v/>
      </c>
      <c r="Q6" s="11" t="str">
        <f aca="false">IF(OR(I6="",I6&lt;1,O6=""),"",O6+0)</f>
        <v/>
      </c>
      <c r="R6" s="11" t="str">
        <f aca="false">IF(OR(I6="",I6&lt;2,O6=""),"",O6+30)</f>
        <v/>
      </c>
      <c r="S6" s="11" t="str">
        <f aca="false">IF(OR(I6="",I6&lt;3,O6=""),"",O6+60)</f>
        <v/>
      </c>
      <c r="T6" s="11" t="str">
        <f aca="false">IF(OR(I6="",I6&lt;4,O6=""),"",O6+90)</f>
        <v/>
      </c>
      <c r="U6" s="11" t="str">
        <f aca="false">IF(OR(I6="",I6&lt;5,O6=""),"",O6+120)</f>
        <v/>
      </c>
      <c r="V6" s="11" t="str">
        <f aca="false">IF(OR(I6="",I6&lt;6,O6=""),"",O6+150)</f>
        <v/>
      </c>
      <c r="W6" s="11" t="str">
        <f aca="false">IF(OR(I6="",I6&lt;7,O6=""),"",O6+180)</f>
        <v/>
      </c>
      <c r="X6" s="11" t="str">
        <f aca="false">IF(OR(I6="",I6&lt;8,O6=""),"",O6+210)</f>
        <v/>
      </c>
      <c r="Y6" s="11" t="str">
        <f aca="false">IF(OR(I6="",I6&lt;9,O6=""),"",O6+240)</f>
        <v/>
      </c>
      <c r="Z6" s="11" t="str">
        <f aca="false">IF(OR(I6="",I6&lt;10,O6=""),"",O6+270)</f>
        <v/>
      </c>
      <c r="AA6" s="11" t="str">
        <f aca="false">IF(OR(I6="",I6&lt;11,O6=""),"",O6+300)</f>
        <v/>
      </c>
      <c r="AB6" s="11" t="str">
        <f aca="false">IF(OR(I6="",I6&lt;12,O6=""),"",O6+330)</f>
        <v/>
      </c>
      <c r="AC6" s="11" t="str">
        <f aca="false">IF(OR(I6="",I6&lt;13,O6=""),"",O6+360)</f>
        <v/>
      </c>
      <c r="AD6" s="11" t="str">
        <f aca="false">IF(OR(I6="",I6&lt;14,O6=""),"",O6+390)</f>
        <v/>
      </c>
      <c r="AE6" s="11" t="str">
        <f aca="false">IF(OR(I6="",I6&lt;15,O6=""),"",O6+420)</f>
        <v/>
      </c>
      <c r="AF6" s="11" t="str">
        <f aca="false">IF(OR(I6="",I6&lt;16,O6=""),"",O6+450)</f>
        <v/>
      </c>
      <c r="AG6" s="11" t="str">
        <f aca="false">IF(OR(I6="",I6&lt;17,O6=""),"",O6+480)</f>
        <v/>
      </c>
      <c r="AH6" s="11" t="str">
        <f aca="false">IF(OR(I6="",I6&lt;18,O6=""),"",O6+510)</f>
        <v/>
      </c>
      <c r="AI6" s="11" t="str">
        <f aca="false">IF(OR(I6="",I6&lt;19,O6=""),"",O6+540)</f>
        <v/>
      </c>
      <c r="AJ6" s="11" t="str">
        <f aca="false">IF(OR(I6="",I6&lt;20,O6=""),"",O6+570)</f>
        <v/>
      </c>
      <c r="AK6" s="11" t="str">
        <f aca="false">IF(OR(I6="",I6&lt;21,O6=""),"",O6+600)</f>
        <v/>
      </c>
      <c r="AL6" s="11" t="str">
        <f aca="false">IF(OR(I6="",I6&lt;22,O6=""),"",O6+630)</f>
        <v/>
      </c>
      <c r="AM6" s="11" t="str">
        <f aca="false">IF(OR(I6="",I6&lt;23,O6=""),"",O6+660)</f>
        <v/>
      </c>
      <c r="AN6" s="11" t="str">
        <f aca="false">IF(OR(I6="",I6&lt;24,O6=""),"",O6+690)</f>
        <v/>
      </c>
      <c r="AO6" s="7" t="str">
        <f aca="false">IF(J6="","",COUNTIF(Q6:AN6,TRUE())*J6)</f>
        <v/>
      </c>
      <c r="AP6" s="7" t="str">
        <f aca="false">IF(K6="","",K6-AO6)</f>
        <v/>
      </c>
      <c r="AQ6" s="7" t="str">
        <f aca="false">IF(K6="","",K6-F6-IF(N6="",0,N6))</f>
        <v/>
      </c>
    </row>
    <row r="7" customFormat="false" ht="15" hidden="false" customHeight="false" outlineLevel="0" collapsed="false">
      <c r="A7" s="12"/>
      <c r="B7" s="12"/>
      <c r="C7" s="12"/>
      <c r="D7" s="13"/>
      <c r="E7" s="13"/>
      <c r="F7" s="14"/>
      <c r="G7" s="12"/>
      <c r="H7" s="12"/>
      <c r="I7" s="12"/>
      <c r="J7" s="14"/>
      <c r="K7" s="15" t="str">
        <f aca="false">IF(OR(I7="",J7=""),"",I7*J7)</f>
        <v/>
      </c>
      <c r="L7" s="12"/>
      <c r="M7" s="16"/>
      <c r="N7" s="15" t="str">
        <f aca="false">IF(OR(L7="",M7="",K7=""),"",IF(L7="GANANCIA",(K7-F7)*M7,IF(L7="BRUTO",K7*M7,"")))</f>
        <v/>
      </c>
      <c r="O7" s="17" t="str">
        <f aca="false">IF(D7="","",D7)</f>
        <v/>
      </c>
      <c r="P7" s="18" t="str">
        <f aca="false">IF(I7="","",IF(COUNTIF(Q7:AN7,TRUE())&gt;=I7,"PAGADO",IF(COUNTIF(Q7:AN7,TRUE())&gt;0,"PARCIAL","VIGENTE")))</f>
        <v/>
      </c>
      <c r="Q7" s="19" t="str">
        <f aca="false">IF(OR(I7="",I7&lt;1,O7=""),"",O7+0)</f>
        <v/>
      </c>
      <c r="R7" s="19" t="str">
        <f aca="false">IF(OR(I7="",I7&lt;2,O7=""),"",O7+30)</f>
        <v/>
      </c>
      <c r="S7" s="19" t="str">
        <f aca="false">IF(OR(I7="",I7&lt;3,O7=""),"",O7+60)</f>
        <v/>
      </c>
      <c r="T7" s="19" t="str">
        <f aca="false">IF(OR(I7="",I7&lt;4,O7=""),"",O7+90)</f>
        <v/>
      </c>
      <c r="U7" s="19" t="str">
        <f aca="false">IF(OR(I7="",I7&lt;5,O7=""),"",O7+120)</f>
        <v/>
      </c>
      <c r="V7" s="19" t="str">
        <f aca="false">IF(OR(I7="",I7&lt;6,O7=""),"",O7+150)</f>
        <v/>
      </c>
      <c r="W7" s="19" t="str">
        <f aca="false">IF(OR(I7="",I7&lt;7,O7=""),"",O7+180)</f>
        <v/>
      </c>
      <c r="X7" s="19" t="str">
        <f aca="false">IF(OR(I7="",I7&lt;8,O7=""),"",O7+210)</f>
        <v/>
      </c>
      <c r="Y7" s="19" t="str">
        <f aca="false">IF(OR(I7="",I7&lt;9,O7=""),"",O7+240)</f>
        <v/>
      </c>
      <c r="Z7" s="19" t="str">
        <f aca="false">IF(OR(I7="",I7&lt;10,O7=""),"",O7+270)</f>
        <v/>
      </c>
      <c r="AA7" s="19" t="str">
        <f aca="false">IF(OR(I7="",I7&lt;11,O7=""),"",O7+300)</f>
        <v/>
      </c>
      <c r="AB7" s="19" t="str">
        <f aca="false">IF(OR(I7="",I7&lt;12,O7=""),"",O7+330)</f>
        <v/>
      </c>
      <c r="AC7" s="19" t="str">
        <f aca="false">IF(OR(I7="",I7&lt;13,O7=""),"",O7+360)</f>
        <v/>
      </c>
      <c r="AD7" s="19" t="str">
        <f aca="false">IF(OR(I7="",I7&lt;14,O7=""),"",O7+390)</f>
        <v/>
      </c>
      <c r="AE7" s="19" t="str">
        <f aca="false">IF(OR(I7="",I7&lt;15,O7=""),"",O7+420)</f>
        <v/>
      </c>
      <c r="AF7" s="19" t="str">
        <f aca="false">IF(OR(I7="",I7&lt;16,O7=""),"",O7+450)</f>
        <v/>
      </c>
      <c r="AG7" s="19" t="str">
        <f aca="false">IF(OR(I7="",I7&lt;17,O7=""),"",O7+480)</f>
        <v/>
      </c>
      <c r="AH7" s="19" t="str">
        <f aca="false">IF(OR(I7="",I7&lt;18,O7=""),"",O7+510)</f>
        <v/>
      </c>
      <c r="AI7" s="19" t="str">
        <f aca="false">IF(OR(I7="",I7&lt;19,O7=""),"",O7+540)</f>
        <v/>
      </c>
      <c r="AJ7" s="19" t="str">
        <f aca="false">IF(OR(I7="",I7&lt;20,O7=""),"",O7+570)</f>
        <v/>
      </c>
      <c r="AK7" s="19" t="str">
        <f aca="false">IF(OR(I7="",I7&lt;21,O7=""),"",O7+600)</f>
        <v/>
      </c>
      <c r="AL7" s="19" t="str">
        <f aca="false">IF(OR(I7="",I7&lt;22,O7=""),"",O7+630)</f>
        <v/>
      </c>
      <c r="AM7" s="19" t="str">
        <f aca="false">IF(OR(I7="",I7&lt;23,O7=""),"",O7+660)</f>
        <v/>
      </c>
      <c r="AN7" s="19" t="str">
        <f aca="false">IF(OR(I7="",I7&lt;24,O7=""),"",O7+690)</f>
        <v/>
      </c>
      <c r="AO7" s="15" t="str">
        <f aca="false">IF(J7="","",COUNTIF(Q7:AN7,TRUE())*J7)</f>
        <v/>
      </c>
      <c r="AP7" s="15" t="str">
        <f aca="false">IF(K7="","",K7-AO7)</f>
        <v/>
      </c>
      <c r="AQ7" s="15" t="str">
        <f aca="false">IF(K7="","",K7-F7-IF(N7="",0,N7))</f>
        <v/>
      </c>
    </row>
    <row r="8" customFormat="false" ht="15" hidden="false" customHeight="false" outlineLevel="0" collapsed="false">
      <c r="A8" s="4"/>
      <c r="B8" s="4"/>
      <c r="C8" s="4"/>
      <c r="D8" s="5"/>
      <c r="E8" s="5"/>
      <c r="F8" s="6"/>
      <c r="G8" s="4"/>
      <c r="H8" s="4"/>
      <c r="I8" s="4"/>
      <c r="J8" s="6"/>
      <c r="K8" s="7" t="str">
        <f aca="false">IF(OR(I8="",J8=""),"",I8*J8)</f>
        <v/>
      </c>
      <c r="L8" s="4"/>
      <c r="M8" s="8"/>
      <c r="N8" s="7" t="str">
        <f aca="false">IF(OR(L8="",M8="",K8=""),"",IF(L8="GANANCIA",(K8-F8)*M8,IF(L8="BRUTO",K8*M8,"")))</f>
        <v/>
      </c>
      <c r="O8" s="9" t="str">
        <f aca="false">IF(D8="","",D8)</f>
        <v/>
      </c>
      <c r="P8" s="10" t="str">
        <f aca="false">IF(I8="","",IF(COUNTIF(Q8:AN8,TRUE())&gt;=I8,"PAGADO",IF(COUNTIF(Q8:AN8,TRUE())&gt;0,"PARCIAL","VIGENTE")))</f>
        <v/>
      </c>
      <c r="Q8" s="11" t="str">
        <f aca="false">IF(OR(I8="",I8&lt;1,O8=""),"",O8+0)</f>
        <v/>
      </c>
      <c r="R8" s="11" t="str">
        <f aca="false">IF(OR(I8="",I8&lt;2,O8=""),"",O8+30)</f>
        <v/>
      </c>
      <c r="S8" s="11" t="str">
        <f aca="false">IF(OR(I8="",I8&lt;3,O8=""),"",O8+60)</f>
        <v/>
      </c>
      <c r="T8" s="11" t="str">
        <f aca="false">IF(OR(I8="",I8&lt;4,O8=""),"",O8+90)</f>
        <v/>
      </c>
      <c r="U8" s="11" t="str">
        <f aca="false">IF(OR(I8="",I8&lt;5,O8=""),"",O8+120)</f>
        <v/>
      </c>
      <c r="V8" s="11" t="str">
        <f aca="false">IF(OR(I8="",I8&lt;6,O8=""),"",O8+150)</f>
        <v/>
      </c>
      <c r="W8" s="11" t="str">
        <f aca="false">IF(OR(I8="",I8&lt;7,O8=""),"",O8+180)</f>
        <v/>
      </c>
      <c r="X8" s="11" t="str">
        <f aca="false">IF(OR(I8="",I8&lt;8,O8=""),"",O8+210)</f>
        <v/>
      </c>
      <c r="Y8" s="11" t="str">
        <f aca="false">IF(OR(I8="",I8&lt;9,O8=""),"",O8+240)</f>
        <v/>
      </c>
      <c r="Z8" s="11" t="str">
        <f aca="false">IF(OR(I8="",I8&lt;10,O8=""),"",O8+270)</f>
        <v/>
      </c>
      <c r="AA8" s="11" t="str">
        <f aca="false">IF(OR(I8="",I8&lt;11,O8=""),"",O8+300)</f>
        <v/>
      </c>
      <c r="AB8" s="11" t="str">
        <f aca="false">IF(OR(I8="",I8&lt;12,O8=""),"",O8+330)</f>
        <v/>
      </c>
      <c r="AC8" s="11" t="str">
        <f aca="false">IF(OR(I8="",I8&lt;13,O8=""),"",O8+360)</f>
        <v/>
      </c>
      <c r="AD8" s="11" t="str">
        <f aca="false">IF(OR(I8="",I8&lt;14,O8=""),"",O8+390)</f>
        <v/>
      </c>
      <c r="AE8" s="11" t="str">
        <f aca="false">IF(OR(I8="",I8&lt;15,O8=""),"",O8+420)</f>
        <v/>
      </c>
      <c r="AF8" s="11" t="str">
        <f aca="false">IF(OR(I8="",I8&lt;16,O8=""),"",O8+450)</f>
        <v/>
      </c>
      <c r="AG8" s="11" t="str">
        <f aca="false">IF(OR(I8="",I8&lt;17,O8=""),"",O8+480)</f>
        <v/>
      </c>
      <c r="AH8" s="11" t="str">
        <f aca="false">IF(OR(I8="",I8&lt;18,O8=""),"",O8+510)</f>
        <v/>
      </c>
      <c r="AI8" s="11" t="str">
        <f aca="false">IF(OR(I8="",I8&lt;19,O8=""),"",O8+540)</f>
        <v/>
      </c>
      <c r="AJ8" s="11" t="str">
        <f aca="false">IF(OR(I8="",I8&lt;20,O8=""),"",O8+570)</f>
        <v/>
      </c>
      <c r="AK8" s="11" t="str">
        <f aca="false">IF(OR(I8="",I8&lt;21,O8=""),"",O8+600)</f>
        <v/>
      </c>
      <c r="AL8" s="11" t="str">
        <f aca="false">IF(OR(I8="",I8&lt;22,O8=""),"",O8+630)</f>
        <v/>
      </c>
      <c r="AM8" s="11" t="str">
        <f aca="false">IF(OR(I8="",I8&lt;23,O8=""),"",O8+660)</f>
        <v/>
      </c>
      <c r="AN8" s="11" t="str">
        <f aca="false">IF(OR(I8="",I8&lt;24,O8=""),"",O8+690)</f>
        <v/>
      </c>
      <c r="AO8" s="7" t="str">
        <f aca="false">IF(J8="","",COUNTIF(Q8:AN8,TRUE())*J8)</f>
        <v/>
      </c>
      <c r="AP8" s="7" t="str">
        <f aca="false">IF(K8="","",K8-AO8)</f>
        <v/>
      </c>
      <c r="AQ8" s="7" t="str">
        <f aca="false">IF(K8="","",K8-F8-IF(N8="",0,N8))</f>
        <v/>
      </c>
    </row>
    <row r="9" customFormat="false" ht="15" hidden="false" customHeight="false" outlineLevel="0" collapsed="false">
      <c r="A9" s="12"/>
      <c r="B9" s="12"/>
      <c r="C9" s="12"/>
      <c r="D9" s="13"/>
      <c r="E9" s="13"/>
      <c r="F9" s="14"/>
      <c r="G9" s="12"/>
      <c r="H9" s="12"/>
      <c r="I9" s="12"/>
      <c r="J9" s="14"/>
      <c r="K9" s="15" t="str">
        <f aca="false">IF(OR(I9="",J9=""),"",I9*J9)</f>
        <v/>
      </c>
      <c r="L9" s="12"/>
      <c r="M9" s="16"/>
      <c r="N9" s="15" t="str">
        <f aca="false">IF(OR(L9="",M9="",K9=""),"",IF(L9="GANANCIA",(K9-F9)*M9,IF(L9="BRUTO",K9*M9,"")))</f>
        <v/>
      </c>
      <c r="O9" s="17" t="str">
        <f aca="false">IF(D9="","",D9)</f>
        <v/>
      </c>
      <c r="P9" s="18" t="str">
        <f aca="false">IF(I9="","",IF(COUNTIF(Q9:AN9,TRUE())&gt;=I9,"PAGADO",IF(COUNTIF(Q9:AN9,TRUE())&gt;0,"PARCIAL","VIGENTE")))</f>
        <v/>
      </c>
      <c r="Q9" s="19" t="str">
        <f aca="false">IF(OR(I9="",I9&lt;1,O9=""),"",O9+0)</f>
        <v/>
      </c>
      <c r="R9" s="19" t="str">
        <f aca="false">IF(OR(I9="",I9&lt;2,O9=""),"",O9+30)</f>
        <v/>
      </c>
      <c r="S9" s="19" t="str">
        <f aca="false">IF(OR(I9="",I9&lt;3,O9=""),"",O9+60)</f>
        <v/>
      </c>
      <c r="T9" s="19" t="str">
        <f aca="false">IF(OR(I9="",I9&lt;4,O9=""),"",O9+90)</f>
        <v/>
      </c>
      <c r="U9" s="19" t="str">
        <f aca="false">IF(OR(I9="",I9&lt;5,O9=""),"",O9+120)</f>
        <v/>
      </c>
      <c r="V9" s="19" t="str">
        <f aca="false">IF(OR(I9="",I9&lt;6,O9=""),"",O9+150)</f>
        <v/>
      </c>
      <c r="W9" s="19" t="str">
        <f aca="false">IF(OR(I9="",I9&lt;7,O9=""),"",O9+180)</f>
        <v/>
      </c>
      <c r="X9" s="19" t="str">
        <f aca="false">IF(OR(I9="",I9&lt;8,O9=""),"",O9+210)</f>
        <v/>
      </c>
      <c r="Y9" s="19" t="str">
        <f aca="false">IF(OR(I9="",I9&lt;9,O9=""),"",O9+240)</f>
        <v/>
      </c>
      <c r="Z9" s="19" t="str">
        <f aca="false">IF(OR(I9="",I9&lt;10,O9=""),"",O9+270)</f>
        <v/>
      </c>
      <c r="AA9" s="19" t="str">
        <f aca="false">IF(OR(I9="",I9&lt;11,O9=""),"",O9+300)</f>
        <v/>
      </c>
      <c r="AB9" s="19" t="str">
        <f aca="false">IF(OR(I9="",I9&lt;12,O9=""),"",O9+330)</f>
        <v/>
      </c>
      <c r="AC9" s="19" t="str">
        <f aca="false">IF(OR(I9="",I9&lt;13,O9=""),"",O9+360)</f>
        <v/>
      </c>
      <c r="AD9" s="19" t="str">
        <f aca="false">IF(OR(I9="",I9&lt;14,O9=""),"",O9+390)</f>
        <v/>
      </c>
      <c r="AE9" s="19" t="str">
        <f aca="false">IF(OR(I9="",I9&lt;15,O9=""),"",O9+420)</f>
        <v/>
      </c>
      <c r="AF9" s="19" t="str">
        <f aca="false">IF(OR(I9="",I9&lt;16,O9=""),"",O9+450)</f>
        <v/>
      </c>
      <c r="AG9" s="19" t="str">
        <f aca="false">IF(OR(I9="",I9&lt;17,O9=""),"",O9+480)</f>
        <v/>
      </c>
      <c r="AH9" s="19" t="str">
        <f aca="false">IF(OR(I9="",I9&lt;18,O9=""),"",O9+510)</f>
        <v/>
      </c>
      <c r="AI9" s="19" t="str">
        <f aca="false">IF(OR(I9="",I9&lt;19,O9=""),"",O9+540)</f>
        <v/>
      </c>
      <c r="AJ9" s="19" t="str">
        <f aca="false">IF(OR(I9="",I9&lt;20,O9=""),"",O9+570)</f>
        <v/>
      </c>
      <c r="AK9" s="19" t="str">
        <f aca="false">IF(OR(I9="",I9&lt;21,O9=""),"",O9+600)</f>
        <v/>
      </c>
      <c r="AL9" s="19" t="str">
        <f aca="false">IF(OR(I9="",I9&lt;22,O9=""),"",O9+630)</f>
        <v/>
      </c>
      <c r="AM9" s="19" t="str">
        <f aca="false">IF(OR(I9="",I9&lt;23,O9=""),"",O9+660)</f>
        <v/>
      </c>
      <c r="AN9" s="19" t="str">
        <f aca="false">IF(OR(I9="",I9&lt;24,O9=""),"",O9+690)</f>
        <v/>
      </c>
      <c r="AO9" s="15" t="str">
        <f aca="false">IF(J9="","",COUNTIF(Q9:AN9,TRUE())*J9)</f>
        <v/>
      </c>
      <c r="AP9" s="15" t="str">
        <f aca="false">IF(K9="","",K9-AO9)</f>
        <v/>
      </c>
      <c r="AQ9" s="15" t="str">
        <f aca="false">IF(K9="","",K9-F9-IF(N9="",0,N9))</f>
        <v/>
      </c>
    </row>
    <row r="10" customFormat="false" ht="15" hidden="false" customHeight="false" outlineLevel="0" collapsed="false">
      <c r="A10" s="4"/>
      <c r="B10" s="4"/>
      <c r="C10" s="4"/>
      <c r="D10" s="5"/>
      <c r="E10" s="5"/>
      <c r="F10" s="6"/>
      <c r="G10" s="4"/>
      <c r="H10" s="4"/>
      <c r="I10" s="4"/>
      <c r="J10" s="6"/>
      <c r="K10" s="7" t="str">
        <f aca="false">IF(OR(I10="",J10=""),"",I10*J10)</f>
        <v/>
      </c>
      <c r="L10" s="4"/>
      <c r="M10" s="8"/>
      <c r="N10" s="7" t="str">
        <f aca="false">IF(OR(L10="",M10="",K10=""),"",IF(L10="GANANCIA",(K10-F10)*M10,IF(L10="BRUTO",K10*M10,"")))</f>
        <v/>
      </c>
      <c r="O10" s="9" t="str">
        <f aca="false">IF(D10="","",D10)</f>
        <v/>
      </c>
      <c r="P10" s="10" t="str">
        <f aca="false">IF(I10="","",IF(COUNTIF(Q10:AN10,TRUE())&gt;=I10,"PAGADO",IF(COUNTIF(Q10:AN10,TRUE())&gt;0,"PARCIAL","VIGENTE")))</f>
        <v/>
      </c>
      <c r="Q10" s="11" t="str">
        <f aca="false">IF(OR(I10="",I10&lt;1,O10=""),"",O10+0)</f>
        <v/>
      </c>
      <c r="R10" s="11" t="str">
        <f aca="false">IF(OR(I10="",I10&lt;2,O10=""),"",O10+30)</f>
        <v/>
      </c>
      <c r="S10" s="11" t="str">
        <f aca="false">IF(OR(I10="",I10&lt;3,O10=""),"",O10+60)</f>
        <v/>
      </c>
      <c r="T10" s="11" t="str">
        <f aca="false">IF(OR(I10="",I10&lt;4,O10=""),"",O10+90)</f>
        <v/>
      </c>
      <c r="U10" s="11" t="str">
        <f aca="false">IF(OR(I10="",I10&lt;5,O10=""),"",O10+120)</f>
        <v/>
      </c>
      <c r="V10" s="11" t="str">
        <f aca="false">IF(OR(I10="",I10&lt;6,O10=""),"",O10+150)</f>
        <v/>
      </c>
      <c r="W10" s="11" t="str">
        <f aca="false">IF(OR(I10="",I10&lt;7,O10=""),"",O10+180)</f>
        <v/>
      </c>
      <c r="X10" s="11" t="str">
        <f aca="false">IF(OR(I10="",I10&lt;8,O10=""),"",O10+210)</f>
        <v/>
      </c>
      <c r="Y10" s="11" t="str">
        <f aca="false">IF(OR(I10="",I10&lt;9,O10=""),"",O10+240)</f>
        <v/>
      </c>
      <c r="Z10" s="11" t="str">
        <f aca="false">IF(OR(I10="",I10&lt;10,O10=""),"",O10+270)</f>
        <v/>
      </c>
      <c r="AA10" s="11" t="str">
        <f aca="false">IF(OR(I10="",I10&lt;11,O10=""),"",O10+300)</f>
        <v/>
      </c>
      <c r="AB10" s="11" t="str">
        <f aca="false">IF(OR(I10="",I10&lt;12,O10=""),"",O10+330)</f>
        <v/>
      </c>
      <c r="AC10" s="11" t="str">
        <f aca="false">IF(OR(I10="",I10&lt;13,O10=""),"",O10+360)</f>
        <v/>
      </c>
      <c r="AD10" s="11" t="str">
        <f aca="false">IF(OR(I10="",I10&lt;14,O10=""),"",O10+390)</f>
        <v/>
      </c>
      <c r="AE10" s="11" t="str">
        <f aca="false">IF(OR(I10="",I10&lt;15,O10=""),"",O10+420)</f>
        <v/>
      </c>
      <c r="AF10" s="11" t="str">
        <f aca="false">IF(OR(I10="",I10&lt;16,O10=""),"",O10+450)</f>
        <v/>
      </c>
      <c r="AG10" s="11" t="str">
        <f aca="false">IF(OR(I10="",I10&lt;17,O10=""),"",O10+480)</f>
        <v/>
      </c>
      <c r="AH10" s="11" t="str">
        <f aca="false">IF(OR(I10="",I10&lt;18,O10=""),"",O10+510)</f>
        <v/>
      </c>
      <c r="AI10" s="11" t="str">
        <f aca="false">IF(OR(I10="",I10&lt;19,O10=""),"",O10+540)</f>
        <v/>
      </c>
      <c r="AJ10" s="11" t="str">
        <f aca="false">IF(OR(I10="",I10&lt;20,O10=""),"",O10+570)</f>
        <v/>
      </c>
      <c r="AK10" s="11" t="str">
        <f aca="false">IF(OR(I10="",I10&lt;21,O10=""),"",O10+600)</f>
        <v/>
      </c>
      <c r="AL10" s="11" t="str">
        <f aca="false">IF(OR(I10="",I10&lt;22,O10=""),"",O10+630)</f>
        <v/>
      </c>
      <c r="AM10" s="11" t="str">
        <f aca="false">IF(OR(I10="",I10&lt;23,O10=""),"",O10+660)</f>
        <v/>
      </c>
      <c r="AN10" s="11" t="str">
        <f aca="false">IF(OR(I10="",I10&lt;24,O10=""),"",O10+690)</f>
        <v/>
      </c>
      <c r="AO10" s="7" t="str">
        <f aca="false">IF(J10="","",COUNTIF(Q10:AN10,TRUE())*J10)</f>
        <v/>
      </c>
      <c r="AP10" s="7" t="str">
        <f aca="false">IF(K10="","",K10-AO10)</f>
        <v/>
      </c>
      <c r="AQ10" s="7" t="str">
        <f aca="false">IF(K10="","",K10-F10-IF(N10="",0,N10))</f>
        <v/>
      </c>
    </row>
    <row r="11" customFormat="false" ht="15" hidden="false" customHeight="false" outlineLevel="0" collapsed="false">
      <c r="A11" s="12"/>
      <c r="B11" s="12"/>
      <c r="C11" s="12"/>
      <c r="D11" s="13"/>
      <c r="E11" s="13"/>
      <c r="F11" s="14"/>
      <c r="G11" s="12"/>
      <c r="H11" s="12"/>
      <c r="I11" s="12"/>
      <c r="J11" s="14"/>
      <c r="K11" s="15" t="str">
        <f aca="false">IF(OR(I11="",J11=""),"",I11*J11)</f>
        <v/>
      </c>
      <c r="L11" s="12"/>
      <c r="M11" s="16"/>
      <c r="N11" s="15" t="str">
        <f aca="false">IF(OR(L11="",M11="",K11=""),"",IF(L11="GANANCIA",(K11-F11)*M11,IF(L11="BRUTO",K11*M11,"")))</f>
        <v/>
      </c>
      <c r="O11" s="17" t="str">
        <f aca="false">IF(D11="","",D11)</f>
        <v/>
      </c>
      <c r="P11" s="18" t="str">
        <f aca="false">IF(I11="","",IF(COUNTIF(Q11:AN11,TRUE())&gt;=I11,"PAGADO",IF(COUNTIF(Q11:AN11,TRUE())&gt;0,"PARCIAL","VIGENTE")))</f>
        <v/>
      </c>
      <c r="Q11" s="19" t="str">
        <f aca="false">IF(OR(I11="",I11&lt;1,O11=""),"",O11+0)</f>
        <v/>
      </c>
      <c r="R11" s="19" t="str">
        <f aca="false">IF(OR(I11="",I11&lt;2,O11=""),"",O11+30)</f>
        <v/>
      </c>
      <c r="S11" s="19" t="str">
        <f aca="false">IF(OR(I11="",I11&lt;3,O11=""),"",O11+60)</f>
        <v/>
      </c>
      <c r="T11" s="19" t="str">
        <f aca="false">IF(OR(I11="",I11&lt;4,O11=""),"",O11+90)</f>
        <v/>
      </c>
      <c r="U11" s="19" t="str">
        <f aca="false">IF(OR(I11="",I11&lt;5,O11=""),"",O11+120)</f>
        <v/>
      </c>
      <c r="V11" s="19" t="str">
        <f aca="false">IF(OR(I11="",I11&lt;6,O11=""),"",O11+150)</f>
        <v/>
      </c>
      <c r="W11" s="19" t="str">
        <f aca="false">IF(OR(I11="",I11&lt;7,O11=""),"",O11+180)</f>
        <v/>
      </c>
      <c r="X11" s="19" t="str">
        <f aca="false">IF(OR(I11="",I11&lt;8,O11=""),"",O11+210)</f>
        <v/>
      </c>
      <c r="Y11" s="19" t="str">
        <f aca="false">IF(OR(I11="",I11&lt;9,O11=""),"",O11+240)</f>
        <v/>
      </c>
      <c r="Z11" s="19" t="str">
        <f aca="false">IF(OR(I11="",I11&lt;10,O11=""),"",O11+270)</f>
        <v/>
      </c>
      <c r="AA11" s="19" t="str">
        <f aca="false">IF(OR(I11="",I11&lt;11,O11=""),"",O11+300)</f>
        <v/>
      </c>
      <c r="AB11" s="19" t="str">
        <f aca="false">IF(OR(I11="",I11&lt;12,O11=""),"",O11+330)</f>
        <v/>
      </c>
      <c r="AC11" s="19" t="str">
        <f aca="false">IF(OR(I11="",I11&lt;13,O11=""),"",O11+360)</f>
        <v/>
      </c>
      <c r="AD11" s="19" t="str">
        <f aca="false">IF(OR(I11="",I11&lt;14,O11=""),"",O11+390)</f>
        <v/>
      </c>
      <c r="AE11" s="19" t="str">
        <f aca="false">IF(OR(I11="",I11&lt;15,O11=""),"",O11+420)</f>
        <v/>
      </c>
      <c r="AF11" s="19" t="str">
        <f aca="false">IF(OR(I11="",I11&lt;16,O11=""),"",O11+450)</f>
        <v/>
      </c>
      <c r="AG11" s="19" t="str">
        <f aca="false">IF(OR(I11="",I11&lt;17,O11=""),"",O11+480)</f>
        <v/>
      </c>
      <c r="AH11" s="19" t="str">
        <f aca="false">IF(OR(I11="",I11&lt;18,O11=""),"",O11+510)</f>
        <v/>
      </c>
      <c r="AI11" s="19" t="str">
        <f aca="false">IF(OR(I11="",I11&lt;19,O11=""),"",O11+540)</f>
        <v/>
      </c>
      <c r="AJ11" s="19" t="str">
        <f aca="false">IF(OR(I11="",I11&lt;20,O11=""),"",O11+570)</f>
        <v/>
      </c>
      <c r="AK11" s="19" t="str">
        <f aca="false">IF(OR(I11="",I11&lt;21,O11=""),"",O11+600)</f>
        <v/>
      </c>
      <c r="AL11" s="19" t="str">
        <f aca="false">IF(OR(I11="",I11&lt;22,O11=""),"",O11+630)</f>
        <v/>
      </c>
      <c r="AM11" s="19" t="str">
        <f aca="false">IF(OR(I11="",I11&lt;23,O11=""),"",O11+660)</f>
        <v/>
      </c>
      <c r="AN11" s="19" t="str">
        <f aca="false">IF(OR(I11="",I11&lt;24,O11=""),"",O11+690)</f>
        <v/>
      </c>
      <c r="AO11" s="15" t="str">
        <f aca="false">IF(J11="","",COUNTIF(Q11:AN11,TRUE())*J11)</f>
        <v/>
      </c>
      <c r="AP11" s="15" t="str">
        <f aca="false">IF(K11="","",K11-AO11)</f>
        <v/>
      </c>
      <c r="AQ11" s="15" t="str">
        <f aca="false">IF(K11="","",K11-F11-IF(N11="",0,N11))</f>
        <v/>
      </c>
    </row>
    <row r="12" customFormat="false" ht="15" hidden="false" customHeight="false" outlineLevel="0" collapsed="false">
      <c r="A12" s="4"/>
      <c r="B12" s="4"/>
      <c r="C12" s="4"/>
      <c r="D12" s="5"/>
      <c r="E12" s="5"/>
      <c r="F12" s="6"/>
      <c r="G12" s="4"/>
      <c r="H12" s="4"/>
      <c r="I12" s="4"/>
      <c r="J12" s="6"/>
      <c r="K12" s="7" t="str">
        <f aca="false">IF(OR(I12="",J12=""),"",I12*J12)</f>
        <v/>
      </c>
      <c r="L12" s="4"/>
      <c r="M12" s="8"/>
      <c r="N12" s="7" t="str">
        <f aca="false">IF(OR(L12="",M12="",K12=""),"",IF(L12="GANANCIA",(K12-F12)*M12,IF(L12="BRUTO",K12*M12,"")))</f>
        <v/>
      </c>
      <c r="O12" s="9" t="str">
        <f aca="false">IF(D12="","",D12)</f>
        <v/>
      </c>
      <c r="P12" s="10" t="str">
        <f aca="false">IF(I12="","",IF(COUNTIF(Q12:AN12,TRUE())&gt;=I12,"PAGADO",IF(COUNTIF(Q12:AN12,TRUE())&gt;0,"PARCIAL","VIGENTE")))</f>
        <v/>
      </c>
      <c r="Q12" s="11" t="str">
        <f aca="false">IF(OR(I12="",I12&lt;1,O12=""),"",O12+0)</f>
        <v/>
      </c>
      <c r="R12" s="11" t="str">
        <f aca="false">IF(OR(I12="",I12&lt;2,O12=""),"",O12+30)</f>
        <v/>
      </c>
      <c r="S12" s="11" t="str">
        <f aca="false">IF(OR(I12="",I12&lt;3,O12=""),"",O12+60)</f>
        <v/>
      </c>
      <c r="T12" s="11" t="str">
        <f aca="false">IF(OR(I12="",I12&lt;4,O12=""),"",O12+90)</f>
        <v/>
      </c>
      <c r="U12" s="11" t="str">
        <f aca="false">IF(OR(I12="",I12&lt;5,O12=""),"",O12+120)</f>
        <v/>
      </c>
      <c r="V12" s="11" t="str">
        <f aca="false">IF(OR(I12="",I12&lt;6,O12=""),"",O12+150)</f>
        <v/>
      </c>
      <c r="W12" s="11" t="str">
        <f aca="false">IF(OR(I12="",I12&lt;7,O12=""),"",O12+180)</f>
        <v/>
      </c>
      <c r="X12" s="11" t="str">
        <f aca="false">IF(OR(I12="",I12&lt;8,O12=""),"",O12+210)</f>
        <v/>
      </c>
      <c r="Y12" s="11" t="str">
        <f aca="false">IF(OR(I12="",I12&lt;9,O12=""),"",O12+240)</f>
        <v/>
      </c>
      <c r="Z12" s="11" t="str">
        <f aca="false">IF(OR(I12="",I12&lt;10,O12=""),"",O12+270)</f>
        <v/>
      </c>
      <c r="AA12" s="11" t="str">
        <f aca="false">IF(OR(I12="",I12&lt;11,O12=""),"",O12+300)</f>
        <v/>
      </c>
      <c r="AB12" s="11" t="str">
        <f aca="false">IF(OR(I12="",I12&lt;12,O12=""),"",O12+330)</f>
        <v/>
      </c>
      <c r="AC12" s="11" t="str">
        <f aca="false">IF(OR(I12="",I12&lt;13,O12=""),"",O12+360)</f>
        <v/>
      </c>
      <c r="AD12" s="11" t="str">
        <f aca="false">IF(OR(I12="",I12&lt;14,O12=""),"",O12+390)</f>
        <v/>
      </c>
      <c r="AE12" s="11" t="str">
        <f aca="false">IF(OR(I12="",I12&lt;15,O12=""),"",O12+420)</f>
        <v/>
      </c>
      <c r="AF12" s="11" t="str">
        <f aca="false">IF(OR(I12="",I12&lt;16,O12=""),"",O12+450)</f>
        <v/>
      </c>
      <c r="AG12" s="11" t="str">
        <f aca="false">IF(OR(I12="",I12&lt;17,O12=""),"",O12+480)</f>
        <v/>
      </c>
      <c r="AH12" s="11" t="str">
        <f aca="false">IF(OR(I12="",I12&lt;18,O12=""),"",O12+510)</f>
        <v/>
      </c>
      <c r="AI12" s="11" t="str">
        <f aca="false">IF(OR(I12="",I12&lt;19,O12=""),"",O12+540)</f>
        <v/>
      </c>
      <c r="AJ12" s="11" t="str">
        <f aca="false">IF(OR(I12="",I12&lt;20,O12=""),"",O12+570)</f>
        <v/>
      </c>
      <c r="AK12" s="11" t="str">
        <f aca="false">IF(OR(I12="",I12&lt;21,O12=""),"",O12+600)</f>
        <v/>
      </c>
      <c r="AL12" s="11" t="str">
        <f aca="false">IF(OR(I12="",I12&lt;22,O12=""),"",O12+630)</f>
        <v/>
      </c>
      <c r="AM12" s="11" t="str">
        <f aca="false">IF(OR(I12="",I12&lt;23,O12=""),"",O12+660)</f>
        <v/>
      </c>
      <c r="AN12" s="11" t="str">
        <f aca="false">IF(OR(I12="",I12&lt;24,O12=""),"",O12+690)</f>
        <v/>
      </c>
      <c r="AO12" s="7" t="str">
        <f aca="false">IF(J12="","",COUNTIF(Q12:AN12,TRUE())*J12)</f>
        <v/>
      </c>
      <c r="AP12" s="7" t="str">
        <f aca="false">IF(K12="","",K12-AO12)</f>
        <v/>
      </c>
      <c r="AQ12" s="7" t="str">
        <f aca="false">IF(K12="","",K12-F12-IF(N12="",0,N12))</f>
        <v/>
      </c>
    </row>
    <row r="13" customFormat="false" ht="15" hidden="false" customHeight="false" outlineLevel="0" collapsed="false">
      <c r="A13" s="12"/>
      <c r="B13" s="12"/>
      <c r="C13" s="12"/>
      <c r="D13" s="13"/>
      <c r="E13" s="13"/>
      <c r="F13" s="14"/>
      <c r="G13" s="12"/>
      <c r="H13" s="12"/>
      <c r="I13" s="12"/>
      <c r="J13" s="14"/>
      <c r="K13" s="15" t="str">
        <f aca="false">IF(OR(I13="",J13=""),"",I13*J13)</f>
        <v/>
      </c>
      <c r="L13" s="12"/>
      <c r="M13" s="16"/>
      <c r="N13" s="15" t="str">
        <f aca="false">IF(OR(L13="",M13="",K13=""),"",IF(L13="GANANCIA",(K13-F13)*M13,IF(L13="BRUTO",K13*M13,"")))</f>
        <v/>
      </c>
      <c r="O13" s="17" t="str">
        <f aca="false">IF(D13="","",D13)</f>
        <v/>
      </c>
      <c r="P13" s="18" t="str">
        <f aca="false">IF(I13="","",IF(COUNTIF(Q13:AN13,TRUE())&gt;=I13,"PAGADO",IF(COUNTIF(Q13:AN13,TRUE())&gt;0,"PARCIAL","VIGENTE")))</f>
        <v/>
      </c>
      <c r="Q13" s="19" t="str">
        <f aca="false">IF(OR(I13="",I13&lt;1,O13=""),"",O13+0)</f>
        <v/>
      </c>
      <c r="R13" s="19" t="str">
        <f aca="false">IF(OR(I13="",I13&lt;2,O13=""),"",O13+30)</f>
        <v/>
      </c>
      <c r="S13" s="19" t="str">
        <f aca="false">IF(OR(I13="",I13&lt;3,O13=""),"",O13+60)</f>
        <v/>
      </c>
      <c r="T13" s="19" t="str">
        <f aca="false">IF(OR(I13="",I13&lt;4,O13=""),"",O13+90)</f>
        <v/>
      </c>
      <c r="U13" s="19" t="str">
        <f aca="false">IF(OR(I13="",I13&lt;5,O13=""),"",O13+120)</f>
        <v/>
      </c>
      <c r="V13" s="19" t="str">
        <f aca="false">IF(OR(I13="",I13&lt;6,O13=""),"",O13+150)</f>
        <v/>
      </c>
      <c r="W13" s="19" t="str">
        <f aca="false">IF(OR(I13="",I13&lt;7,O13=""),"",O13+180)</f>
        <v/>
      </c>
      <c r="X13" s="19" t="str">
        <f aca="false">IF(OR(I13="",I13&lt;8,O13=""),"",O13+210)</f>
        <v/>
      </c>
      <c r="Y13" s="19" t="str">
        <f aca="false">IF(OR(I13="",I13&lt;9,O13=""),"",O13+240)</f>
        <v/>
      </c>
      <c r="Z13" s="19" t="str">
        <f aca="false">IF(OR(I13="",I13&lt;10,O13=""),"",O13+270)</f>
        <v/>
      </c>
      <c r="AA13" s="19" t="str">
        <f aca="false">IF(OR(I13="",I13&lt;11,O13=""),"",O13+300)</f>
        <v/>
      </c>
      <c r="AB13" s="19" t="str">
        <f aca="false">IF(OR(I13="",I13&lt;12,O13=""),"",O13+330)</f>
        <v/>
      </c>
      <c r="AC13" s="19" t="str">
        <f aca="false">IF(OR(I13="",I13&lt;13,O13=""),"",O13+360)</f>
        <v/>
      </c>
      <c r="AD13" s="19" t="str">
        <f aca="false">IF(OR(I13="",I13&lt;14,O13=""),"",O13+390)</f>
        <v/>
      </c>
      <c r="AE13" s="19" t="str">
        <f aca="false">IF(OR(I13="",I13&lt;15,O13=""),"",O13+420)</f>
        <v/>
      </c>
      <c r="AF13" s="19" t="str">
        <f aca="false">IF(OR(I13="",I13&lt;16,O13=""),"",O13+450)</f>
        <v/>
      </c>
      <c r="AG13" s="19" t="str">
        <f aca="false">IF(OR(I13="",I13&lt;17,O13=""),"",O13+480)</f>
        <v/>
      </c>
      <c r="AH13" s="19" t="str">
        <f aca="false">IF(OR(I13="",I13&lt;18,O13=""),"",O13+510)</f>
        <v/>
      </c>
      <c r="AI13" s="19" t="str">
        <f aca="false">IF(OR(I13="",I13&lt;19,O13=""),"",O13+540)</f>
        <v/>
      </c>
      <c r="AJ13" s="19" t="str">
        <f aca="false">IF(OR(I13="",I13&lt;20,O13=""),"",O13+570)</f>
        <v/>
      </c>
      <c r="AK13" s="19" t="str">
        <f aca="false">IF(OR(I13="",I13&lt;21,O13=""),"",O13+600)</f>
        <v/>
      </c>
      <c r="AL13" s="19" t="str">
        <f aca="false">IF(OR(I13="",I13&lt;22,O13=""),"",O13+630)</f>
        <v/>
      </c>
      <c r="AM13" s="19" t="str">
        <f aca="false">IF(OR(I13="",I13&lt;23,O13=""),"",O13+660)</f>
        <v/>
      </c>
      <c r="AN13" s="19" t="str">
        <f aca="false">IF(OR(I13="",I13&lt;24,O13=""),"",O13+690)</f>
        <v/>
      </c>
      <c r="AO13" s="15" t="str">
        <f aca="false">IF(J13="","",COUNTIF(Q13:AN13,TRUE())*J13)</f>
        <v/>
      </c>
      <c r="AP13" s="15" t="str">
        <f aca="false">IF(K13="","",K13-AO13)</f>
        <v/>
      </c>
      <c r="AQ13" s="15" t="str">
        <f aca="false">IF(K13="","",K13-F13-IF(N13="",0,N13))</f>
        <v/>
      </c>
    </row>
    <row r="14" customFormat="false" ht="15" hidden="false" customHeight="false" outlineLevel="0" collapsed="false">
      <c r="A14" s="4"/>
      <c r="B14" s="4"/>
      <c r="C14" s="4"/>
      <c r="D14" s="5"/>
      <c r="E14" s="5"/>
      <c r="F14" s="6"/>
      <c r="G14" s="4"/>
      <c r="H14" s="4"/>
      <c r="I14" s="4"/>
      <c r="J14" s="6"/>
      <c r="K14" s="7" t="str">
        <f aca="false">IF(OR(I14="",J14=""),"",I14*J14)</f>
        <v/>
      </c>
      <c r="L14" s="4"/>
      <c r="M14" s="8"/>
      <c r="N14" s="7" t="str">
        <f aca="false">IF(OR(L14="",M14="",K14=""),"",IF(L14="GANANCIA",(K14-F14)*M14,IF(L14="BRUTO",K14*M14,"")))</f>
        <v/>
      </c>
      <c r="O14" s="9" t="str">
        <f aca="false">IF(D14="","",D14)</f>
        <v/>
      </c>
      <c r="P14" s="10" t="str">
        <f aca="false">IF(I14="","",IF(COUNTIF(Q14:AN14,TRUE())&gt;=I14,"PAGADO",IF(COUNTIF(Q14:AN14,TRUE())&gt;0,"PARCIAL","VIGENTE")))</f>
        <v/>
      </c>
      <c r="Q14" s="11" t="str">
        <f aca="false">IF(OR(I14="",I14&lt;1,O14=""),"",O14+0)</f>
        <v/>
      </c>
      <c r="R14" s="11" t="str">
        <f aca="false">IF(OR(I14="",I14&lt;2,O14=""),"",O14+30)</f>
        <v/>
      </c>
      <c r="S14" s="11" t="str">
        <f aca="false">IF(OR(I14="",I14&lt;3,O14=""),"",O14+60)</f>
        <v/>
      </c>
      <c r="T14" s="11" t="str">
        <f aca="false">IF(OR(I14="",I14&lt;4,O14=""),"",O14+90)</f>
        <v/>
      </c>
      <c r="U14" s="11" t="str">
        <f aca="false">IF(OR(I14="",I14&lt;5,O14=""),"",O14+120)</f>
        <v/>
      </c>
      <c r="V14" s="11" t="str">
        <f aca="false">IF(OR(I14="",I14&lt;6,O14=""),"",O14+150)</f>
        <v/>
      </c>
      <c r="W14" s="11" t="str">
        <f aca="false">IF(OR(I14="",I14&lt;7,O14=""),"",O14+180)</f>
        <v/>
      </c>
      <c r="X14" s="11" t="str">
        <f aca="false">IF(OR(I14="",I14&lt;8,O14=""),"",O14+210)</f>
        <v/>
      </c>
      <c r="Y14" s="11" t="str">
        <f aca="false">IF(OR(I14="",I14&lt;9,O14=""),"",O14+240)</f>
        <v/>
      </c>
      <c r="Z14" s="11" t="str">
        <f aca="false">IF(OR(I14="",I14&lt;10,O14=""),"",O14+270)</f>
        <v/>
      </c>
      <c r="AA14" s="11" t="str">
        <f aca="false">IF(OR(I14="",I14&lt;11,O14=""),"",O14+300)</f>
        <v/>
      </c>
      <c r="AB14" s="11" t="str">
        <f aca="false">IF(OR(I14="",I14&lt;12,O14=""),"",O14+330)</f>
        <v/>
      </c>
      <c r="AC14" s="11" t="str">
        <f aca="false">IF(OR(I14="",I14&lt;13,O14=""),"",O14+360)</f>
        <v/>
      </c>
      <c r="AD14" s="11" t="str">
        <f aca="false">IF(OR(I14="",I14&lt;14,O14=""),"",O14+390)</f>
        <v/>
      </c>
      <c r="AE14" s="11" t="str">
        <f aca="false">IF(OR(I14="",I14&lt;15,O14=""),"",O14+420)</f>
        <v/>
      </c>
      <c r="AF14" s="11" t="str">
        <f aca="false">IF(OR(I14="",I14&lt;16,O14=""),"",O14+450)</f>
        <v/>
      </c>
      <c r="AG14" s="11" t="str">
        <f aca="false">IF(OR(I14="",I14&lt;17,O14=""),"",O14+480)</f>
        <v/>
      </c>
      <c r="AH14" s="11" t="str">
        <f aca="false">IF(OR(I14="",I14&lt;18,O14=""),"",O14+510)</f>
        <v/>
      </c>
      <c r="AI14" s="11" t="str">
        <f aca="false">IF(OR(I14="",I14&lt;19,O14=""),"",O14+540)</f>
        <v/>
      </c>
      <c r="AJ14" s="11" t="str">
        <f aca="false">IF(OR(I14="",I14&lt;20,O14=""),"",O14+570)</f>
        <v/>
      </c>
      <c r="AK14" s="11" t="str">
        <f aca="false">IF(OR(I14="",I14&lt;21,O14=""),"",O14+600)</f>
        <v/>
      </c>
      <c r="AL14" s="11" t="str">
        <f aca="false">IF(OR(I14="",I14&lt;22,O14=""),"",O14+630)</f>
        <v/>
      </c>
      <c r="AM14" s="11" t="str">
        <f aca="false">IF(OR(I14="",I14&lt;23,O14=""),"",O14+660)</f>
        <v/>
      </c>
      <c r="AN14" s="11" t="str">
        <f aca="false">IF(OR(I14="",I14&lt;24,O14=""),"",O14+690)</f>
        <v/>
      </c>
      <c r="AO14" s="7" t="str">
        <f aca="false">IF(J14="","",COUNTIF(Q14:AN14,TRUE())*J14)</f>
        <v/>
      </c>
      <c r="AP14" s="7" t="str">
        <f aca="false">IF(K14="","",K14-AO14)</f>
        <v/>
      </c>
      <c r="AQ14" s="7" t="str">
        <f aca="false">IF(K14="","",K14-F14-IF(N14="",0,N14))</f>
        <v/>
      </c>
    </row>
    <row r="15" customFormat="false" ht="15" hidden="false" customHeight="false" outlineLevel="0" collapsed="false">
      <c r="A15" s="12"/>
      <c r="B15" s="12"/>
      <c r="C15" s="12"/>
      <c r="D15" s="13"/>
      <c r="E15" s="13"/>
      <c r="F15" s="14"/>
      <c r="G15" s="12"/>
      <c r="H15" s="12"/>
      <c r="I15" s="12"/>
      <c r="J15" s="14"/>
      <c r="K15" s="15" t="str">
        <f aca="false">IF(OR(I15="",J15=""),"",I15*J15)</f>
        <v/>
      </c>
      <c r="L15" s="12"/>
      <c r="M15" s="16"/>
      <c r="N15" s="15" t="str">
        <f aca="false">IF(OR(L15="",M15="",K15=""),"",IF(L15="GANANCIA",(K15-F15)*M15,IF(L15="BRUTO",K15*M15,"")))</f>
        <v/>
      </c>
      <c r="O15" s="17" t="str">
        <f aca="false">IF(D15="","",D15)</f>
        <v/>
      </c>
      <c r="P15" s="18" t="str">
        <f aca="false">IF(I15="","",IF(COUNTIF(Q15:AN15,TRUE())&gt;=I15,"PAGADO",IF(COUNTIF(Q15:AN15,TRUE())&gt;0,"PARCIAL","VIGENTE")))</f>
        <v/>
      </c>
      <c r="Q15" s="19" t="str">
        <f aca="false">IF(OR(I15="",I15&lt;1,O15=""),"",O15+0)</f>
        <v/>
      </c>
      <c r="R15" s="19" t="str">
        <f aca="false">IF(OR(I15="",I15&lt;2,O15=""),"",O15+30)</f>
        <v/>
      </c>
      <c r="S15" s="19" t="str">
        <f aca="false">IF(OR(I15="",I15&lt;3,O15=""),"",O15+60)</f>
        <v/>
      </c>
      <c r="T15" s="19" t="str">
        <f aca="false">IF(OR(I15="",I15&lt;4,O15=""),"",O15+90)</f>
        <v/>
      </c>
      <c r="U15" s="19" t="str">
        <f aca="false">IF(OR(I15="",I15&lt;5,O15=""),"",O15+120)</f>
        <v/>
      </c>
      <c r="V15" s="19" t="str">
        <f aca="false">IF(OR(I15="",I15&lt;6,O15=""),"",O15+150)</f>
        <v/>
      </c>
      <c r="W15" s="19" t="str">
        <f aca="false">IF(OR(I15="",I15&lt;7,O15=""),"",O15+180)</f>
        <v/>
      </c>
      <c r="X15" s="19" t="str">
        <f aca="false">IF(OR(I15="",I15&lt;8,O15=""),"",O15+210)</f>
        <v/>
      </c>
      <c r="Y15" s="19" t="str">
        <f aca="false">IF(OR(I15="",I15&lt;9,O15=""),"",O15+240)</f>
        <v/>
      </c>
      <c r="Z15" s="19" t="str">
        <f aca="false">IF(OR(I15="",I15&lt;10,O15=""),"",O15+270)</f>
        <v/>
      </c>
      <c r="AA15" s="19" t="str">
        <f aca="false">IF(OR(I15="",I15&lt;11,O15=""),"",O15+300)</f>
        <v/>
      </c>
      <c r="AB15" s="19" t="str">
        <f aca="false">IF(OR(I15="",I15&lt;12,O15=""),"",O15+330)</f>
        <v/>
      </c>
      <c r="AC15" s="19" t="str">
        <f aca="false">IF(OR(I15="",I15&lt;13,O15=""),"",O15+360)</f>
        <v/>
      </c>
      <c r="AD15" s="19" t="str">
        <f aca="false">IF(OR(I15="",I15&lt;14,O15=""),"",O15+390)</f>
        <v/>
      </c>
      <c r="AE15" s="19" t="str">
        <f aca="false">IF(OR(I15="",I15&lt;15,O15=""),"",O15+420)</f>
        <v/>
      </c>
      <c r="AF15" s="19" t="str">
        <f aca="false">IF(OR(I15="",I15&lt;16,O15=""),"",O15+450)</f>
        <v/>
      </c>
      <c r="AG15" s="19" t="str">
        <f aca="false">IF(OR(I15="",I15&lt;17,O15=""),"",O15+480)</f>
        <v/>
      </c>
      <c r="AH15" s="19" t="str">
        <f aca="false">IF(OR(I15="",I15&lt;18,O15=""),"",O15+510)</f>
        <v/>
      </c>
      <c r="AI15" s="19" t="str">
        <f aca="false">IF(OR(I15="",I15&lt;19,O15=""),"",O15+540)</f>
        <v/>
      </c>
      <c r="AJ15" s="19" t="str">
        <f aca="false">IF(OR(I15="",I15&lt;20,O15=""),"",O15+570)</f>
        <v/>
      </c>
      <c r="AK15" s="19" t="str">
        <f aca="false">IF(OR(I15="",I15&lt;21,O15=""),"",O15+600)</f>
        <v/>
      </c>
      <c r="AL15" s="19" t="str">
        <f aca="false">IF(OR(I15="",I15&lt;22,O15=""),"",O15+630)</f>
        <v/>
      </c>
      <c r="AM15" s="19" t="str">
        <f aca="false">IF(OR(I15="",I15&lt;23,O15=""),"",O15+660)</f>
        <v/>
      </c>
      <c r="AN15" s="19" t="str">
        <f aca="false">IF(OR(I15="",I15&lt;24,O15=""),"",O15+690)</f>
        <v/>
      </c>
      <c r="AO15" s="15" t="str">
        <f aca="false">IF(J15="","",COUNTIF(Q15:AN15,TRUE())*J15)</f>
        <v/>
      </c>
      <c r="AP15" s="15" t="str">
        <f aca="false">IF(K15="","",K15-AO15)</f>
        <v/>
      </c>
      <c r="AQ15" s="15" t="str">
        <f aca="false">IF(K15="","",K15-F15-IF(N15="",0,N15))</f>
        <v/>
      </c>
    </row>
    <row r="16" customFormat="false" ht="15" hidden="false" customHeight="false" outlineLevel="0" collapsed="false">
      <c r="A16" s="4"/>
      <c r="B16" s="4"/>
      <c r="C16" s="4"/>
      <c r="D16" s="5"/>
      <c r="E16" s="5"/>
      <c r="F16" s="6"/>
      <c r="G16" s="4"/>
      <c r="H16" s="4"/>
      <c r="I16" s="4"/>
      <c r="J16" s="6"/>
      <c r="K16" s="7" t="str">
        <f aca="false">IF(OR(I16="",J16=""),"",I16*J16)</f>
        <v/>
      </c>
      <c r="L16" s="4"/>
      <c r="M16" s="8"/>
      <c r="N16" s="7" t="str">
        <f aca="false">IF(OR(L16="",M16="",K16=""),"",IF(L16="GANANCIA",(K16-F16)*M16,IF(L16="BRUTO",K16*M16,"")))</f>
        <v/>
      </c>
      <c r="O16" s="9" t="str">
        <f aca="false">IF(D16="","",D16)</f>
        <v/>
      </c>
      <c r="P16" s="10" t="str">
        <f aca="false">IF(I16="","",IF(COUNTIF(Q16:AN16,TRUE())&gt;=I16,"PAGADO",IF(COUNTIF(Q16:AN16,TRUE())&gt;0,"PARCIAL","VIGENTE")))</f>
        <v/>
      </c>
      <c r="Q16" s="11" t="str">
        <f aca="false">IF(OR(I16="",I16&lt;1,O16=""),"",O16+0)</f>
        <v/>
      </c>
      <c r="R16" s="11" t="str">
        <f aca="false">IF(OR(I16="",I16&lt;2,O16=""),"",O16+30)</f>
        <v/>
      </c>
      <c r="S16" s="11" t="str">
        <f aca="false">IF(OR(I16="",I16&lt;3,O16=""),"",O16+60)</f>
        <v/>
      </c>
      <c r="T16" s="11" t="str">
        <f aca="false">IF(OR(I16="",I16&lt;4,O16=""),"",O16+90)</f>
        <v/>
      </c>
      <c r="U16" s="11" t="str">
        <f aca="false">IF(OR(I16="",I16&lt;5,O16=""),"",O16+120)</f>
        <v/>
      </c>
      <c r="V16" s="11" t="str">
        <f aca="false">IF(OR(I16="",I16&lt;6,O16=""),"",O16+150)</f>
        <v/>
      </c>
      <c r="W16" s="11" t="str">
        <f aca="false">IF(OR(I16="",I16&lt;7,O16=""),"",O16+180)</f>
        <v/>
      </c>
      <c r="X16" s="11" t="str">
        <f aca="false">IF(OR(I16="",I16&lt;8,O16=""),"",O16+210)</f>
        <v/>
      </c>
      <c r="Y16" s="11" t="str">
        <f aca="false">IF(OR(I16="",I16&lt;9,O16=""),"",O16+240)</f>
        <v/>
      </c>
      <c r="Z16" s="11" t="str">
        <f aca="false">IF(OR(I16="",I16&lt;10,O16=""),"",O16+270)</f>
        <v/>
      </c>
      <c r="AA16" s="11" t="str">
        <f aca="false">IF(OR(I16="",I16&lt;11,O16=""),"",O16+300)</f>
        <v/>
      </c>
      <c r="AB16" s="11" t="str">
        <f aca="false">IF(OR(I16="",I16&lt;12,O16=""),"",O16+330)</f>
        <v/>
      </c>
      <c r="AC16" s="11" t="str">
        <f aca="false">IF(OR(I16="",I16&lt;13,O16=""),"",O16+360)</f>
        <v/>
      </c>
      <c r="AD16" s="11" t="str">
        <f aca="false">IF(OR(I16="",I16&lt;14,O16=""),"",O16+390)</f>
        <v/>
      </c>
      <c r="AE16" s="11" t="str">
        <f aca="false">IF(OR(I16="",I16&lt;15,O16=""),"",O16+420)</f>
        <v/>
      </c>
      <c r="AF16" s="11" t="str">
        <f aca="false">IF(OR(I16="",I16&lt;16,O16=""),"",O16+450)</f>
        <v/>
      </c>
      <c r="AG16" s="11" t="str">
        <f aca="false">IF(OR(I16="",I16&lt;17,O16=""),"",O16+480)</f>
        <v/>
      </c>
      <c r="AH16" s="11" t="str">
        <f aca="false">IF(OR(I16="",I16&lt;18,O16=""),"",O16+510)</f>
        <v/>
      </c>
      <c r="AI16" s="11" t="str">
        <f aca="false">IF(OR(I16="",I16&lt;19,O16=""),"",O16+540)</f>
        <v/>
      </c>
      <c r="AJ16" s="11" t="str">
        <f aca="false">IF(OR(I16="",I16&lt;20,O16=""),"",O16+570)</f>
        <v/>
      </c>
      <c r="AK16" s="11" t="str">
        <f aca="false">IF(OR(I16="",I16&lt;21,O16=""),"",O16+600)</f>
        <v/>
      </c>
      <c r="AL16" s="11" t="str">
        <f aca="false">IF(OR(I16="",I16&lt;22,O16=""),"",O16+630)</f>
        <v/>
      </c>
      <c r="AM16" s="11" t="str">
        <f aca="false">IF(OR(I16="",I16&lt;23,O16=""),"",O16+660)</f>
        <v/>
      </c>
      <c r="AN16" s="11" t="str">
        <f aca="false">IF(OR(I16="",I16&lt;24,O16=""),"",O16+690)</f>
        <v/>
      </c>
      <c r="AO16" s="7" t="str">
        <f aca="false">IF(J16="","",COUNTIF(Q16:AN16,TRUE())*J16)</f>
        <v/>
      </c>
      <c r="AP16" s="7" t="str">
        <f aca="false">IF(K16="","",K16-AO16)</f>
        <v/>
      </c>
      <c r="AQ16" s="7" t="str">
        <f aca="false">IF(K16="","",K16-F16-IF(N16="",0,N16))</f>
        <v/>
      </c>
    </row>
    <row r="17" customFormat="false" ht="15" hidden="false" customHeight="false" outlineLevel="0" collapsed="false">
      <c r="A17" s="12"/>
      <c r="B17" s="12"/>
      <c r="C17" s="12"/>
      <c r="D17" s="13"/>
      <c r="E17" s="13"/>
      <c r="F17" s="14"/>
      <c r="G17" s="12"/>
      <c r="H17" s="12"/>
      <c r="I17" s="12"/>
      <c r="J17" s="14"/>
      <c r="K17" s="15" t="str">
        <f aca="false">IF(OR(I17="",J17=""),"",I17*J17)</f>
        <v/>
      </c>
      <c r="L17" s="12"/>
      <c r="M17" s="16"/>
      <c r="N17" s="15" t="str">
        <f aca="false">IF(OR(L17="",M17="",K17=""),"",IF(L17="GANANCIA",(K17-F17)*M17,IF(L17="BRUTO",K17*M17,"")))</f>
        <v/>
      </c>
      <c r="O17" s="17" t="str">
        <f aca="false">IF(D17="","",D17)</f>
        <v/>
      </c>
      <c r="P17" s="18" t="str">
        <f aca="false">IF(I17="","",IF(COUNTIF(Q17:AN17,TRUE())&gt;=I17,"PAGADO",IF(COUNTIF(Q17:AN17,TRUE())&gt;0,"PARCIAL","VIGENTE")))</f>
        <v/>
      </c>
      <c r="Q17" s="19" t="str">
        <f aca="false">IF(OR(I17="",I17&lt;1,O17=""),"",O17+0)</f>
        <v/>
      </c>
      <c r="R17" s="19" t="str">
        <f aca="false">IF(OR(I17="",I17&lt;2,O17=""),"",O17+30)</f>
        <v/>
      </c>
      <c r="S17" s="19" t="str">
        <f aca="false">IF(OR(I17="",I17&lt;3,O17=""),"",O17+60)</f>
        <v/>
      </c>
      <c r="T17" s="19" t="str">
        <f aca="false">IF(OR(I17="",I17&lt;4,O17=""),"",O17+90)</f>
        <v/>
      </c>
      <c r="U17" s="19" t="str">
        <f aca="false">IF(OR(I17="",I17&lt;5,O17=""),"",O17+120)</f>
        <v/>
      </c>
      <c r="V17" s="19" t="str">
        <f aca="false">IF(OR(I17="",I17&lt;6,O17=""),"",O17+150)</f>
        <v/>
      </c>
      <c r="W17" s="19" t="str">
        <f aca="false">IF(OR(I17="",I17&lt;7,O17=""),"",O17+180)</f>
        <v/>
      </c>
      <c r="X17" s="19" t="str">
        <f aca="false">IF(OR(I17="",I17&lt;8,O17=""),"",O17+210)</f>
        <v/>
      </c>
      <c r="Y17" s="19" t="str">
        <f aca="false">IF(OR(I17="",I17&lt;9,O17=""),"",O17+240)</f>
        <v/>
      </c>
      <c r="Z17" s="19" t="str">
        <f aca="false">IF(OR(I17="",I17&lt;10,O17=""),"",O17+270)</f>
        <v/>
      </c>
      <c r="AA17" s="19" t="str">
        <f aca="false">IF(OR(I17="",I17&lt;11,O17=""),"",O17+300)</f>
        <v/>
      </c>
      <c r="AB17" s="19" t="str">
        <f aca="false">IF(OR(I17="",I17&lt;12,O17=""),"",O17+330)</f>
        <v/>
      </c>
      <c r="AC17" s="19" t="str">
        <f aca="false">IF(OR(I17="",I17&lt;13,O17=""),"",O17+360)</f>
        <v/>
      </c>
      <c r="AD17" s="19" t="str">
        <f aca="false">IF(OR(I17="",I17&lt;14,O17=""),"",O17+390)</f>
        <v/>
      </c>
      <c r="AE17" s="19" t="str">
        <f aca="false">IF(OR(I17="",I17&lt;15,O17=""),"",O17+420)</f>
        <v/>
      </c>
      <c r="AF17" s="19" t="str">
        <f aca="false">IF(OR(I17="",I17&lt;16,O17=""),"",O17+450)</f>
        <v/>
      </c>
      <c r="AG17" s="19" t="str">
        <f aca="false">IF(OR(I17="",I17&lt;17,O17=""),"",O17+480)</f>
        <v/>
      </c>
      <c r="AH17" s="19" t="str">
        <f aca="false">IF(OR(I17="",I17&lt;18,O17=""),"",O17+510)</f>
        <v/>
      </c>
      <c r="AI17" s="19" t="str">
        <f aca="false">IF(OR(I17="",I17&lt;19,O17=""),"",O17+540)</f>
        <v/>
      </c>
      <c r="AJ17" s="19" t="str">
        <f aca="false">IF(OR(I17="",I17&lt;20,O17=""),"",O17+570)</f>
        <v/>
      </c>
      <c r="AK17" s="19" t="str">
        <f aca="false">IF(OR(I17="",I17&lt;21,O17=""),"",O17+600)</f>
        <v/>
      </c>
      <c r="AL17" s="19" t="str">
        <f aca="false">IF(OR(I17="",I17&lt;22,O17=""),"",O17+630)</f>
        <v/>
      </c>
      <c r="AM17" s="19" t="str">
        <f aca="false">IF(OR(I17="",I17&lt;23,O17=""),"",O17+660)</f>
        <v/>
      </c>
      <c r="AN17" s="19" t="str">
        <f aca="false">IF(OR(I17="",I17&lt;24,O17=""),"",O17+690)</f>
        <v/>
      </c>
      <c r="AO17" s="15" t="str">
        <f aca="false">IF(J17="","",COUNTIF(Q17:AN17,TRUE())*J17)</f>
        <v/>
      </c>
      <c r="AP17" s="15" t="str">
        <f aca="false">IF(K17="","",K17-AO17)</f>
        <v/>
      </c>
      <c r="AQ17" s="15" t="str">
        <f aca="false">IF(K17="","",K17-F17-IF(N17="",0,N17))</f>
        <v/>
      </c>
    </row>
    <row r="18" customFormat="false" ht="15" hidden="false" customHeight="false" outlineLevel="0" collapsed="false">
      <c r="A18" s="4"/>
      <c r="B18" s="4"/>
      <c r="C18" s="4"/>
      <c r="D18" s="5"/>
      <c r="E18" s="5"/>
      <c r="F18" s="6"/>
      <c r="G18" s="4"/>
      <c r="H18" s="4"/>
      <c r="I18" s="4"/>
      <c r="J18" s="6"/>
      <c r="K18" s="7" t="str">
        <f aca="false">IF(OR(I18="",J18=""),"",I18*J18)</f>
        <v/>
      </c>
      <c r="L18" s="4"/>
      <c r="M18" s="8"/>
      <c r="N18" s="7" t="str">
        <f aca="false">IF(OR(L18="",M18="",K18=""),"",IF(L18="GANANCIA",(K18-F18)*M18,IF(L18="BRUTO",K18*M18,"")))</f>
        <v/>
      </c>
      <c r="O18" s="9" t="str">
        <f aca="false">IF(D18="","",D18)</f>
        <v/>
      </c>
      <c r="P18" s="10" t="str">
        <f aca="false">IF(I18="","",IF(COUNTIF(Q18:AN18,TRUE())&gt;=I18,"PAGADO",IF(COUNTIF(Q18:AN18,TRUE())&gt;0,"PARCIAL","VIGENTE")))</f>
        <v/>
      </c>
      <c r="Q18" s="11" t="str">
        <f aca="false">IF(OR(I18="",I18&lt;1,O18=""),"",O18+0)</f>
        <v/>
      </c>
      <c r="R18" s="11" t="str">
        <f aca="false">IF(OR(I18="",I18&lt;2,O18=""),"",O18+30)</f>
        <v/>
      </c>
      <c r="S18" s="11" t="str">
        <f aca="false">IF(OR(I18="",I18&lt;3,O18=""),"",O18+60)</f>
        <v/>
      </c>
      <c r="T18" s="11" t="str">
        <f aca="false">IF(OR(I18="",I18&lt;4,O18=""),"",O18+90)</f>
        <v/>
      </c>
      <c r="U18" s="11" t="str">
        <f aca="false">IF(OR(I18="",I18&lt;5,O18=""),"",O18+120)</f>
        <v/>
      </c>
      <c r="V18" s="11" t="str">
        <f aca="false">IF(OR(I18="",I18&lt;6,O18=""),"",O18+150)</f>
        <v/>
      </c>
      <c r="W18" s="11" t="str">
        <f aca="false">IF(OR(I18="",I18&lt;7,O18=""),"",O18+180)</f>
        <v/>
      </c>
      <c r="X18" s="11" t="str">
        <f aca="false">IF(OR(I18="",I18&lt;8,O18=""),"",O18+210)</f>
        <v/>
      </c>
      <c r="Y18" s="11" t="str">
        <f aca="false">IF(OR(I18="",I18&lt;9,O18=""),"",O18+240)</f>
        <v/>
      </c>
      <c r="Z18" s="11" t="str">
        <f aca="false">IF(OR(I18="",I18&lt;10,O18=""),"",O18+270)</f>
        <v/>
      </c>
      <c r="AA18" s="11" t="str">
        <f aca="false">IF(OR(I18="",I18&lt;11,O18=""),"",O18+300)</f>
        <v/>
      </c>
      <c r="AB18" s="11" t="str">
        <f aca="false">IF(OR(I18="",I18&lt;12,O18=""),"",O18+330)</f>
        <v/>
      </c>
      <c r="AC18" s="11" t="str">
        <f aca="false">IF(OR(I18="",I18&lt;13,O18=""),"",O18+360)</f>
        <v/>
      </c>
      <c r="AD18" s="11" t="str">
        <f aca="false">IF(OR(I18="",I18&lt;14,O18=""),"",O18+390)</f>
        <v/>
      </c>
      <c r="AE18" s="11" t="str">
        <f aca="false">IF(OR(I18="",I18&lt;15,O18=""),"",O18+420)</f>
        <v/>
      </c>
      <c r="AF18" s="11" t="str">
        <f aca="false">IF(OR(I18="",I18&lt;16,O18=""),"",O18+450)</f>
        <v/>
      </c>
      <c r="AG18" s="11" t="str">
        <f aca="false">IF(OR(I18="",I18&lt;17,O18=""),"",O18+480)</f>
        <v/>
      </c>
      <c r="AH18" s="11" t="str">
        <f aca="false">IF(OR(I18="",I18&lt;18,O18=""),"",O18+510)</f>
        <v/>
      </c>
      <c r="AI18" s="11" t="str">
        <f aca="false">IF(OR(I18="",I18&lt;19,O18=""),"",O18+540)</f>
        <v/>
      </c>
      <c r="AJ18" s="11" t="str">
        <f aca="false">IF(OR(I18="",I18&lt;20,O18=""),"",O18+570)</f>
        <v/>
      </c>
      <c r="AK18" s="11" t="str">
        <f aca="false">IF(OR(I18="",I18&lt;21,O18=""),"",O18+600)</f>
        <v/>
      </c>
      <c r="AL18" s="11" t="str">
        <f aca="false">IF(OR(I18="",I18&lt;22,O18=""),"",O18+630)</f>
        <v/>
      </c>
      <c r="AM18" s="11" t="str">
        <f aca="false">IF(OR(I18="",I18&lt;23,O18=""),"",O18+660)</f>
        <v/>
      </c>
      <c r="AN18" s="11" t="str">
        <f aca="false">IF(OR(I18="",I18&lt;24,O18=""),"",O18+690)</f>
        <v/>
      </c>
      <c r="AO18" s="7" t="str">
        <f aca="false">IF(J18="","",COUNTIF(Q18:AN18,TRUE())*J18)</f>
        <v/>
      </c>
      <c r="AP18" s="7" t="str">
        <f aca="false">IF(K18="","",K18-AO18)</f>
        <v/>
      </c>
      <c r="AQ18" s="7" t="str">
        <f aca="false">IF(K18="","",K18-F18-IF(N18="",0,N18))</f>
        <v/>
      </c>
    </row>
    <row r="19" customFormat="false" ht="15" hidden="false" customHeight="false" outlineLevel="0" collapsed="false">
      <c r="A19" s="12"/>
      <c r="B19" s="12"/>
      <c r="C19" s="12"/>
      <c r="D19" s="13"/>
      <c r="E19" s="13"/>
      <c r="F19" s="14"/>
      <c r="G19" s="12"/>
      <c r="H19" s="12"/>
      <c r="I19" s="12"/>
      <c r="J19" s="14"/>
      <c r="K19" s="15" t="str">
        <f aca="false">IF(OR(I19="",J19=""),"",I19*J19)</f>
        <v/>
      </c>
      <c r="L19" s="12"/>
      <c r="M19" s="16"/>
      <c r="N19" s="15" t="str">
        <f aca="false">IF(OR(L19="",M19="",K19=""),"",IF(L19="GANANCIA",(K19-F19)*M19,IF(L19="BRUTO",K19*M19,"")))</f>
        <v/>
      </c>
      <c r="O19" s="17" t="str">
        <f aca="false">IF(D19="","",D19)</f>
        <v/>
      </c>
      <c r="P19" s="18" t="str">
        <f aca="false">IF(I19="","",IF(COUNTIF(Q19:AN19,TRUE())&gt;=I19,"PAGADO",IF(COUNTIF(Q19:AN19,TRUE())&gt;0,"PARCIAL","VIGENTE")))</f>
        <v/>
      </c>
      <c r="Q19" s="19" t="str">
        <f aca="false">IF(OR(I19="",I19&lt;1,O19=""),"",O19+0)</f>
        <v/>
      </c>
      <c r="R19" s="19" t="str">
        <f aca="false">IF(OR(I19="",I19&lt;2,O19=""),"",O19+30)</f>
        <v/>
      </c>
      <c r="S19" s="19" t="str">
        <f aca="false">IF(OR(I19="",I19&lt;3,O19=""),"",O19+60)</f>
        <v/>
      </c>
      <c r="T19" s="19" t="str">
        <f aca="false">IF(OR(I19="",I19&lt;4,O19=""),"",O19+90)</f>
        <v/>
      </c>
      <c r="U19" s="19" t="str">
        <f aca="false">IF(OR(I19="",I19&lt;5,O19=""),"",O19+120)</f>
        <v/>
      </c>
      <c r="V19" s="19" t="str">
        <f aca="false">IF(OR(I19="",I19&lt;6,O19=""),"",O19+150)</f>
        <v/>
      </c>
      <c r="W19" s="19" t="str">
        <f aca="false">IF(OR(I19="",I19&lt;7,O19=""),"",O19+180)</f>
        <v/>
      </c>
      <c r="X19" s="19" t="str">
        <f aca="false">IF(OR(I19="",I19&lt;8,O19=""),"",O19+210)</f>
        <v/>
      </c>
      <c r="Y19" s="19" t="str">
        <f aca="false">IF(OR(I19="",I19&lt;9,O19=""),"",O19+240)</f>
        <v/>
      </c>
      <c r="Z19" s="19" t="str">
        <f aca="false">IF(OR(I19="",I19&lt;10,O19=""),"",O19+270)</f>
        <v/>
      </c>
      <c r="AA19" s="19" t="str">
        <f aca="false">IF(OR(I19="",I19&lt;11,O19=""),"",O19+300)</f>
        <v/>
      </c>
      <c r="AB19" s="19" t="str">
        <f aca="false">IF(OR(I19="",I19&lt;12,O19=""),"",O19+330)</f>
        <v/>
      </c>
      <c r="AC19" s="19" t="str">
        <f aca="false">IF(OR(I19="",I19&lt;13,O19=""),"",O19+360)</f>
        <v/>
      </c>
      <c r="AD19" s="19" t="str">
        <f aca="false">IF(OR(I19="",I19&lt;14,O19=""),"",O19+390)</f>
        <v/>
      </c>
      <c r="AE19" s="19" t="str">
        <f aca="false">IF(OR(I19="",I19&lt;15,O19=""),"",O19+420)</f>
        <v/>
      </c>
      <c r="AF19" s="19" t="str">
        <f aca="false">IF(OR(I19="",I19&lt;16,O19=""),"",O19+450)</f>
        <v/>
      </c>
      <c r="AG19" s="19" t="str">
        <f aca="false">IF(OR(I19="",I19&lt;17,O19=""),"",O19+480)</f>
        <v/>
      </c>
      <c r="AH19" s="19" t="str">
        <f aca="false">IF(OR(I19="",I19&lt;18,O19=""),"",O19+510)</f>
        <v/>
      </c>
      <c r="AI19" s="19" t="str">
        <f aca="false">IF(OR(I19="",I19&lt;19,O19=""),"",O19+540)</f>
        <v/>
      </c>
      <c r="AJ19" s="19" t="str">
        <f aca="false">IF(OR(I19="",I19&lt;20,O19=""),"",O19+570)</f>
        <v/>
      </c>
      <c r="AK19" s="19" t="str">
        <f aca="false">IF(OR(I19="",I19&lt;21,O19=""),"",O19+600)</f>
        <v/>
      </c>
      <c r="AL19" s="19" t="str">
        <f aca="false">IF(OR(I19="",I19&lt;22,O19=""),"",O19+630)</f>
        <v/>
      </c>
      <c r="AM19" s="19" t="str">
        <f aca="false">IF(OR(I19="",I19&lt;23,O19=""),"",O19+660)</f>
        <v/>
      </c>
      <c r="AN19" s="19" t="str">
        <f aca="false">IF(OR(I19="",I19&lt;24,O19=""),"",O19+690)</f>
        <v/>
      </c>
      <c r="AO19" s="15" t="str">
        <f aca="false">IF(J19="","",COUNTIF(Q19:AN19,TRUE())*J19)</f>
        <v/>
      </c>
      <c r="AP19" s="15" t="str">
        <f aca="false">IF(K19="","",K19-AO19)</f>
        <v/>
      </c>
      <c r="AQ19" s="15" t="str">
        <f aca="false">IF(K19="","",K19-F19-IF(N19="",0,N19))</f>
        <v/>
      </c>
    </row>
    <row r="20" customFormat="false" ht="15" hidden="false" customHeight="false" outlineLevel="0" collapsed="false">
      <c r="A20" s="4"/>
      <c r="B20" s="4"/>
      <c r="C20" s="4"/>
      <c r="D20" s="5"/>
      <c r="E20" s="5"/>
      <c r="F20" s="6"/>
      <c r="G20" s="4"/>
      <c r="H20" s="4"/>
      <c r="I20" s="4"/>
      <c r="J20" s="6"/>
      <c r="K20" s="7" t="str">
        <f aca="false">IF(OR(I20="",J20=""),"",I20*J20)</f>
        <v/>
      </c>
      <c r="L20" s="4"/>
      <c r="M20" s="8"/>
      <c r="N20" s="7" t="str">
        <f aca="false">IF(OR(L20="",M20="",K20=""),"",IF(L20="GANANCIA",(K20-F20)*M20,IF(L20="BRUTO",K20*M20,"")))</f>
        <v/>
      </c>
      <c r="O20" s="9" t="str">
        <f aca="false">IF(D20="","",D20)</f>
        <v/>
      </c>
      <c r="P20" s="10" t="str">
        <f aca="false">IF(I20="","",IF(COUNTIF(Q20:AN20,TRUE())&gt;=I20,"PAGADO",IF(COUNTIF(Q20:AN20,TRUE())&gt;0,"PARCIAL","VIGENTE")))</f>
        <v/>
      </c>
      <c r="Q20" s="11" t="str">
        <f aca="false">IF(OR(I20="",I20&lt;1,O20=""),"",O20+0)</f>
        <v/>
      </c>
      <c r="R20" s="11" t="str">
        <f aca="false">IF(OR(I20="",I20&lt;2,O20=""),"",O20+30)</f>
        <v/>
      </c>
      <c r="S20" s="11" t="str">
        <f aca="false">IF(OR(I20="",I20&lt;3,O20=""),"",O20+60)</f>
        <v/>
      </c>
      <c r="T20" s="11" t="str">
        <f aca="false">IF(OR(I20="",I20&lt;4,O20=""),"",O20+90)</f>
        <v/>
      </c>
      <c r="U20" s="11" t="str">
        <f aca="false">IF(OR(I20="",I20&lt;5,O20=""),"",O20+120)</f>
        <v/>
      </c>
      <c r="V20" s="11" t="str">
        <f aca="false">IF(OR(I20="",I20&lt;6,O20=""),"",O20+150)</f>
        <v/>
      </c>
      <c r="W20" s="11" t="str">
        <f aca="false">IF(OR(I20="",I20&lt;7,O20=""),"",O20+180)</f>
        <v/>
      </c>
      <c r="X20" s="11" t="str">
        <f aca="false">IF(OR(I20="",I20&lt;8,O20=""),"",O20+210)</f>
        <v/>
      </c>
      <c r="Y20" s="11" t="str">
        <f aca="false">IF(OR(I20="",I20&lt;9,O20=""),"",O20+240)</f>
        <v/>
      </c>
      <c r="Z20" s="11" t="str">
        <f aca="false">IF(OR(I20="",I20&lt;10,O20=""),"",O20+270)</f>
        <v/>
      </c>
      <c r="AA20" s="11" t="str">
        <f aca="false">IF(OR(I20="",I20&lt;11,O20=""),"",O20+300)</f>
        <v/>
      </c>
      <c r="AB20" s="11" t="str">
        <f aca="false">IF(OR(I20="",I20&lt;12,O20=""),"",O20+330)</f>
        <v/>
      </c>
      <c r="AC20" s="11" t="str">
        <f aca="false">IF(OR(I20="",I20&lt;13,O20=""),"",O20+360)</f>
        <v/>
      </c>
      <c r="AD20" s="11" t="str">
        <f aca="false">IF(OR(I20="",I20&lt;14,O20=""),"",O20+390)</f>
        <v/>
      </c>
      <c r="AE20" s="11" t="str">
        <f aca="false">IF(OR(I20="",I20&lt;15,O20=""),"",O20+420)</f>
        <v/>
      </c>
      <c r="AF20" s="11" t="str">
        <f aca="false">IF(OR(I20="",I20&lt;16,O20=""),"",O20+450)</f>
        <v/>
      </c>
      <c r="AG20" s="11" t="str">
        <f aca="false">IF(OR(I20="",I20&lt;17,O20=""),"",O20+480)</f>
        <v/>
      </c>
      <c r="AH20" s="11" t="str">
        <f aca="false">IF(OR(I20="",I20&lt;18,O20=""),"",O20+510)</f>
        <v/>
      </c>
      <c r="AI20" s="11" t="str">
        <f aca="false">IF(OR(I20="",I20&lt;19,O20=""),"",O20+540)</f>
        <v/>
      </c>
      <c r="AJ20" s="11" t="str">
        <f aca="false">IF(OR(I20="",I20&lt;20,O20=""),"",O20+570)</f>
        <v/>
      </c>
      <c r="AK20" s="11" t="str">
        <f aca="false">IF(OR(I20="",I20&lt;21,O20=""),"",O20+600)</f>
        <v/>
      </c>
      <c r="AL20" s="11" t="str">
        <f aca="false">IF(OR(I20="",I20&lt;22,O20=""),"",O20+630)</f>
        <v/>
      </c>
      <c r="AM20" s="11" t="str">
        <f aca="false">IF(OR(I20="",I20&lt;23,O20=""),"",O20+660)</f>
        <v/>
      </c>
      <c r="AN20" s="11" t="str">
        <f aca="false">IF(OR(I20="",I20&lt;24,O20=""),"",O20+690)</f>
        <v/>
      </c>
      <c r="AO20" s="7" t="str">
        <f aca="false">IF(J20="","",COUNTIF(Q20:AN20,TRUE())*J20)</f>
        <v/>
      </c>
      <c r="AP20" s="7" t="str">
        <f aca="false">IF(K20="","",K20-AO20)</f>
        <v/>
      </c>
      <c r="AQ20" s="7" t="str">
        <f aca="false">IF(K20="","",K20-F20-IF(N20="",0,N20))</f>
        <v/>
      </c>
    </row>
    <row r="21" customFormat="false" ht="15" hidden="false" customHeight="false" outlineLevel="0" collapsed="false">
      <c r="A21" s="12"/>
      <c r="B21" s="12"/>
      <c r="C21" s="12"/>
      <c r="D21" s="13"/>
      <c r="E21" s="13"/>
      <c r="F21" s="14"/>
      <c r="G21" s="12"/>
      <c r="H21" s="12"/>
      <c r="I21" s="12"/>
      <c r="J21" s="14"/>
      <c r="K21" s="15" t="str">
        <f aca="false">IF(OR(I21="",J21=""),"",I21*J21)</f>
        <v/>
      </c>
      <c r="L21" s="12"/>
      <c r="M21" s="16"/>
      <c r="N21" s="15" t="str">
        <f aca="false">IF(OR(L21="",M21="",K21=""),"",IF(L21="GANANCIA",(K21-F21)*M21,IF(L21="BRUTO",K21*M21,"")))</f>
        <v/>
      </c>
      <c r="O21" s="17" t="str">
        <f aca="false">IF(D21="","",D21)</f>
        <v/>
      </c>
      <c r="P21" s="18" t="str">
        <f aca="false">IF(I21="","",IF(COUNTIF(Q21:AN21,TRUE())&gt;=I21,"PAGADO",IF(COUNTIF(Q21:AN21,TRUE())&gt;0,"PARCIAL","VIGENTE")))</f>
        <v/>
      </c>
      <c r="Q21" s="19" t="str">
        <f aca="false">IF(OR(I21="",I21&lt;1,O21=""),"",O21+0)</f>
        <v/>
      </c>
      <c r="R21" s="19" t="str">
        <f aca="false">IF(OR(I21="",I21&lt;2,O21=""),"",O21+30)</f>
        <v/>
      </c>
      <c r="S21" s="19" t="str">
        <f aca="false">IF(OR(I21="",I21&lt;3,O21=""),"",O21+60)</f>
        <v/>
      </c>
      <c r="T21" s="19" t="str">
        <f aca="false">IF(OR(I21="",I21&lt;4,O21=""),"",O21+90)</f>
        <v/>
      </c>
      <c r="U21" s="19" t="str">
        <f aca="false">IF(OR(I21="",I21&lt;5,O21=""),"",O21+120)</f>
        <v/>
      </c>
      <c r="V21" s="19" t="str">
        <f aca="false">IF(OR(I21="",I21&lt;6,O21=""),"",O21+150)</f>
        <v/>
      </c>
      <c r="W21" s="19" t="str">
        <f aca="false">IF(OR(I21="",I21&lt;7,O21=""),"",O21+180)</f>
        <v/>
      </c>
      <c r="X21" s="19" t="str">
        <f aca="false">IF(OR(I21="",I21&lt;8,O21=""),"",O21+210)</f>
        <v/>
      </c>
      <c r="Y21" s="19" t="str">
        <f aca="false">IF(OR(I21="",I21&lt;9,O21=""),"",O21+240)</f>
        <v/>
      </c>
      <c r="Z21" s="19" t="str">
        <f aca="false">IF(OR(I21="",I21&lt;10,O21=""),"",O21+270)</f>
        <v/>
      </c>
      <c r="AA21" s="19" t="str">
        <f aca="false">IF(OR(I21="",I21&lt;11,O21=""),"",O21+300)</f>
        <v/>
      </c>
      <c r="AB21" s="19" t="str">
        <f aca="false">IF(OR(I21="",I21&lt;12,O21=""),"",O21+330)</f>
        <v/>
      </c>
      <c r="AC21" s="19" t="str">
        <f aca="false">IF(OR(I21="",I21&lt;13,O21=""),"",O21+360)</f>
        <v/>
      </c>
      <c r="AD21" s="19" t="str">
        <f aca="false">IF(OR(I21="",I21&lt;14,O21=""),"",O21+390)</f>
        <v/>
      </c>
      <c r="AE21" s="19" t="str">
        <f aca="false">IF(OR(I21="",I21&lt;15,O21=""),"",O21+420)</f>
        <v/>
      </c>
      <c r="AF21" s="19" t="str">
        <f aca="false">IF(OR(I21="",I21&lt;16,O21=""),"",O21+450)</f>
        <v/>
      </c>
      <c r="AG21" s="19" t="str">
        <f aca="false">IF(OR(I21="",I21&lt;17,O21=""),"",O21+480)</f>
        <v/>
      </c>
      <c r="AH21" s="19" t="str">
        <f aca="false">IF(OR(I21="",I21&lt;18,O21=""),"",O21+510)</f>
        <v/>
      </c>
      <c r="AI21" s="19" t="str">
        <f aca="false">IF(OR(I21="",I21&lt;19,O21=""),"",O21+540)</f>
        <v/>
      </c>
      <c r="AJ21" s="19" t="str">
        <f aca="false">IF(OR(I21="",I21&lt;20,O21=""),"",O21+570)</f>
        <v/>
      </c>
      <c r="AK21" s="19" t="str">
        <f aca="false">IF(OR(I21="",I21&lt;21,O21=""),"",O21+600)</f>
        <v/>
      </c>
      <c r="AL21" s="19" t="str">
        <f aca="false">IF(OR(I21="",I21&lt;22,O21=""),"",O21+630)</f>
        <v/>
      </c>
      <c r="AM21" s="19" t="str">
        <f aca="false">IF(OR(I21="",I21&lt;23,O21=""),"",O21+660)</f>
        <v/>
      </c>
      <c r="AN21" s="19" t="str">
        <f aca="false">IF(OR(I21="",I21&lt;24,O21=""),"",O21+690)</f>
        <v/>
      </c>
      <c r="AO21" s="15" t="str">
        <f aca="false">IF(J21="","",COUNTIF(Q21:AN21,TRUE())*J21)</f>
        <v/>
      </c>
      <c r="AP21" s="15" t="str">
        <f aca="false">IF(K21="","",K21-AO21)</f>
        <v/>
      </c>
      <c r="AQ21" s="15" t="str">
        <f aca="false">IF(K21="","",K21-F21-IF(N21="",0,N21))</f>
        <v/>
      </c>
    </row>
    <row r="22" customFormat="false" ht="15" hidden="false" customHeight="false" outlineLevel="0" collapsed="false">
      <c r="A22" s="4"/>
      <c r="B22" s="4"/>
      <c r="C22" s="4"/>
      <c r="D22" s="5"/>
      <c r="E22" s="5"/>
      <c r="F22" s="6"/>
      <c r="G22" s="4"/>
      <c r="H22" s="4"/>
      <c r="I22" s="4"/>
      <c r="J22" s="6"/>
      <c r="K22" s="7" t="str">
        <f aca="false">IF(OR(I22="",J22=""),"",I22*J22)</f>
        <v/>
      </c>
      <c r="L22" s="4"/>
      <c r="M22" s="8"/>
      <c r="N22" s="7" t="str">
        <f aca="false">IF(OR(L22="",M22="",K22=""),"",IF(L22="GANANCIA",(K22-F22)*M22,IF(L22="BRUTO",K22*M22,"")))</f>
        <v/>
      </c>
      <c r="O22" s="9" t="str">
        <f aca="false">IF(D22="","",D22)</f>
        <v/>
      </c>
      <c r="P22" s="10" t="str">
        <f aca="false">IF(I22="","",IF(COUNTIF(Q22:AN22,TRUE())&gt;=I22,"PAGADO",IF(COUNTIF(Q22:AN22,TRUE())&gt;0,"PARCIAL","VIGENTE")))</f>
        <v/>
      </c>
      <c r="Q22" s="11" t="str">
        <f aca="false">IF(OR(I22="",I22&lt;1,O22=""),"",O22+0)</f>
        <v/>
      </c>
      <c r="R22" s="11" t="str">
        <f aca="false">IF(OR(I22="",I22&lt;2,O22=""),"",O22+30)</f>
        <v/>
      </c>
      <c r="S22" s="11" t="str">
        <f aca="false">IF(OR(I22="",I22&lt;3,O22=""),"",O22+60)</f>
        <v/>
      </c>
      <c r="T22" s="11" t="str">
        <f aca="false">IF(OR(I22="",I22&lt;4,O22=""),"",O22+90)</f>
        <v/>
      </c>
      <c r="U22" s="11" t="str">
        <f aca="false">IF(OR(I22="",I22&lt;5,O22=""),"",O22+120)</f>
        <v/>
      </c>
      <c r="V22" s="11" t="str">
        <f aca="false">IF(OR(I22="",I22&lt;6,O22=""),"",O22+150)</f>
        <v/>
      </c>
      <c r="W22" s="11" t="str">
        <f aca="false">IF(OR(I22="",I22&lt;7,O22=""),"",O22+180)</f>
        <v/>
      </c>
      <c r="X22" s="11" t="str">
        <f aca="false">IF(OR(I22="",I22&lt;8,O22=""),"",O22+210)</f>
        <v/>
      </c>
      <c r="Y22" s="11" t="str">
        <f aca="false">IF(OR(I22="",I22&lt;9,O22=""),"",O22+240)</f>
        <v/>
      </c>
      <c r="Z22" s="11" t="str">
        <f aca="false">IF(OR(I22="",I22&lt;10,O22=""),"",O22+270)</f>
        <v/>
      </c>
      <c r="AA22" s="11" t="str">
        <f aca="false">IF(OR(I22="",I22&lt;11,O22=""),"",O22+300)</f>
        <v/>
      </c>
      <c r="AB22" s="11" t="str">
        <f aca="false">IF(OR(I22="",I22&lt;12,O22=""),"",O22+330)</f>
        <v/>
      </c>
      <c r="AC22" s="11" t="str">
        <f aca="false">IF(OR(I22="",I22&lt;13,O22=""),"",O22+360)</f>
        <v/>
      </c>
      <c r="AD22" s="11" t="str">
        <f aca="false">IF(OR(I22="",I22&lt;14,O22=""),"",O22+390)</f>
        <v/>
      </c>
      <c r="AE22" s="11" t="str">
        <f aca="false">IF(OR(I22="",I22&lt;15,O22=""),"",O22+420)</f>
        <v/>
      </c>
      <c r="AF22" s="11" t="str">
        <f aca="false">IF(OR(I22="",I22&lt;16,O22=""),"",O22+450)</f>
        <v/>
      </c>
      <c r="AG22" s="11" t="str">
        <f aca="false">IF(OR(I22="",I22&lt;17,O22=""),"",O22+480)</f>
        <v/>
      </c>
      <c r="AH22" s="11" t="str">
        <f aca="false">IF(OR(I22="",I22&lt;18,O22=""),"",O22+510)</f>
        <v/>
      </c>
      <c r="AI22" s="11" t="str">
        <f aca="false">IF(OR(I22="",I22&lt;19,O22=""),"",O22+540)</f>
        <v/>
      </c>
      <c r="AJ22" s="11" t="str">
        <f aca="false">IF(OR(I22="",I22&lt;20,O22=""),"",O22+570)</f>
        <v/>
      </c>
      <c r="AK22" s="11" t="str">
        <f aca="false">IF(OR(I22="",I22&lt;21,O22=""),"",O22+600)</f>
        <v/>
      </c>
      <c r="AL22" s="11" t="str">
        <f aca="false">IF(OR(I22="",I22&lt;22,O22=""),"",O22+630)</f>
        <v/>
      </c>
      <c r="AM22" s="11" t="str">
        <f aca="false">IF(OR(I22="",I22&lt;23,O22=""),"",O22+660)</f>
        <v/>
      </c>
      <c r="AN22" s="11" t="str">
        <f aca="false">IF(OR(I22="",I22&lt;24,O22=""),"",O22+690)</f>
        <v/>
      </c>
      <c r="AO22" s="7" t="str">
        <f aca="false">IF(J22="","",COUNTIF(Q22:AN22,TRUE())*J22)</f>
        <v/>
      </c>
      <c r="AP22" s="7" t="str">
        <f aca="false">IF(K22="","",K22-AO22)</f>
        <v/>
      </c>
      <c r="AQ22" s="7" t="str">
        <f aca="false">IF(K22="","",K22-F22-IF(N22="",0,N22))</f>
        <v/>
      </c>
    </row>
    <row r="23" customFormat="false" ht="15" hidden="false" customHeight="false" outlineLevel="0" collapsed="false">
      <c r="A23" s="12"/>
      <c r="B23" s="12"/>
      <c r="C23" s="12"/>
      <c r="D23" s="13"/>
      <c r="E23" s="13"/>
      <c r="F23" s="14"/>
      <c r="G23" s="12"/>
      <c r="H23" s="12"/>
      <c r="I23" s="12"/>
      <c r="J23" s="14"/>
      <c r="K23" s="15" t="str">
        <f aca="false">IF(OR(I23="",J23=""),"",I23*J23)</f>
        <v/>
      </c>
      <c r="L23" s="12"/>
      <c r="M23" s="16"/>
      <c r="N23" s="15" t="str">
        <f aca="false">IF(OR(L23="",M23="",K23=""),"",IF(L23="GANANCIA",(K23-F23)*M23,IF(L23="BRUTO",K23*M23,"")))</f>
        <v/>
      </c>
      <c r="O23" s="17" t="str">
        <f aca="false">IF(D23="","",D23)</f>
        <v/>
      </c>
      <c r="P23" s="18" t="str">
        <f aca="false">IF(I23="","",IF(COUNTIF(Q23:AN23,TRUE())&gt;=I23,"PAGADO",IF(COUNTIF(Q23:AN23,TRUE())&gt;0,"PARCIAL","VIGENTE")))</f>
        <v/>
      </c>
      <c r="Q23" s="19" t="str">
        <f aca="false">IF(OR(I23="",I23&lt;1,O23=""),"",O23+0)</f>
        <v/>
      </c>
      <c r="R23" s="19" t="str">
        <f aca="false">IF(OR(I23="",I23&lt;2,O23=""),"",O23+30)</f>
        <v/>
      </c>
      <c r="S23" s="19" t="str">
        <f aca="false">IF(OR(I23="",I23&lt;3,O23=""),"",O23+60)</f>
        <v/>
      </c>
      <c r="T23" s="19" t="str">
        <f aca="false">IF(OR(I23="",I23&lt;4,O23=""),"",O23+90)</f>
        <v/>
      </c>
      <c r="U23" s="19" t="str">
        <f aca="false">IF(OR(I23="",I23&lt;5,O23=""),"",O23+120)</f>
        <v/>
      </c>
      <c r="V23" s="19" t="str">
        <f aca="false">IF(OR(I23="",I23&lt;6,O23=""),"",O23+150)</f>
        <v/>
      </c>
      <c r="W23" s="19" t="str">
        <f aca="false">IF(OR(I23="",I23&lt;7,O23=""),"",O23+180)</f>
        <v/>
      </c>
      <c r="X23" s="19" t="str">
        <f aca="false">IF(OR(I23="",I23&lt;8,O23=""),"",O23+210)</f>
        <v/>
      </c>
      <c r="Y23" s="19" t="str">
        <f aca="false">IF(OR(I23="",I23&lt;9,O23=""),"",O23+240)</f>
        <v/>
      </c>
      <c r="Z23" s="19" t="str">
        <f aca="false">IF(OR(I23="",I23&lt;10,O23=""),"",O23+270)</f>
        <v/>
      </c>
      <c r="AA23" s="19" t="str">
        <f aca="false">IF(OR(I23="",I23&lt;11,O23=""),"",O23+300)</f>
        <v/>
      </c>
      <c r="AB23" s="19" t="str">
        <f aca="false">IF(OR(I23="",I23&lt;12,O23=""),"",O23+330)</f>
        <v/>
      </c>
      <c r="AC23" s="19" t="str">
        <f aca="false">IF(OR(I23="",I23&lt;13,O23=""),"",O23+360)</f>
        <v/>
      </c>
      <c r="AD23" s="19" t="str">
        <f aca="false">IF(OR(I23="",I23&lt;14,O23=""),"",O23+390)</f>
        <v/>
      </c>
      <c r="AE23" s="19" t="str">
        <f aca="false">IF(OR(I23="",I23&lt;15,O23=""),"",O23+420)</f>
        <v/>
      </c>
      <c r="AF23" s="19" t="str">
        <f aca="false">IF(OR(I23="",I23&lt;16,O23=""),"",O23+450)</f>
        <v/>
      </c>
      <c r="AG23" s="19" t="str">
        <f aca="false">IF(OR(I23="",I23&lt;17,O23=""),"",O23+480)</f>
        <v/>
      </c>
      <c r="AH23" s="19" t="str">
        <f aca="false">IF(OR(I23="",I23&lt;18,O23=""),"",O23+510)</f>
        <v/>
      </c>
      <c r="AI23" s="19" t="str">
        <f aca="false">IF(OR(I23="",I23&lt;19,O23=""),"",O23+540)</f>
        <v/>
      </c>
      <c r="AJ23" s="19" t="str">
        <f aca="false">IF(OR(I23="",I23&lt;20,O23=""),"",O23+570)</f>
        <v/>
      </c>
      <c r="AK23" s="19" t="str">
        <f aca="false">IF(OR(I23="",I23&lt;21,O23=""),"",O23+600)</f>
        <v/>
      </c>
      <c r="AL23" s="19" t="str">
        <f aca="false">IF(OR(I23="",I23&lt;22,O23=""),"",O23+630)</f>
        <v/>
      </c>
      <c r="AM23" s="19" t="str">
        <f aca="false">IF(OR(I23="",I23&lt;23,O23=""),"",O23+660)</f>
        <v/>
      </c>
      <c r="AN23" s="19" t="str">
        <f aca="false">IF(OR(I23="",I23&lt;24,O23=""),"",O23+690)</f>
        <v/>
      </c>
      <c r="AO23" s="15" t="str">
        <f aca="false">IF(J23="","",COUNTIF(Q23:AN23,TRUE())*J23)</f>
        <v/>
      </c>
      <c r="AP23" s="15" t="str">
        <f aca="false">IF(K23="","",K23-AO23)</f>
        <v/>
      </c>
      <c r="AQ23" s="15" t="str">
        <f aca="false">IF(K23="","",K23-F23-IF(N23="",0,N23))</f>
        <v/>
      </c>
    </row>
    <row r="24" customFormat="false" ht="15" hidden="false" customHeight="false" outlineLevel="0" collapsed="false">
      <c r="A24" s="4"/>
      <c r="B24" s="4"/>
      <c r="C24" s="4"/>
      <c r="D24" s="5"/>
      <c r="E24" s="5"/>
      <c r="F24" s="6"/>
      <c r="G24" s="4"/>
      <c r="H24" s="4"/>
      <c r="I24" s="4"/>
      <c r="J24" s="6"/>
      <c r="K24" s="7" t="str">
        <f aca="false">IF(OR(I24="",J24=""),"",I24*J24)</f>
        <v/>
      </c>
      <c r="L24" s="4"/>
      <c r="M24" s="8"/>
      <c r="N24" s="7" t="str">
        <f aca="false">IF(OR(L24="",M24="",K24=""),"",IF(L24="GANANCIA",(K24-F24)*M24,IF(L24="BRUTO",K24*M24,"")))</f>
        <v/>
      </c>
      <c r="O24" s="9" t="str">
        <f aca="false">IF(D24="","",D24)</f>
        <v/>
      </c>
      <c r="P24" s="10" t="str">
        <f aca="false">IF(I24="","",IF(COUNTIF(Q24:AN24,TRUE())&gt;=I24,"PAGADO",IF(COUNTIF(Q24:AN24,TRUE())&gt;0,"PARCIAL","VIGENTE")))</f>
        <v/>
      </c>
      <c r="Q24" s="11" t="str">
        <f aca="false">IF(OR(I24="",I24&lt;1,O24=""),"",O24+0)</f>
        <v/>
      </c>
      <c r="R24" s="11" t="str">
        <f aca="false">IF(OR(I24="",I24&lt;2,O24=""),"",O24+30)</f>
        <v/>
      </c>
      <c r="S24" s="11" t="str">
        <f aca="false">IF(OR(I24="",I24&lt;3,O24=""),"",O24+60)</f>
        <v/>
      </c>
      <c r="T24" s="11" t="str">
        <f aca="false">IF(OR(I24="",I24&lt;4,O24=""),"",O24+90)</f>
        <v/>
      </c>
      <c r="U24" s="11" t="str">
        <f aca="false">IF(OR(I24="",I24&lt;5,O24=""),"",O24+120)</f>
        <v/>
      </c>
      <c r="V24" s="11" t="str">
        <f aca="false">IF(OR(I24="",I24&lt;6,O24=""),"",O24+150)</f>
        <v/>
      </c>
      <c r="W24" s="11" t="str">
        <f aca="false">IF(OR(I24="",I24&lt;7,O24=""),"",O24+180)</f>
        <v/>
      </c>
      <c r="X24" s="11" t="str">
        <f aca="false">IF(OR(I24="",I24&lt;8,O24=""),"",O24+210)</f>
        <v/>
      </c>
      <c r="Y24" s="11" t="str">
        <f aca="false">IF(OR(I24="",I24&lt;9,O24=""),"",O24+240)</f>
        <v/>
      </c>
      <c r="Z24" s="11" t="str">
        <f aca="false">IF(OR(I24="",I24&lt;10,O24=""),"",O24+270)</f>
        <v/>
      </c>
      <c r="AA24" s="11" t="str">
        <f aca="false">IF(OR(I24="",I24&lt;11,O24=""),"",O24+300)</f>
        <v/>
      </c>
      <c r="AB24" s="11" t="str">
        <f aca="false">IF(OR(I24="",I24&lt;12,O24=""),"",O24+330)</f>
        <v/>
      </c>
      <c r="AC24" s="11" t="str">
        <f aca="false">IF(OR(I24="",I24&lt;13,O24=""),"",O24+360)</f>
        <v/>
      </c>
      <c r="AD24" s="11" t="str">
        <f aca="false">IF(OR(I24="",I24&lt;14,O24=""),"",O24+390)</f>
        <v/>
      </c>
      <c r="AE24" s="11" t="str">
        <f aca="false">IF(OR(I24="",I24&lt;15,O24=""),"",O24+420)</f>
        <v/>
      </c>
      <c r="AF24" s="11" t="str">
        <f aca="false">IF(OR(I24="",I24&lt;16,O24=""),"",O24+450)</f>
        <v/>
      </c>
      <c r="AG24" s="11" t="str">
        <f aca="false">IF(OR(I24="",I24&lt;17,O24=""),"",O24+480)</f>
        <v/>
      </c>
      <c r="AH24" s="11" t="str">
        <f aca="false">IF(OR(I24="",I24&lt;18,O24=""),"",O24+510)</f>
        <v/>
      </c>
      <c r="AI24" s="11" t="str">
        <f aca="false">IF(OR(I24="",I24&lt;19,O24=""),"",O24+540)</f>
        <v/>
      </c>
      <c r="AJ24" s="11" t="str">
        <f aca="false">IF(OR(I24="",I24&lt;20,O24=""),"",O24+570)</f>
        <v/>
      </c>
      <c r="AK24" s="11" t="str">
        <f aca="false">IF(OR(I24="",I24&lt;21,O24=""),"",O24+600)</f>
        <v/>
      </c>
      <c r="AL24" s="11" t="str">
        <f aca="false">IF(OR(I24="",I24&lt;22,O24=""),"",O24+630)</f>
        <v/>
      </c>
      <c r="AM24" s="11" t="str">
        <f aca="false">IF(OR(I24="",I24&lt;23,O24=""),"",O24+660)</f>
        <v/>
      </c>
      <c r="AN24" s="11" t="str">
        <f aca="false">IF(OR(I24="",I24&lt;24,O24=""),"",O24+690)</f>
        <v/>
      </c>
      <c r="AO24" s="7" t="str">
        <f aca="false">IF(J24="","",COUNTIF(Q24:AN24,TRUE())*J24)</f>
        <v/>
      </c>
      <c r="AP24" s="7" t="str">
        <f aca="false">IF(K24="","",K24-AO24)</f>
        <v/>
      </c>
      <c r="AQ24" s="7" t="str">
        <f aca="false">IF(K24="","",K24-F24-IF(N24="",0,N24))</f>
        <v/>
      </c>
    </row>
    <row r="25" customFormat="false" ht="15" hidden="false" customHeight="false" outlineLevel="0" collapsed="false">
      <c r="A25" s="12"/>
      <c r="B25" s="12"/>
      <c r="C25" s="12"/>
      <c r="D25" s="13"/>
      <c r="E25" s="13"/>
      <c r="F25" s="14"/>
      <c r="G25" s="12"/>
      <c r="H25" s="12"/>
      <c r="I25" s="12"/>
      <c r="J25" s="14"/>
      <c r="K25" s="15" t="str">
        <f aca="false">IF(OR(I25="",J25=""),"",I25*J25)</f>
        <v/>
      </c>
      <c r="L25" s="12"/>
      <c r="M25" s="16"/>
      <c r="N25" s="15" t="str">
        <f aca="false">IF(OR(L25="",M25="",K25=""),"",IF(L25="GANANCIA",(K25-F25)*M25,IF(L25="BRUTO",K25*M25,"")))</f>
        <v/>
      </c>
      <c r="O25" s="17" t="str">
        <f aca="false">IF(D25="","",D25)</f>
        <v/>
      </c>
      <c r="P25" s="18" t="str">
        <f aca="false">IF(I25="","",IF(COUNTIF(Q25:AN25,TRUE())&gt;=I25,"PAGADO",IF(COUNTIF(Q25:AN25,TRUE())&gt;0,"PARCIAL","VIGENTE")))</f>
        <v/>
      </c>
      <c r="Q25" s="19" t="str">
        <f aca="false">IF(OR(I25="",I25&lt;1,O25=""),"",O25+0)</f>
        <v/>
      </c>
      <c r="R25" s="19" t="str">
        <f aca="false">IF(OR(I25="",I25&lt;2,O25=""),"",O25+30)</f>
        <v/>
      </c>
      <c r="S25" s="19" t="str">
        <f aca="false">IF(OR(I25="",I25&lt;3,O25=""),"",O25+60)</f>
        <v/>
      </c>
      <c r="T25" s="19" t="str">
        <f aca="false">IF(OR(I25="",I25&lt;4,O25=""),"",O25+90)</f>
        <v/>
      </c>
      <c r="U25" s="19" t="str">
        <f aca="false">IF(OR(I25="",I25&lt;5,O25=""),"",O25+120)</f>
        <v/>
      </c>
      <c r="V25" s="19" t="str">
        <f aca="false">IF(OR(I25="",I25&lt;6,O25=""),"",O25+150)</f>
        <v/>
      </c>
      <c r="W25" s="19" t="str">
        <f aca="false">IF(OR(I25="",I25&lt;7,O25=""),"",O25+180)</f>
        <v/>
      </c>
      <c r="X25" s="19" t="str">
        <f aca="false">IF(OR(I25="",I25&lt;8,O25=""),"",O25+210)</f>
        <v/>
      </c>
      <c r="Y25" s="19" t="str">
        <f aca="false">IF(OR(I25="",I25&lt;9,O25=""),"",O25+240)</f>
        <v/>
      </c>
      <c r="Z25" s="19" t="str">
        <f aca="false">IF(OR(I25="",I25&lt;10,O25=""),"",O25+270)</f>
        <v/>
      </c>
      <c r="AA25" s="19" t="str">
        <f aca="false">IF(OR(I25="",I25&lt;11,O25=""),"",O25+300)</f>
        <v/>
      </c>
      <c r="AB25" s="19" t="str">
        <f aca="false">IF(OR(I25="",I25&lt;12,O25=""),"",O25+330)</f>
        <v/>
      </c>
      <c r="AC25" s="19" t="str">
        <f aca="false">IF(OR(I25="",I25&lt;13,O25=""),"",O25+360)</f>
        <v/>
      </c>
      <c r="AD25" s="19" t="str">
        <f aca="false">IF(OR(I25="",I25&lt;14,O25=""),"",O25+390)</f>
        <v/>
      </c>
      <c r="AE25" s="19" t="str">
        <f aca="false">IF(OR(I25="",I25&lt;15,O25=""),"",O25+420)</f>
        <v/>
      </c>
      <c r="AF25" s="19" t="str">
        <f aca="false">IF(OR(I25="",I25&lt;16,O25=""),"",O25+450)</f>
        <v/>
      </c>
      <c r="AG25" s="19" t="str">
        <f aca="false">IF(OR(I25="",I25&lt;17,O25=""),"",O25+480)</f>
        <v/>
      </c>
      <c r="AH25" s="19" t="str">
        <f aca="false">IF(OR(I25="",I25&lt;18,O25=""),"",O25+510)</f>
        <v/>
      </c>
      <c r="AI25" s="19" t="str">
        <f aca="false">IF(OR(I25="",I25&lt;19,O25=""),"",O25+540)</f>
        <v/>
      </c>
      <c r="AJ25" s="19" t="str">
        <f aca="false">IF(OR(I25="",I25&lt;20,O25=""),"",O25+570)</f>
        <v/>
      </c>
      <c r="AK25" s="19" t="str">
        <f aca="false">IF(OR(I25="",I25&lt;21,O25=""),"",O25+600)</f>
        <v/>
      </c>
      <c r="AL25" s="19" t="str">
        <f aca="false">IF(OR(I25="",I25&lt;22,O25=""),"",O25+630)</f>
        <v/>
      </c>
      <c r="AM25" s="19" t="str">
        <f aca="false">IF(OR(I25="",I25&lt;23,O25=""),"",O25+660)</f>
        <v/>
      </c>
      <c r="AN25" s="19" t="str">
        <f aca="false">IF(OR(I25="",I25&lt;24,O25=""),"",O25+690)</f>
        <v/>
      </c>
      <c r="AO25" s="15" t="str">
        <f aca="false">IF(J25="","",COUNTIF(Q25:AN25,TRUE())*J25)</f>
        <v/>
      </c>
      <c r="AP25" s="15" t="str">
        <f aca="false">IF(K25="","",K25-AO25)</f>
        <v/>
      </c>
      <c r="AQ25" s="15" t="str">
        <f aca="false">IF(K25="","",K25-F25-IF(N25="",0,N25))</f>
        <v/>
      </c>
    </row>
    <row r="26" customFormat="false" ht="15" hidden="false" customHeight="false" outlineLevel="0" collapsed="false">
      <c r="A26" s="4"/>
      <c r="B26" s="4"/>
      <c r="C26" s="4"/>
      <c r="D26" s="5"/>
      <c r="E26" s="5"/>
      <c r="F26" s="6"/>
      <c r="G26" s="4"/>
      <c r="H26" s="4"/>
      <c r="I26" s="4"/>
      <c r="J26" s="6"/>
      <c r="K26" s="7" t="str">
        <f aca="false">IF(OR(I26="",J26=""),"",I26*J26)</f>
        <v/>
      </c>
      <c r="L26" s="4"/>
      <c r="M26" s="8"/>
      <c r="N26" s="7" t="str">
        <f aca="false">IF(OR(L26="",M26="",K26=""),"",IF(L26="GANANCIA",(K26-F26)*M26,IF(L26="BRUTO",K26*M26,"")))</f>
        <v/>
      </c>
      <c r="O26" s="9" t="str">
        <f aca="false">IF(D26="","",D26)</f>
        <v/>
      </c>
      <c r="P26" s="10" t="str">
        <f aca="false">IF(I26="","",IF(COUNTIF(Q26:AN26,TRUE())&gt;=I26,"PAGADO",IF(COUNTIF(Q26:AN26,TRUE())&gt;0,"PARCIAL","VIGENTE")))</f>
        <v/>
      </c>
      <c r="Q26" s="11" t="str">
        <f aca="false">IF(OR(I26="",I26&lt;1,O26=""),"",O26+0)</f>
        <v/>
      </c>
      <c r="R26" s="11" t="str">
        <f aca="false">IF(OR(I26="",I26&lt;2,O26=""),"",O26+30)</f>
        <v/>
      </c>
      <c r="S26" s="11" t="str">
        <f aca="false">IF(OR(I26="",I26&lt;3,O26=""),"",O26+60)</f>
        <v/>
      </c>
      <c r="T26" s="11" t="str">
        <f aca="false">IF(OR(I26="",I26&lt;4,O26=""),"",O26+90)</f>
        <v/>
      </c>
      <c r="U26" s="11" t="str">
        <f aca="false">IF(OR(I26="",I26&lt;5,O26=""),"",O26+120)</f>
        <v/>
      </c>
      <c r="V26" s="11" t="str">
        <f aca="false">IF(OR(I26="",I26&lt;6,O26=""),"",O26+150)</f>
        <v/>
      </c>
      <c r="W26" s="11" t="str">
        <f aca="false">IF(OR(I26="",I26&lt;7,O26=""),"",O26+180)</f>
        <v/>
      </c>
      <c r="X26" s="11" t="str">
        <f aca="false">IF(OR(I26="",I26&lt;8,O26=""),"",O26+210)</f>
        <v/>
      </c>
      <c r="Y26" s="11" t="str">
        <f aca="false">IF(OR(I26="",I26&lt;9,O26=""),"",O26+240)</f>
        <v/>
      </c>
      <c r="Z26" s="11" t="str">
        <f aca="false">IF(OR(I26="",I26&lt;10,O26=""),"",O26+270)</f>
        <v/>
      </c>
      <c r="AA26" s="11" t="str">
        <f aca="false">IF(OR(I26="",I26&lt;11,O26=""),"",O26+300)</f>
        <v/>
      </c>
      <c r="AB26" s="11" t="str">
        <f aca="false">IF(OR(I26="",I26&lt;12,O26=""),"",O26+330)</f>
        <v/>
      </c>
      <c r="AC26" s="11" t="str">
        <f aca="false">IF(OR(I26="",I26&lt;13,O26=""),"",O26+360)</f>
        <v/>
      </c>
      <c r="AD26" s="11" t="str">
        <f aca="false">IF(OR(I26="",I26&lt;14,O26=""),"",O26+390)</f>
        <v/>
      </c>
      <c r="AE26" s="11" t="str">
        <f aca="false">IF(OR(I26="",I26&lt;15,O26=""),"",O26+420)</f>
        <v/>
      </c>
      <c r="AF26" s="11" t="str">
        <f aca="false">IF(OR(I26="",I26&lt;16,O26=""),"",O26+450)</f>
        <v/>
      </c>
      <c r="AG26" s="11" t="str">
        <f aca="false">IF(OR(I26="",I26&lt;17,O26=""),"",O26+480)</f>
        <v/>
      </c>
      <c r="AH26" s="11" t="str">
        <f aca="false">IF(OR(I26="",I26&lt;18,O26=""),"",O26+510)</f>
        <v/>
      </c>
      <c r="AI26" s="11" t="str">
        <f aca="false">IF(OR(I26="",I26&lt;19,O26=""),"",O26+540)</f>
        <v/>
      </c>
      <c r="AJ26" s="11" t="str">
        <f aca="false">IF(OR(I26="",I26&lt;20,O26=""),"",O26+570)</f>
        <v/>
      </c>
      <c r="AK26" s="11" t="str">
        <f aca="false">IF(OR(I26="",I26&lt;21,O26=""),"",O26+600)</f>
        <v/>
      </c>
      <c r="AL26" s="11" t="str">
        <f aca="false">IF(OR(I26="",I26&lt;22,O26=""),"",O26+630)</f>
        <v/>
      </c>
      <c r="AM26" s="11" t="str">
        <f aca="false">IF(OR(I26="",I26&lt;23,O26=""),"",O26+660)</f>
        <v/>
      </c>
      <c r="AN26" s="11" t="str">
        <f aca="false">IF(OR(I26="",I26&lt;24,O26=""),"",O26+690)</f>
        <v/>
      </c>
      <c r="AO26" s="7" t="str">
        <f aca="false">IF(J26="","",COUNTIF(Q26:AN26,TRUE())*J26)</f>
        <v/>
      </c>
      <c r="AP26" s="7" t="str">
        <f aca="false">IF(K26="","",K26-AO26)</f>
        <v/>
      </c>
      <c r="AQ26" s="7" t="str">
        <f aca="false">IF(K26="","",K26-F26-IF(N26="",0,N26))</f>
        <v/>
      </c>
    </row>
    <row r="27" customFormat="false" ht="15" hidden="false" customHeight="false" outlineLevel="0" collapsed="false">
      <c r="A27" s="12"/>
      <c r="B27" s="12"/>
      <c r="C27" s="12"/>
      <c r="D27" s="13"/>
      <c r="E27" s="13"/>
      <c r="F27" s="14"/>
      <c r="G27" s="12"/>
      <c r="H27" s="12"/>
      <c r="I27" s="12"/>
      <c r="J27" s="14"/>
      <c r="K27" s="15" t="str">
        <f aca="false">IF(OR(I27="",J27=""),"",I27*J27)</f>
        <v/>
      </c>
      <c r="L27" s="12"/>
      <c r="M27" s="16"/>
      <c r="N27" s="15" t="str">
        <f aca="false">IF(OR(L27="",M27="",K27=""),"",IF(L27="GANANCIA",(K27-F27)*M27,IF(L27="BRUTO",K27*M27,"")))</f>
        <v/>
      </c>
      <c r="O27" s="17" t="str">
        <f aca="false">IF(D27="","",D27)</f>
        <v/>
      </c>
      <c r="P27" s="18" t="str">
        <f aca="false">IF(I27="","",IF(COUNTIF(Q27:AN27,TRUE())&gt;=I27,"PAGADO",IF(COUNTIF(Q27:AN27,TRUE())&gt;0,"PARCIAL","VIGENTE")))</f>
        <v/>
      </c>
      <c r="Q27" s="19" t="str">
        <f aca="false">IF(OR(I27="",I27&lt;1,O27=""),"",O27+0)</f>
        <v/>
      </c>
      <c r="R27" s="19" t="str">
        <f aca="false">IF(OR(I27="",I27&lt;2,O27=""),"",O27+30)</f>
        <v/>
      </c>
      <c r="S27" s="19" t="str">
        <f aca="false">IF(OR(I27="",I27&lt;3,O27=""),"",O27+60)</f>
        <v/>
      </c>
      <c r="T27" s="19" t="str">
        <f aca="false">IF(OR(I27="",I27&lt;4,O27=""),"",O27+90)</f>
        <v/>
      </c>
      <c r="U27" s="19" t="str">
        <f aca="false">IF(OR(I27="",I27&lt;5,O27=""),"",O27+120)</f>
        <v/>
      </c>
      <c r="V27" s="19" t="str">
        <f aca="false">IF(OR(I27="",I27&lt;6,O27=""),"",O27+150)</f>
        <v/>
      </c>
      <c r="W27" s="19" t="str">
        <f aca="false">IF(OR(I27="",I27&lt;7,O27=""),"",O27+180)</f>
        <v/>
      </c>
      <c r="X27" s="19" t="str">
        <f aca="false">IF(OR(I27="",I27&lt;8,O27=""),"",O27+210)</f>
        <v/>
      </c>
      <c r="Y27" s="19" t="str">
        <f aca="false">IF(OR(I27="",I27&lt;9,O27=""),"",O27+240)</f>
        <v/>
      </c>
      <c r="Z27" s="19" t="str">
        <f aca="false">IF(OR(I27="",I27&lt;10,O27=""),"",O27+270)</f>
        <v/>
      </c>
      <c r="AA27" s="19" t="str">
        <f aca="false">IF(OR(I27="",I27&lt;11,O27=""),"",O27+300)</f>
        <v/>
      </c>
      <c r="AB27" s="19" t="str">
        <f aca="false">IF(OR(I27="",I27&lt;12,O27=""),"",O27+330)</f>
        <v/>
      </c>
      <c r="AC27" s="19" t="str">
        <f aca="false">IF(OR(I27="",I27&lt;13,O27=""),"",O27+360)</f>
        <v/>
      </c>
      <c r="AD27" s="19" t="str">
        <f aca="false">IF(OR(I27="",I27&lt;14,O27=""),"",O27+390)</f>
        <v/>
      </c>
      <c r="AE27" s="19" t="str">
        <f aca="false">IF(OR(I27="",I27&lt;15,O27=""),"",O27+420)</f>
        <v/>
      </c>
      <c r="AF27" s="19" t="str">
        <f aca="false">IF(OR(I27="",I27&lt;16,O27=""),"",O27+450)</f>
        <v/>
      </c>
      <c r="AG27" s="19" t="str">
        <f aca="false">IF(OR(I27="",I27&lt;17,O27=""),"",O27+480)</f>
        <v/>
      </c>
      <c r="AH27" s="19" t="str">
        <f aca="false">IF(OR(I27="",I27&lt;18,O27=""),"",O27+510)</f>
        <v/>
      </c>
      <c r="AI27" s="19" t="str">
        <f aca="false">IF(OR(I27="",I27&lt;19,O27=""),"",O27+540)</f>
        <v/>
      </c>
      <c r="AJ27" s="19" t="str">
        <f aca="false">IF(OR(I27="",I27&lt;20,O27=""),"",O27+570)</f>
        <v/>
      </c>
      <c r="AK27" s="19" t="str">
        <f aca="false">IF(OR(I27="",I27&lt;21,O27=""),"",O27+600)</f>
        <v/>
      </c>
      <c r="AL27" s="19" t="str">
        <f aca="false">IF(OR(I27="",I27&lt;22,O27=""),"",O27+630)</f>
        <v/>
      </c>
      <c r="AM27" s="19" t="str">
        <f aca="false">IF(OR(I27="",I27&lt;23,O27=""),"",O27+660)</f>
        <v/>
      </c>
      <c r="AN27" s="19" t="str">
        <f aca="false">IF(OR(I27="",I27&lt;24,O27=""),"",O27+690)</f>
        <v/>
      </c>
      <c r="AO27" s="15" t="str">
        <f aca="false">IF(J27="","",COUNTIF(Q27:AN27,TRUE())*J27)</f>
        <v/>
      </c>
      <c r="AP27" s="15" t="str">
        <f aca="false">IF(K27="","",K27-AO27)</f>
        <v/>
      </c>
      <c r="AQ27" s="15" t="str">
        <f aca="false">IF(K27="","",K27-F27-IF(N27="",0,N27))</f>
        <v/>
      </c>
    </row>
    <row r="28" customFormat="false" ht="15" hidden="false" customHeight="false" outlineLevel="0" collapsed="false">
      <c r="A28" s="4"/>
      <c r="B28" s="4"/>
      <c r="C28" s="4"/>
      <c r="D28" s="5"/>
      <c r="E28" s="5"/>
      <c r="F28" s="6"/>
      <c r="G28" s="4"/>
      <c r="H28" s="4"/>
      <c r="I28" s="4"/>
      <c r="J28" s="6"/>
      <c r="K28" s="7" t="str">
        <f aca="false">IF(OR(I28="",J28=""),"",I28*J28)</f>
        <v/>
      </c>
      <c r="L28" s="4"/>
      <c r="M28" s="8"/>
      <c r="N28" s="7" t="str">
        <f aca="false">IF(OR(L28="",M28="",K28=""),"",IF(L28="GANANCIA",(K28-F28)*M28,IF(L28="BRUTO",K28*M28,"")))</f>
        <v/>
      </c>
      <c r="O28" s="9" t="str">
        <f aca="false">IF(D28="","",D28)</f>
        <v/>
      </c>
      <c r="P28" s="10" t="str">
        <f aca="false">IF(I28="","",IF(COUNTIF(Q28:AN28,TRUE())&gt;=I28,"PAGADO",IF(COUNTIF(Q28:AN28,TRUE())&gt;0,"PARCIAL","VIGENTE")))</f>
        <v/>
      </c>
      <c r="Q28" s="11" t="str">
        <f aca="false">IF(OR(I28="",I28&lt;1,O28=""),"",O28+0)</f>
        <v/>
      </c>
      <c r="R28" s="11" t="str">
        <f aca="false">IF(OR(I28="",I28&lt;2,O28=""),"",O28+30)</f>
        <v/>
      </c>
      <c r="S28" s="11" t="str">
        <f aca="false">IF(OR(I28="",I28&lt;3,O28=""),"",O28+60)</f>
        <v/>
      </c>
      <c r="T28" s="11" t="str">
        <f aca="false">IF(OR(I28="",I28&lt;4,O28=""),"",O28+90)</f>
        <v/>
      </c>
      <c r="U28" s="11" t="str">
        <f aca="false">IF(OR(I28="",I28&lt;5,O28=""),"",O28+120)</f>
        <v/>
      </c>
      <c r="V28" s="11" t="str">
        <f aca="false">IF(OR(I28="",I28&lt;6,O28=""),"",O28+150)</f>
        <v/>
      </c>
      <c r="W28" s="11" t="str">
        <f aca="false">IF(OR(I28="",I28&lt;7,O28=""),"",O28+180)</f>
        <v/>
      </c>
      <c r="X28" s="11" t="str">
        <f aca="false">IF(OR(I28="",I28&lt;8,O28=""),"",O28+210)</f>
        <v/>
      </c>
      <c r="Y28" s="11" t="str">
        <f aca="false">IF(OR(I28="",I28&lt;9,O28=""),"",O28+240)</f>
        <v/>
      </c>
      <c r="Z28" s="11" t="str">
        <f aca="false">IF(OR(I28="",I28&lt;10,O28=""),"",O28+270)</f>
        <v/>
      </c>
      <c r="AA28" s="11" t="str">
        <f aca="false">IF(OR(I28="",I28&lt;11,O28=""),"",O28+300)</f>
        <v/>
      </c>
      <c r="AB28" s="11" t="str">
        <f aca="false">IF(OR(I28="",I28&lt;12,O28=""),"",O28+330)</f>
        <v/>
      </c>
      <c r="AC28" s="11" t="str">
        <f aca="false">IF(OR(I28="",I28&lt;13,O28=""),"",O28+360)</f>
        <v/>
      </c>
      <c r="AD28" s="11" t="str">
        <f aca="false">IF(OR(I28="",I28&lt;14,O28=""),"",O28+390)</f>
        <v/>
      </c>
      <c r="AE28" s="11" t="str">
        <f aca="false">IF(OR(I28="",I28&lt;15,O28=""),"",O28+420)</f>
        <v/>
      </c>
      <c r="AF28" s="11" t="str">
        <f aca="false">IF(OR(I28="",I28&lt;16,O28=""),"",O28+450)</f>
        <v/>
      </c>
      <c r="AG28" s="11" t="str">
        <f aca="false">IF(OR(I28="",I28&lt;17,O28=""),"",O28+480)</f>
        <v/>
      </c>
      <c r="AH28" s="11" t="str">
        <f aca="false">IF(OR(I28="",I28&lt;18,O28=""),"",O28+510)</f>
        <v/>
      </c>
      <c r="AI28" s="11" t="str">
        <f aca="false">IF(OR(I28="",I28&lt;19,O28=""),"",O28+540)</f>
        <v/>
      </c>
      <c r="AJ28" s="11" t="str">
        <f aca="false">IF(OR(I28="",I28&lt;20,O28=""),"",O28+570)</f>
        <v/>
      </c>
      <c r="AK28" s="11" t="str">
        <f aca="false">IF(OR(I28="",I28&lt;21,O28=""),"",O28+600)</f>
        <v/>
      </c>
      <c r="AL28" s="11" t="str">
        <f aca="false">IF(OR(I28="",I28&lt;22,O28=""),"",O28+630)</f>
        <v/>
      </c>
      <c r="AM28" s="11" t="str">
        <f aca="false">IF(OR(I28="",I28&lt;23,O28=""),"",O28+660)</f>
        <v/>
      </c>
      <c r="AN28" s="11" t="str">
        <f aca="false">IF(OR(I28="",I28&lt;24,O28=""),"",O28+690)</f>
        <v/>
      </c>
      <c r="AO28" s="7" t="str">
        <f aca="false">IF(J28="","",COUNTIF(Q28:AN28,TRUE())*J28)</f>
        <v/>
      </c>
      <c r="AP28" s="7" t="str">
        <f aca="false">IF(K28="","",K28-AO28)</f>
        <v/>
      </c>
      <c r="AQ28" s="7" t="str">
        <f aca="false">IF(K28="","",K28-F28-IF(N28="",0,N28))</f>
        <v/>
      </c>
    </row>
    <row r="29" customFormat="false" ht="15" hidden="false" customHeight="false" outlineLevel="0" collapsed="false">
      <c r="A29" s="12"/>
      <c r="B29" s="12"/>
      <c r="C29" s="12"/>
      <c r="D29" s="13"/>
      <c r="E29" s="13"/>
      <c r="F29" s="14"/>
      <c r="G29" s="12"/>
      <c r="H29" s="12"/>
      <c r="I29" s="12"/>
      <c r="J29" s="14"/>
      <c r="K29" s="15" t="str">
        <f aca="false">IF(OR(I29="",J29=""),"",I29*J29)</f>
        <v/>
      </c>
      <c r="L29" s="12"/>
      <c r="M29" s="16"/>
      <c r="N29" s="15" t="str">
        <f aca="false">IF(OR(L29="",M29="",K29=""),"",IF(L29="GANANCIA",(K29-F29)*M29,IF(L29="BRUTO",K29*M29,"")))</f>
        <v/>
      </c>
      <c r="O29" s="17" t="str">
        <f aca="false">IF(D29="","",D29)</f>
        <v/>
      </c>
      <c r="P29" s="18" t="str">
        <f aca="false">IF(I29="","",IF(COUNTIF(Q29:AN29,TRUE())&gt;=I29,"PAGADO",IF(COUNTIF(Q29:AN29,TRUE())&gt;0,"PARCIAL","VIGENTE")))</f>
        <v/>
      </c>
      <c r="Q29" s="19" t="str">
        <f aca="false">IF(OR(I29="",I29&lt;1,O29=""),"",O29+0)</f>
        <v/>
      </c>
      <c r="R29" s="19" t="str">
        <f aca="false">IF(OR(I29="",I29&lt;2,O29=""),"",O29+30)</f>
        <v/>
      </c>
      <c r="S29" s="19" t="str">
        <f aca="false">IF(OR(I29="",I29&lt;3,O29=""),"",O29+60)</f>
        <v/>
      </c>
      <c r="T29" s="19" t="str">
        <f aca="false">IF(OR(I29="",I29&lt;4,O29=""),"",O29+90)</f>
        <v/>
      </c>
      <c r="U29" s="19" t="str">
        <f aca="false">IF(OR(I29="",I29&lt;5,O29=""),"",O29+120)</f>
        <v/>
      </c>
      <c r="V29" s="19" t="str">
        <f aca="false">IF(OR(I29="",I29&lt;6,O29=""),"",O29+150)</f>
        <v/>
      </c>
      <c r="W29" s="19" t="str">
        <f aca="false">IF(OR(I29="",I29&lt;7,O29=""),"",O29+180)</f>
        <v/>
      </c>
      <c r="X29" s="19" t="str">
        <f aca="false">IF(OR(I29="",I29&lt;8,O29=""),"",O29+210)</f>
        <v/>
      </c>
      <c r="Y29" s="19" t="str">
        <f aca="false">IF(OR(I29="",I29&lt;9,O29=""),"",O29+240)</f>
        <v/>
      </c>
      <c r="Z29" s="19" t="str">
        <f aca="false">IF(OR(I29="",I29&lt;10,O29=""),"",O29+270)</f>
        <v/>
      </c>
      <c r="AA29" s="19" t="str">
        <f aca="false">IF(OR(I29="",I29&lt;11,O29=""),"",O29+300)</f>
        <v/>
      </c>
      <c r="AB29" s="19" t="str">
        <f aca="false">IF(OR(I29="",I29&lt;12,O29=""),"",O29+330)</f>
        <v/>
      </c>
      <c r="AC29" s="19" t="str">
        <f aca="false">IF(OR(I29="",I29&lt;13,O29=""),"",O29+360)</f>
        <v/>
      </c>
      <c r="AD29" s="19" t="str">
        <f aca="false">IF(OR(I29="",I29&lt;14,O29=""),"",O29+390)</f>
        <v/>
      </c>
      <c r="AE29" s="19" t="str">
        <f aca="false">IF(OR(I29="",I29&lt;15,O29=""),"",O29+420)</f>
        <v/>
      </c>
      <c r="AF29" s="19" t="str">
        <f aca="false">IF(OR(I29="",I29&lt;16,O29=""),"",O29+450)</f>
        <v/>
      </c>
      <c r="AG29" s="19" t="str">
        <f aca="false">IF(OR(I29="",I29&lt;17,O29=""),"",O29+480)</f>
        <v/>
      </c>
      <c r="AH29" s="19" t="str">
        <f aca="false">IF(OR(I29="",I29&lt;18,O29=""),"",O29+510)</f>
        <v/>
      </c>
      <c r="AI29" s="19" t="str">
        <f aca="false">IF(OR(I29="",I29&lt;19,O29=""),"",O29+540)</f>
        <v/>
      </c>
      <c r="AJ29" s="19" t="str">
        <f aca="false">IF(OR(I29="",I29&lt;20,O29=""),"",O29+570)</f>
        <v/>
      </c>
      <c r="AK29" s="19" t="str">
        <f aca="false">IF(OR(I29="",I29&lt;21,O29=""),"",O29+600)</f>
        <v/>
      </c>
      <c r="AL29" s="19" t="str">
        <f aca="false">IF(OR(I29="",I29&lt;22,O29=""),"",O29+630)</f>
        <v/>
      </c>
      <c r="AM29" s="19" t="str">
        <f aca="false">IF(OR(I29="",I29&lt;23,O29=""),"",O29+660)</f>
        <v/>
      </c>
      <c r="AN29" s="19" t="str">
        <f aca="false">IF(OR(I29="",I29&lt;24,O29=""),"",O29+690)</f>
        <v/>
      </c>
      <c r="AO29" s="15" t="str">
        <f aca="false">IF(J29="","",COUNTIF(Q29:AN29,TRUE())*J29)</f>
        <v/>
      </c>
      <c r="AP29" s="15" t="str">
        <f aca="false">IF(K29="","",K29-AO29)</f>
        <v/>
      </c>
      <c r="AQ29" s="15" t="str">
        <f aca="false">IF(K29="","",K29-F29-IF(N29="",0,N29))</f>
        <v/>
      </c>
    </row>
    <row r="30" customFormat="false" ht="15" hidden="false" customHeight="false" outlineLevel="0" collapsed="false">
      <c r="A30" s="4"/>
      <c r="B30" s="4"/>
      <c r="C30" s="4"/>
      <c r="D30" s="5"/>
      <c r="E30" s="5"/>
      <c r="F30" s="6"/>
      <c r="G30" s="4"/>
      <c r="H30" s="4"/>
      <c r="I30" s="4"/>
      <c r="J30" s="6"/>
      <c r="K30" s="7" t="str">
        <f aca="false">IF(OR(I30="",J30=""),"",I30*J30)</f>
        <v/>
      </c>
      <c r="L30" s="4"/>
      <c r="M30" s="8"/>
      <c r="N30" s="7" t="str">
        <f aca="false">IF(OR(L30="",M30="",K30=""),"",IF(L30="GANANCIA",(K30-F30)*M30,IF(L30="BRUTO",K30*M30,"")))</f>
        <v/>
      </c>
      <c r="O30" s="9" t="str">
        <f aca="false">IF(D30="","",D30)</f>
        <v/>
      </c>
      <c r="P30" s="10" t="str">
        <f aca="false">IF(I30="","",IF(COUNTIF(Q30:AN30,TRUE())&gt;=I30,"PAGADO",IF(COUNTIF(Q30:AN30,TRUE())&gt;0,"PARCIAL","VIGENTE")))</f>
        <v/>
      </c>
      <c r="Q30" s="11" t="str">
        <f aca="false">IF(OR(I30="",I30&lt;1,O30=""),"",O30+0)</f>
        <v/>
      </c>
      <c r="R30" s="11" t="str">
        <f aca="false">IF(OR(I30="",I30&lt;2,O30=""),"",O30+30)</f>
        <v/>
      </c>
      <c r="S30" s="11" t="str">
        <f aca="false">IF(OR(I30="",I30&lt;3,O30=""),"",O30+60)</f>
        <v/>
      </c>
      <c r="T30" s="11" t="str">
        <f aca="false">IF(OR(I30="",I30&lt;4,O30=""),"",O30+90)</f>
        <v/>
      </c>
      <c r="U30" s="11" t="str">
        <f aca="false">IF(OR(I30="",I30&lt;5,O30=""),"",O30+120)</f>
        <v/>
      </c>
      <c r="V30" s="11" t="str">
        <f aca="false">IF(OR(I30="",I30&lt;6,O30=""),"",O30+150)</f>
        <v/>
      </c>
      <c r="W30" s="11" t="str">
        <f aca="false">IF(OR(I30="",I30&lt;7,O30=""),"",O30+180)</f>
        <v/>
      </c>
      <c r="X30" s="11" t="str">
        <f aca="false">IF(OR(I30="",I30&lt;8,O30=""),"",O30+210)</f>
        <v/>
      </c>
      <c r="Y30" s="11" t="str">
        <f aca="false">IF(OR(I30="",I30&lt;9,O30=""),"",O30+240)</f>
        <v/>
      </c>
      <c r="Z30" s="11" t="str">
        <f aca="false">IF(OR(I30="",I30&lt;10,O30=""),"",O30+270)</f>
        <v/>
      </c>
      <c r="AA30" s="11" t="str">
        <f aca="false">IF(OR(I30="",I30&lt;11,O30=""),"",O30+300)</f>
        <v/>
      </c>
      <c r="AB30" s="11" t="str">
        <f aca="false">IF(OR(I30="",I30&lt;12,O30=""),"",O30+330)</f>
        <v/>
      </c>
      <c r="AC30" s="11" t="str">
        <f aca="false">IF(OR(I30="",I30&lt;13,O30=""),"",O30+360)</f>
        <v/>
      </c>
      <c r="AD30" s="11" t="str">
        <f aca="false">IF(OR(I30="",I30&lt;14,O30=""),"",O30+390)</f>
        <v/>
      </c>
      <c r="AE30" s="11" t="str">
        <f aca="false">IF(OR(I30="",I30&lt;15,O30=""),"",O30+420)</f>
        <v/>
      </c>
      <c r="AF30" s="11" t="str">
        <f aca="false">IF(OR(I30="",I30&lt;16,O30=""),"",O30+450)</f>
        <v/>
      </c>
      <c r="AG30" s="11" t="str">
        <f aca="false">IF(OR(I30="",I30&lt;17,O30=""),"",O30+480)</f>
        <v/>
      </c>
      <c r="AH30" s="11" t="str">
        <f aca="false">IF(OR(I30="",I30&lt;18,O30=""),"",O30+510)</f>
        <v/>
      </c>
      <c r="AI30" s="11" t="str">
        <f aca="false">IF(OR(I30="",I30&lt;19,O30=""),"",O30+540)</f>
        <v/>
      </c>
      <c r="AJ30" s="11" t="str">
        <f aca="false">IF(OR(I30="",I30&lt;20,O30=""),"",O30+570)</f>
        <v/>
      </c>
      <c r="AK30" s="11" t="str">
        <f aca="false">IF(OR(I30="",I30&lt;21,O30=""),"",O30+600)</f>
        <v/>
      </c>
      <c r="AL30" s="11" t="str">
        <f aca="false">IF(OR(I30="",I30&lt;22,O30=""),"",O30+630)</f>
        <v/>
      </c>
      <c r="AM30" s="11" t="str">
        <f aca="false">IF(OR(I30="",I30&lt;23,O30=""),"",O30+660)</f>
        <v/>
      </c>
      <c r="AN30" s="11" t="str">
        <f aca="false">IF(OR(I30="",I30&lt;24,O30=""),"",O30+690)</f>
        <v/>
      </c>
      <c r="AO30" s="7" t="str">
        <f aca="false">IF(J30="","",COUNTIF(Q30:AN30,TRUE())*J30)</f>
        <v/>
      </c>
      <c r="AP30" s="7" t="str">
        <f aca="false">IF(K30="","",K30-AO30)</f>
        <v/>
      </c>
      <c r="AQ30" s="7" t="str">
        <f aca="false">IF(K30="","",K30-F30-IF(N30="",0,N30))</f>
        <v/>
      </c>
    </row>
    <row r="31" customFormat="false" ht="15" hidden="false" customHeight="false" outlineLevel="0" collapsed="false">
      <c r="A31" s="12"/>
      <c r="B31" s="12"/>
      <c r="C31" s="12"/>
      <c r="D31" s="13"/>
      <c r="E31" s="13"/>
      <c r="F31" s="14"/>
      <c r="G31" s="12"/>
      <c r="H31" s="12"/>
      <c r="I31" s="12"/>
      <c r="J31" s="14"/>
      <c r="K31" s="15" t="str">
        <f aca="false">IF(OR(I31="",J31=""),"",I31*J31)</f>
        <v/>
      </c>
      <c r="L31" s="12"/>
      <c r="M31" s="16"/>
      <c r="N31" s="15" t="str">
        <f aca="false">IF(OR(L31="",M31="",K31=""),"",IF(L31="GANANCIA",(K31-F31)*M31,IF(L31="BRUTO",K31*M31,"")))</f>
        <v/>
      </c>
      <c r="O31" s="17" t="str">
        <f aca="false">IF(D31="","",D31)</f>
        <v/>
      </c>
      <c r="P31" s="18" t="str">
        <f aca="false">IF(I31="","",IF(COUNTIF(Q31:AN31,TRUE())&gt;=I31,"PAGADO",IF(COUNTIF(Q31:AN31,TRUE())&gt;0,"PARCIAL","VIGENTE")))</f>
        <v/>
      </c>
      <c r="Q31" s="19" t="str">
        <f aca="false">IF(OR(I31="",I31&lt;1,O31=""),"",O31+0)</f>
        <v/>
      </c>
      <c r="R31" s="19" t="str">
        <f aca="false">IF(OR(I31="",I31&lt;2,O31=""),"",O31+30)</f>
        <v/>
      </c>
      <c r="S31" s="19" t="str">
        <f aca="false">IF(OR(I31="",I31&lt;3,O31=""),"",O31+60)</f>
        <v/>
      </c>
      <c r="T31" s="19" t="str">
        <f aca="false">IF(OR(I31="",I31&lt;4,O31=""),"",O31+90)</f>
        <v/>
      </c>
      <c r="U31" s="19" t="str">
        <f aca="false">IF(OR(I31="",I31&lt;5,O31=""),"",O31+120)</f>
        <v/>
      </c>
      <c r="V31" s="19" t="str">
        <f aca="false">IF(OR(I31="",I31&lt;6,O31=""),"",O31+150)</f>
        <v/>
      </c>
      <c r="W31" s="19" t="str">
        <f aca="false">IF(OR(I31="",I31&lt;7,O31=""),"",O31+180)</f>
        <v/>
      </c>
      <c r="X31" s="19" t="str">
        <f aca="false">IF(OR(I31="",I31&lt;8,O31=""),"",O31+210)</f>
        <v/>
      </c>
      <c r="Y31" s="19" t="str">
        <f aca="false">IF(OR(I31="",I31&lt;9,O31=""),"",O31+240)</f>
        <v/>
      </c>
      <c r="Z31" s="19" t="str">
        <f aca="false">IF(OR(I31="",I31&lt;10,O31=""),"",O31+270)</f>
        <v/>
      </c>
      <c r="AA31" s="19" t="str">
        <f aca="false">IF(OR(I31="",I31&lt;11,O31=""),"",O31+300)</f>
        <v/>
      </c>
      <c r="AB31" s="19" t="str">
        <f aca="false">IF(OR(I31="",I31&lt;12,O31=""),"",O31+330)</f>
        <v/>
      </c>
      <c r="AC31" s="19" t="str">
        <f aca="false">IF(OR(I31="",I31&lt;13,O31=""),"",O31+360)</f>
        <v/>
      </c>
      <c r="AD31" s="19" t="str">
        <f aca="false">IF(OR(I31="",I31&lt;14,O31=""),"",O31+390)</f>
        <v/>
      </c>
      <c r="AE31" s="19" t="str">
        <f aca="false">IF(OR(I31="",I31&lt;15,O31=""),"",O31+420)</f>
        <v/>
      </c>
      <c r="AF31" s="19" t="str">
        <f aca="false">IF(OR(I31="",I31&lt;16,O31=""),"",O31+450)</f>
        <v/>
      </c>
      <c r="AG31" s="19" t="str">
        <f aca="false">IF(OR(I31="",I31&lt;17,O31=""),"",O31+480)</f>
        <v/>
      </c>
      <c r="AH31" s="19" t="str">
        <f aca="false">IF(OR(I31="",I31&lt;18,O31=""),"",O31+510)</f>
        <v/>
      </c>
      <c r="AI31" s="19" t="str">
        <f aca="false">IF(OR(I31="",I31&lt;19,O31=""),"",O31+540)</f>
        <v/>
      </c>
      <c r="AJ31" s="19" t="str">
        <f aca="false">IF(OR(I31="",I31&lt;20,O31=""),"",O31+570)</f>
        <v/>
      </c>
      <c r="AK31" s="19" t="str">
        <f aca="false">IF(OR(I31="",I31&lt;21,O31=""),"",O31+600)</f>
        <v/>
      </c>
      <c r="AL31" s="19" t="str">
        <f aca="false">IF(OR(I31="",I31&lt;22,O31=""),"",O31+630)</f>
        <v/>
      </c>
      <c r="AM31" s="19" t="str">
        <f aca="false">IF(OR(I31="",I31&lt;23,O31=""),"",O31+660)</f>
        <v/>
      </c>
      <c r="AN31" s="19" t="str">
        <f aca="false">IF(OR(I31="",I31&lt;24,O31=""),"",O31+690)</f>
        <v/>
      </c>
      <c r="AO31" s="15" t="str">
        <f aca="false">IF(J31="","",COUNTIF(Q31:AN31,TRUE())*J31)</f>
        <v/>
      </c>
      <c r="AP31" s="15" t="str">
        <f aca="false">IF(K31="","",K31-AO31)</f>
        <v/>
      </c>
      <c r="AQ31" s="15" t="str">
        <f aca="false">IF(K31="","",K31-F31-IF(N31="",0,N31))</f>
        <v/>
      </c>
    </row>
    <row r="32" customFormat="false" ht="15" hidden="false" customHeight="false" outlineLevel="0" collapsed="false">
      <c r="A32" s="4"/>
      <c r="B32" s="4"/>
      <c r="C32" s="4"/>
      <c r="D32" s="5"/>
      <c r="E32" s="5"/>
      <c r="F32" s="6"/>
      <c r="G32" s="4"/>
      <c r="H32" s="4"/>
      <c r="I32" s="4"/>
      <c r="J32" s="6"/>
      <c r="K32" s="7" t="str">
        <f aca="false">IF(OR(I32="",J32=""),"",I32*J32)</f>
        <v/>
      </c>
      <c r="L32" s="4"/>
      <c r="M32" s="8"/>
      <c r="N32" s="7" t="str">
        <f aca="false">IF(OR(L32="",M32="",K32=""),"",IF(L32="GANANCIA",(K32-F32)*M32,IF(L32="BRUTO",K32*M32,"")))</f>
        <v/>
      </c>
      <c r="O32" s="9" t="str">
        <f aca="false">IF(D32="","",D32)</f>
        <v/>
      </c>
      <c r="P32" s="10" t="str">
        <f aca="false">IF(I32="","",IF(COUNTIF(Q32:AN32,TRUE())&gt;=I32,"PAGADO",IF(COUNTIF(Q32:AN32,TRUE())&gt;0,"PARCIAL","VIGENTE")))</f>
        <v/>
      </c>
      <c r="Q32" s="11" t="str">
        <f aca="false">IF(OR(I32="",I32&lt;1,O32=""),"",O32+0)</f>
        <v/>
      </c>
      <c r="R32" s="11" t="str">
        <f aca="false">IF(OR(I32="",I32&lt;2,O32=""),"",O32+30)</f>
        <v/>
      </c>
      <c r="S32" s="11" t="str">
        <f aca="false">IF(OR(I32="",I32&lt;3,O32=""),"",O32+60)</f>
        <v/>
      </c>
      <c r="T32" s="11" t="str">
        <f aca="false">IF(OR(I32="",I32&lt;4,O32=""),"",O32+90)</f>
        <v/>
      </c>
      <c r="U32" s="11" t="str">
        <f aca="false">IF(OR(I32="",I32&lt;5,O32=""),"",O32+120)</f>
        <v/>
      </c>
      <c r="V32" s="11" t="str">
        <f aca="false">IF(OR(I32="",I32&lt;6,O32=""),"",O32+150)</f>
        <v/>
      </c>
      <c r="W32" s="11" t="str">
        <f aca="false">IF(OR(I32="",I32&lt;7,O32=""),"",O32+180)</f>
        <v/>
      </c>
      <c r="X32" s="11" t="str">
        <f aca="false">IF(OR(I32="",I32&lt;8,O32=""),"",O32+210)</f>
        <v/>
      </c>
      <c r="Y32" s="11" t="str">
        <f aca="false">IF(OR(I32="",I32&lt;9,O32=""),"",O32+240)</f>
        <v/>
      </c>
      <c r="Z32" s="11" t="str">
        <f aca="false">IF(OR(I32="",I32&lt;10,O32=""),"",O32+270)</f>
        <v/>
      </c>
      <c r="AA32" s="11" t="str">
        <f aca="false">IF(OR(I32="",I32&lt;11,O32=""),"",O32+300)</f>
        <v/>
      </c>
      <c r="AB32" s="11" t="str">
        <f aca="false">IF(OR(I32="",I32&lt;12,O32=""),"",O32+330)</f>
        <v/>
      </c>
      <c r="AC32" s="11" t="str">
        <f aca="false">IF(OR(I32="",I32&lt;13,O32=""),"",O32+360)</f>
        <v/>
      </c>
      <c r="AD32" s="11" t="str">
        <f aca="false">IF(OR(I32="",I32&lt;14,O32=""),"",O32+390)</f>
        <v/>
      </c>
      <c r="AE32" s="11" t="str">
        <f aca="false">IF(OR(I32="",I32&lt;15,O32=""),"",O32+420)</f>
        <v/>
      </c>
      <c r="AF32" s="11" t="str">
        <f aca="false">IF(OR(I32="",I32&lt;16,O32=""),"",O32+450)</f>
        <v/>
      </c>
      <c r="AG32" s="11" t="str">
        <f aca="false">IF(OR(I32="",I32&lt;17,O32=""),"",O32+480)</f>
        <v/>
      </c>
      <c r="AH32" s="11" t="str">
        <f aca="false">IF(OR(I32="",I32&lt;18,O32=""),"",O32+510)</f>
        <v/>
      </c>
      <c r="AI32" s="11" t="str">
        <f aca="false">IF(OR(I32="",I32&lt;19,O32=""),"",O32+540)</f>
        <v/>
      </c>
      <c r="AJ32" s="11" t="str">
        <f aca="false">IF(OR(I32="",I32&lt;20,O32=""),"",O32+570)</f>
        <v/>
      </c>
      <c r="AK32" s="11" t="str">
        <f aca="false">IF(OR(I32="",I32&lt;21,O32=""),"",O32+600)</f>
        <v/>
      </c>
      <c r="AL32" s="11" t="str">
        <f aca="false">IF(OR(I32="",I32&lt;22,O32=""),"",O32+630)</f>
        <v/>
      </c>
      <c r="AM32" s="11" t="str">
        <f aca="false">IF(OR(I32="",I32&lt;23,O32=""),"",O32+660)</f>
        <v/>
      </c>
      <c r="AN32" s="11" t="str">
        <f aca="false">IF(OR(I32="",I32&lt;24,O32=""),"",O32+690)</f>
        <v/>
      </c>
      <c r="AO32" s="7" t="str">
        <f aca="false">IF(J32="","",COUNTIF(Q32:AN32,TRUE())*J32)</f>
        <v/>
      </c>
      <c r="AP32" s="7" t="str">
        <f aca="false">IF(K32="","",K32-AO32)</f>
        <v/>
      </c>
      <c r="AQ32" s="7" t="str">
        <f aca="false">IF(K32="","",K32-F32-IF(N32="",0,N32))</f>
        <v/>
      </c>
    </row>
    <row r="33" customFormat="false" ht="15" hidden="false" customHeight="false" outlineLevel="0" collapsed="false">
      <c r="A33" s="12"/>
      <c r="B33" s="12"/>
      <c r="C33" s="12"/>
      <c r="D33" s="13"/>
      <c r="E33" s="13"/>
      <c r="F33" s="14"/>
      <c r="G33" s="12"/>
      <c r="H33" s="12"/>
      <c r="I33" s="12"/>
      <c r="J33" s="14"/>
      <c r="K33" s="15" t="str">
        <f aca="false">IF(OR(I33="",J33=""),"",I33*J33)</f>
        <v/>
      </c>
      <c r="L33" s="12"/>
      <c r="M33" s="16"/>
      <c r="N33" s="15" t="str">
        <f aca="false">IF(OR(L33="",M33="",K33=""),"",IF(L33="GANANCIA",(K33-F33)*M33,IF(L33="BRUTO",K33*M33,"")))</f>
        <v/>
      </c>
      <c r="O33" s="17" t="str">
        <f aca="false">IF(D33="","",D33)</f>
        <v/>
      </c>
      <c r="P33" s="18" t="str">
        <f aca="false">IF(I33="","",IF(COUNTIF(Q33:AN33,TRUE())&gt;=I33,"PAGADO",IF(COUNTIF(Q33:AN33,TRUE())&gt;0,"PARCIAL","VIGENTE")))</f>
        <v/>
      </c>
      <c r="Q33" s="19" t="str">
        <f aca="false">IF(OR(I33="",I33&lt;1,O33=""),"",O33+0)</f>
        <v/>
      </c>
      <c r="R33" s="19" t="str">
        <f aca="false">IF(OR(I33="",I33&lt;2,O33=""),"",O33+30)</f>
        <v/>
      </c>
      <c r="S33" s="19" t="str">
        <f aca="false">IF(OR(I33="",I33&lt;3,O33=""),"",O33+60)</f>
        <v/>
      </c>
      <c r="T33" s="19" t="str">
        <f aca="false">IF(OR(I33="",I33&lt;4,O33=""),"",O33+90)</f>
        <v/>
      </c>
      <c r="U33" s="19" t="str">
        <f aca="false">IF(OR(I33="",I33&lt;5,O33=""),"",O33+120)</f>
        <v/>
      </c>
      <c r="V33" s="19" t="str">
        <f aca="false">IF(OR(I33="",I33&lt;6,O33=""),"",O33+150)</f>
        <v/>
      </c>
      <c r="W33" s="19" t="str">
        <f aca="false">IF(OR(I33="",I33&lt;7,O33=""),"",O33+180)</f>
        <v/>
      </c>
      <c r="X33" s="19" t="str">
        <f aca="false">IF(OR(I33="",I33&lt;8,O33=""),"",O33+210)</f>
        <v/>
      </c>
      <c r="Y33" s="19" t="str">
        <f aca="false">IF(OR(I33="",I33&lt;9,O33=""),"",O33+240)</f>
        <v/>
      </c>
      <c r="Z33" s="19" t="str">
        <f aca="false">IF(OR(I33="",I33&lt;10,O33=""),"",O33+270)</f>
        <v/>
      </c>
      <c r="AA33" s="19" t="str">
        <f aca="false">IF(OR(I33="",I33&lt;11,O33=""),"",O33+300)</f>
        <v/>
      </c>
      <c r="AB33" s="19" t="str">
        <f aca="false">IF(OR(I33="",I33&lt;12,O33=""),"",O33+330)</f>
        <v/>
      </c>
      <c r="AC33" s="19" t="str">
        <f aca="false">IF(OR(I33="",I33&lt;13,O33=""),"",O33+360)</f>
        <v/>
      </c>
      <c r="AD33" s="19" t="str">
        <f aca="false">IF(OR(I33="",I33&lt;14,O33=""),"",O33+390)</f>
        <v/>
      </c>
      <c r="AE33" s="19" t="str">
        <f aca="false">IF(OR(I33="",I33&lt;15,O33=""),"",O33+420)</f>
        <v/>
      </c>
      <c r="AF33" s="19" t="str">
        <f aca="false">IF(OR(I33="",I33&lt;16,O33=""),"",O33+450)</f>
        <v/>
      </c>
      <c r="AG33" s="19" t="str">
        <f aca="false">IF(OR(I33="",I33&lt;17,O33=""),"",O33+480)</f>
        <v/>
      </c>
      <c r="AH33" s="19" t="str">
        <f aca="false">IF(OR(I33="",I33&lt;18,O33=""),"",O33+510)</f>
        <v/>
      </c>
      <c r="AI33" s="19" t="str">
        <f aca="false">IF(OR(I33="",I33&lt;19,O33=""),"",O33+540)</f>
        <v/>
      </c>
      <c r="AJ33" s="19" t="str">
        <f aca="false">IF(OR(I33="",I33&lt;20,O33=""),"",O33+570)</f>
        <v/>
      </c>
      <c r="AK33" s="19" t="str">
        <f aca="false">IF(OR(I33="",I33&lt;21,O33=""),"",O33+600)</f>
        <v/>
      </c>
      <c r="AL33" s="19" t="str">
        <f aca="false">IF(OR(I33="",I33&lt;22,O33=""),"",O33+630)</f>
        <v/>
      </c>
      <c r="AM33" s="19" t="str">
        <f aca="false">IF(OR(I33="",I33&lt;23,O33=""),"",O33+660)</f>
        <v/>
      </c>
      <c r="AN33" s="19" t="str">
        <f aca="false">IF(OR(I33="",I33&lt;24,O33=""),"",O33+690)</f>
        <v/>
      </c>
      <c r="AO33" s="15" t="str">
        <f aca="false">IF(J33="","",COUNTIF(Q33:AN33,TRUE())*J33)</f>
        <v/>
      </c>
      <c r="AP33" s="15" t="str">
        <f aca="false">IF(K33="","",K33-AO33)</f>
        <v/>
      </c>
      <c r="AQ33" s="15" t="str">
        <f aca="false">IF(K33="","",K33-F33-IF(N33="",0,N33))</f>
        <v/>
      </c>
    </row>
    <row r="34" customFormat="false" ht="15" hidden="false" customHeight="false" outlineLevel="0" collapsed="false">
      <c r="A34" s="4"/>
      <c r="B34" s="4"/>
      <c r="C34" s="4"/>
      <c r="D34" s="5"/>
      <c r="E34" s="5"/>
      <c r="F34" s="6"/>
      <c r="G34" s="4"/>
      <c r="H34" s="4"/>
      <c r="I34" s="4"/>
      <c r="J34" s="6"/>
      <c r="K34" s="7" t="str">
        <f aca="false">IF(OR(I34="",J34=""),"",I34*J34)</f>
        <v/>
      </c>
      <c r="L34" s="4"/>
      <c r="M34" s="8"/>
      <c r="N34" s="7" t="str">
        <f aca="false">IF(OR(L34="",M34="",K34=""),"",IF(L34="GANANCIA",(K34-F34)*M34,IF(L34="BRUTO",K34*M34,"")))</f>
        <v/>
      </c>
      <c r="O34" s="9" t="str">
        <f aca="false">IF(D34="","",D34)</f>
        <v/>
      </c>
      <c r="P34" s="10" t="str">
        <f aca="false">IF(I34="","",IF(COUNTIF(Q34:AN34,TRUE())&gt;=I34,"PAGADO",IF(COUNTIF(Q34:AN34,TRUE())&gt;0,"PARCIAL","VIGENTE")))</f>
        <v/>
      </c>
      <c r="Q34" s="11" t="str">
        <f aca="false">IF(OR(I34="",I34&lt;1,O34=""),"",O34+0)</f>
        <v/>
      </c>
      <c r="R34" s="11" t="str">
        <f aca="false">IF(OR(I34="",I34&lt;2,O34=""),"",O34+30)</f>
        <v/>
      </c>
      <c r="S34" s="11" t="str">
        <f aca="false">IF(OR(I34="",I34&lt;3,O34=""),"",O34+60)</f>
        <v/>
      </c>
      <c r="T34" s="11" t="str">
        <f aca="false">IF(OR(I34="",I34&lt;4,O34=""),"",O34+90)</f>
        <v/>
      </c>
      <c r="U34" s="11" t="str">
        <f aca="false">IF(OR(I34="",I34&lt;5,O34=""),"",O34+120)</f>
        <v/>
      </c>
      <c r="V34" s="11" t="str">
        <f aca="false">IF(OR(I34="",I34&lt;6,O34=""),"",O34+150)</f>
        <v/>
      </c>
      <c r="W34" s="11" t="str">
        <f aca="false">IF(OR(I34="",I34&lt;7,O34=""),"",O34+180)</f>
        <v/>
      </c>
      <c r="X34" s="11" t="str">
        <f aca="false">IF(OR(I34="",I34&lt;8,O34=""),"",O34+210)</f>
        <v/>
      </c>
      <c r="Y34" s="11" t="str">
        <f aca="false">IF(OR(I34="",I34&lt;9,O34=""),"",O34+240)</f>
        <v/>
      </c>
      <c r="Z34" s="11" t="str">
        <f aca="false">IF(OR(I34="",I34&lt;10,O34=""),"",O34+270)</f>
        <v/>
      </c>
      <c r="AA34" s="11" t="str">
        <f aca="false">IF(OR(I34="",I34&lt;11,O34=""),"",O34+300)</f>
        <v/>
      </c>
      <c r="AB34" s="11" t="str">
        <f aca="false">IF(OR(I34="",I34&lt;12,O34=""),"",O34+330)</f>
        <v/>
      </c>
      <c r="AC34" s="11" t="str">
        <f aca="false">IF(OR(I34="",I34&lt;13,O34=""),"",O34+360)</f>
        <v/>
      </c>
      <c r="AD34" s="11" t="str">
        <f aca="false">IF(OR(I34="",I34&lt;14,O34=""),"",O34+390)</f>
        <v/>
      </c>
      <c r="AE34" s="11" t="str">
        <f aca="false">IF(OR(I34="",I34&lt;15,O34=""),"",O34+420)</f>
        <v/>
      </c>
      <c r="AF34" s="11" t="str">
        <f aca="false">IF(OR(I34="",I34&lt;16,O34=""),"",O34+450)</f>
        <v/>
      </c>
      <c r="AG34" s="11" t="str">
        <f aca="false">IF(OR(I34="",I34&lt;17,O34=""),"",O34+480)</f>
        <v/>
      </c>
      <c r="AH34" s="11" t="str">
        <f aca="false">IF(OR(I34="",I34&lt;18,O34=""),"",O34+510)</f>
        <v/>
      </c>
      <c r="AI34" s="11" t="str">
        <f aca="false">IF(OR(I34="",I34&lt;19,O34=""),"",O34+540)</f>
        <v/>
      </c>
      <c r="AJ34" s="11" t="str">
        <f aca="false">IF(OR(I34="",I34&lt;20,O34=""),"",O34+570)</f>
        <v/>
      </c>
      <c r="AK34" s="11" t="str">
        <f aca="false">IF(OR(I34="",I34&lt;21,O34=""),"",O34+600)</f>
        <v/>
      </c>
      <c r="AL34" s="11" t="str">
        <f aca="false">IF(OR(I34="",I34&lt;22,O34=""),"",O34+630)</f>
        <v/>
      </c>
      <c r="AM34" s="11" t="str">
        <f aca="false">IF(OR(I34="",I34&lt;23,O34=""),"",O34+660)</f>
        <v/>
      </c>
      <c r="AN34" s="11" t="str">
        <f aca="false">IF(OR(I34="",I34&lt;24,O34=""),"",O34+690)</f>
        <v/>
      </c>
      <c r="AO34" s="7" t="str">
        <f aca="false">IF(J34="","",COUNTIF(Q34:AN34,TRUE())*J34)</f>
        <v/>
      </c>
      <c r="AP34" s="7" t="str">
        <f aca="false">IF(K34="","",K34-AO34)</f>
        <v/>
      </c>
      <c r="AQ34" s="7" t="str">
        <f aca="false">IF(K34="","",K34-F34-IF(N34="",0,N34))</f>
        <v/>
      </c>
    </row>
    <row r="35" customFormat="false" ht="15" hidden="false" customHeight="false" outlineLevel="0" collapsed="false">
      <c r="A35" s="12"/>
      <c r="B35" s="12"/>
      <c r="C35" s="12"/>
      <c r="D35" s="13"/>
      <c r="E35" s="13"/>
      <c r="F35" s="14"/>
      <c r="G35" s="12"/>
      <c r="H35" s="12"/>
      <c r="I35" s="12"/>
      <c r="J35" s="14"/>
      <c r="K35" s="15" t="str">
        <f aca="false">IF(OR(I35="",J35=""),"",I35*J35)</f>
        <v/>
      </c>
      <c r="L35" s="12"/>
      <c r="M35" s="16"/>
      <c r="N35" s="15" t="str">
        <f aca="false">IF(OR(L35="",M35="",K35=""),"",IF(L35="GANANCIA",(K35-F35)*M35,IF(L35="BRUTO",K35*M35,"")))</f>
        <v/>
      </c>
      <c r="O35" s="17" t="str">
        <f aca="false">IF(D35="","",D35)</f>
        <v/>
      </c>
      <c r="P35" s="18" t="str">
        <f aca="false">IF(I35="","",IF(COUNTIF(Q35:AN35,TRUE())&gt;=I35,"PAGADO",IF(COUNTIF(Q35:AN35,TRUE())&gt;0,"PARCIAL","VIGENTE")))</f>
        <v/>
      </c>
      <c r="Q35" s="19" t="str">
        <f aca="false">IF(OR(I35="",I35&lt;1,O35=""),"",O35+0)</f>
        <v/>
      </c>
      <c r="R35" s="19" t="str">
        <f aca="false">IF(OR(I35="",I35&lt;2,O35=""),"",O35+30)</f>
        <v/>
      </c>
      <c r="S35" s="19" t="str">
        <f aca="false">IF(OR(I35="",I35&lt;3,O35=""),"",O35+60)</f>
        <v/>
      </c>
      <c r="T35" s="19" t="str">
        <f aca="false">IF(OR(I35="",I35&lt;4,O35=""),"",O35+90)</f>
        <v/>
      </c>
      <c r="U35" s="19" t="str">
        <f aca="false">IF(OR(I35="",I35&lt;5,O35=""),"",O35+120)</f>
        <v/>
      </c>
      <c r="V35" s="19" t="str">
        <f aca="false">IF(OR(I35="",I35&lt;6,O35=""),"",O35+150)</f>
        <v/>
      </c>
      <c r="W35" s="19" t="str">
        <f aca="false">IF(OR(I35="",I35&lt;7,O35=""),"",O35+180)</f>
        <v/>
      </c>
      <c r="X35" s="19" t="str">
        <f aca="false">IF(OR(I35="",I35&lt;8,O35=""),"",O35+210)</f>
        <v/>
      </c>
      <c r="Y35" s="19" t="str">
        <f aca="false">IF(OR(I35="",I35&lt;9,O35=""),"",O35+240)</f>
        <v/>
      </c>
      <c r="Z35" s="19" t="str">
        <f aca="false">IF(OR(I35="",I35&lt;10,O35=""),"",O35+270)</f>
        <v/>
      </c>
      <c r="AA35" s="19" t="str">
        <f aca="false">IF(OR(I35="",I35&lt;11,O35=""),"",O35+300)</f>
        <v/>
      </c>
      <c r="AB35" s="19" t="str">
        <f aca="false">IF(OR(I35="",I35&lt;12,O35=""),"",O35+330)</f>
        <v/>
      </c>
      <c r="AC35" s="19" t="str">
        <f aca="false">IF(OR(I35="",I35&lt;13,O35=""),"",O35+360)</f>
        <v/>
      </c>
      <c r="AD35" s="19" t="str">
        <f aca="false">IF(OR(I35="",I35&lt;14,O35=""),"",O35+390)</f>
        <v/>
      </c>
      <c r="AE35" s="19" t="str">
        <f aca="false">IF(OR(I35="",I35&lt;15,O35=""),"",O35+420)</f>
        <v/>
      </c>
      <c r="AF35" s="19" t="str">
        <f aca="false">IF(OR(I35="",I35&lt;16,O35=""),"",O35+450)</f>
        <v/>
      </c>
      <c r="AG35" s="19" t="str">
        <f aca="false">IF(OR(I35="",I35&lt;17,O35=""),"",O35+480)</f>
        <v/>
      </c>
      <c r="AH35" s="19" t="str">
        <f aca="false">IF(OR(I35="",I35&lt;18,O35=""),"",O35+510)</f>
        <v/>
      </c>
      <c r="AI35" s="19" t="str">
        <f aca="false">IF(OR(I35="",I35&lt;19,O35=""),"",O35+540)</f>
        <v/>
      </c>
      <c r="AJ35" s="19" t="str">
        <f aca="false">IF(OR(I35="",I35&lt;20,O35=""),"",O35+570)</f>
        <v/>
      </c>
      <c r="AK35" s="19" t="str">
        <f aca="false">IF(OR(I35="",I35&lt;21,O35=""),"",O35+600)</f>
        <v/>
      </c>
      <c r="AL35" s="19" t="str">
        <f aca="false">IF(OR(I35="",I35&lt;22,O35=""),"",O35+630)</f>
        <v/>
      </c>
      <c r="AM35" s="19" t="str">
        <f aca="false">IF(OR(I35="",I35&lt;23,O35=""),"",O35+660)</f>
        <v/>
      </c>
      <c r="AN35" s="19" t="str">
        <f aca="false">IF(OR(I35="",I35&lt;24,O35=""),"",O35+690)</f>
        <v/>
      </c>
      <c r="AO35" s="15" t="str">
        <f aca="false">IF(J35="","",COUNTIF(Q35:AN35,TRUE())*J35)</f>
        <v/>
      </c>
      <c r="AP35" s="15" t="str">
        <f aca="false">IF(K35="","",K35-AO35)</f>
        <v/>
      </c>
      <c r="AQ35" s="15" t="str">
        <f aca="false">IF(K35="","",K35-F35-IF(N35="",0,N35))</f>
        <v/>
      </c>
    </row>
    <row r="36" customFormat="false" ht="15" hidden="false" customHeight="false" outlineLevel="0" collapsed="false">
      <c r="A36" s="4"/>
      <c r="B36" s="4"/>
      <c r="C36" s="4"/>
      <c r="D36" s="5"/>
      <c r="E36" s="5"/>
      <c r="F36" s="6"/>
      <c r="G36" s="4"/>
      <c r="H36" s="4"/>
      <c r="I36" s="4"/>
      <c r="J36" s="6"/>
      <c r="K36" s="7" t="str">
        <f aca="false">IF(OR(I36="",J36=""),"",I36*J36)</f>
        <v/>
      </c>
      <c r="L36" s="4"/>
      <c r="M36" s="8"/>
      <c r="N36" s="7" t="str">
        <f aca="false">IF(OR(L36="",M36="",K36=""),"",IF(L36="GANANCIA",(K36-F36)*M36,IF(L36="BRUTO",K36*M36,"")))</f>
        <v/>
      </c>
      <c r="O36" s="9" t="str">
        <f aca="false">IF(D36="","",D36)</f>
        <v/>
      </c>
      <c r="P36" s="10" t="str">
        <f aca="false">IF(I36="","",IF(COUNTIF(Q36:AN36,TRUE())&gt;=I36,"PAGADO",IF(COUNTIF(Q36:AN36,TRUE())&gt;0,"PARCIAL","VIGENTE")))</f>
        <v/>
      </c>
      <c r="Q36" s="11" t="str">
        <f aca="false">IF(OR(I36="",I36&lt;1,O36=""),"",O36+0)</f>
        <v/>
      </c>
      <c r="R36" s="11" t="str">
        <f aca="false">IF(OR(I36="",I36&lt;2,O36=""),"",O36+30)</f>
        <v/>
      </c>
      <c r="S36" s="11" t="str">
        <f aca="false">IF(OR(I36="",I36&lt;3,O36=""),"",O36+60)</f>
        <v/>
      </c>
      <c r="T36" s="11" t="str">
        <f aca="false">IF(OR(I36="",I36&lt;4,O36=""),"",O36+90)</f>
        <v/>
      </c>
      <c r="U36" s="11" t="str">
        <f aca="false">IF(OR(I36="",I36&lt;5,O36=""),"",O36+120)</f>
        <v/>
      </c>
      <c r="V36" s="11" t="str">
        <f aca="false">IF(OR(I36="",I36&lt;6,O36=""),"",O36+150)</f>
        <v/>
      </c>
      <c r="W36" s="11" t="str">
        <f aca="false">IF(OR(I36="",I36&lt;7,O36=""),"",O36+180)</f>
        <v/>
      </c>
      <c r="X36" s="11" t="str">
        <f aca="false">IF(OR(I36="",I36&lt;8,O36=""),"",O36+210)</f>
        <v/>
      </c>
      <c r="Y36" s="11" t="str">
        <f aca="false">IF(OR(I36="",I36&lt;9,O36=""),"",O36+240)</f>
        <v/>
      </c>
      <c r="Z36" s="11" t="str">
        <f aca="false">IF(OR(I36="",I36&lt;10,O36=""),"",O36+270)</f>
        <v/>
      </c>
      <c r="AA36" s="11" t="str">
        <f aca="false">IF(OR(I36="",I36&lt;11,O36=""),"",O36+300)</f>
        <v/>
      </c>
      <c r="AB36" s="11" t="str">
        <f aca="false">IF(OR(I36="",I36&lt;12,O36=""),"",O36+330)</f>
        <v/>
      </c>
      <c r="AC36" s="11" t="str">
        <f aca="false">IF(OR(I36="",I36&lt;13,O36=""),"",O36+360)</f>
        <v/>
      </c>
      <c r="AD36" s="11" t="str">
        <f aca="false">IF(OR(I36="",I36&lt;14,O36=""),"",O36+390)</f>
        <v/>
      </c>
      <c r="AE36" s="11" t="str">
        <f aca="false">IF(OR(I36="",I36&lt;15,O36=""),"",O36+420)</f>
        <v/>
      </c>
      <c r="AF36" s="11" t="str">
        <f aca="false">IF(OR(I36="",I36&lt;16,O36=""),"",O36+450)</f>
        <v/>
      </c>
      <c r="AG36" s="11" t="str">
        <f aca="false">IF(OR(I36="",I36&lt;17,O36=""),"",O36+480)</f>
        <v/>
      </c>
      <c r="AH36" s="11" t="str">
        <f aca="false">IF(OR(I36="",I36&lt;18,O36=""),"",O36+510)</f>
        <v/>
      </c>
      <c r="AI36" s="11" t="str">
        <f aca="false">IF(OR(I36="",I36&lt;19,O36=""),"",O36+540)</f>
        <v/>
      </c>
      <c r="AJ36" s="11" t="str">
        <f aca="false">IF(OR(I36="",I36&lt;20,O36=""),"",O36+570)</f>
        <v/>
      </c>
      <c r="AK36" s="11" t="str">
        <f aca="false">IF(OR(I36="",I36&lt;21,O36=""),"",O36+600)</f>
        <v/>
      </c>
      <c r="AL36" s="11" t="str">
        <f aca="false">IF(OR(I36="",I36&lt;22,O36=""),"",O36+630)</f>
        <v/>
      </c>
      <c r="AM36" s="11" t="str">
        <f aca="false">IF(OR(I36="",I36&lt;23,O36=""),"",O36+660)</f>
        <v/>
      </c>
      <c r="AN36" s="11" t="str">
        <f aca="false">IF(OR(I36="",I36&lt;24,O36=""),"",O36+690)</f>
        <v/>
      </c>
      <c r="AO36" s="7" t="str">
        <f aca="false">IF(J36="","",COUNTIF(Q36:AN36,TRUE())*J36)</f>
        <v/>
      </c>
      <c r="AP36" s="7" t="str">
        <f aca="false">IF(K36="","",K36-AO36)</f>
        <v/>
      </c>
      <c r="AQ36" s="7" t="str">
        <f aca="false">IF(K36="","",K36-F36-IF(N36="",0,N36))</f>
        <v/>
      </c>
    </row>
    <row r="37" customFormat="false" ht="15" hidden="false" customHeight="false" outlineLevel="0" collapsed="false">
      <c r="A37" s="12"/>
      <c r="B37" s="12"/>
      <c r="C37" s="12"/>
      <c r="D37" s="13"/>
      <c r="E37" s="13"/>
      <c r="F37" s="14"/>
      <c r="G37" s="12"/>
      <c r="H37" s="12"/>
      <c r="I37" s="12"/>
      <c r="J37" s="14"/>
      <c r="K37" s="15" t="str">
        <f aca="false">IF(OR(I37="",J37=""),"",I37*J37)</f>
        <v/>
      </c>
      <c r="L37" s="12"/>
      <c r="M37" s="16"/>
      <c r="N37" s="15" t="str">
        <f aca="false">IF(OR(L37="",M37="",K37=""),"",IF(L37="GANANCIA",(K37-F37)*M37,IF(L37="BRUTO",K37*M37,"")))</f>
        <v/>
      </c>
      <c r="O37" s="17" t="str">
        <f aca="false">IF(D37="","",D37)</f>
        <v/>
      </c>
      <c r="P37" s="18" t="str">
        <f aca="false">IF(I37="","",IF(COUNTIF(Q37:AN37,TRUE())&gt;=I37,"PAGADO",IF(COUNTIF(Q37:AN37,TRUE())&gt;0,"PARCIAL","VIGENTE")))</f>
        <v/>
      </c>
      <c r="Q37" s="19" t="str">
        <f aca="false">IF(OR(I37="",I37&lt;1,O37=""),"",O37+0)</f>
        <v/>
      </c>
      <c r="R37" s="19" t="str">
        <f aca="false">IF(OR(I37="",I37&lt;2,O37=""),"",O37+30)</f>
        <v/>
      </c>
      <c r="S37" s="19" t="str">
        <f aca="false">IF(OR(I37="",I37&lt;3,O37=""),"",O37+60)</f>
        <v/>
      </c>
      <c r="T37" s="19" t="str">
        <f aca="false">IF(OR(I37="",I37&lt;4,O37=""),"",O37+90)</f>
        <v/>
      </c>
      <c r="U37" s="19" t="str">
        <f aca="false">IF(OR(I37="",I37&lt;5,O37=""),"",O37+120)</f>
        <v/>
      </c>
      <c r="V37" s="19" t="str">
        <f aca="false">IF(OR(I37="",I37&lt;6,O37=""),"",O37+150)</f>
        <v/>
      </c>
      <c r="W37" s="19" t="str">
        <f aca="false">IF(OR(I37="",I37&lt;7,O37=""),"",O37+180)</f>
        <v/>
      </c>
      <c r="X37" s="19" t="str">
        <f aca="false">IF(OR(I37="",I37&lt;8,O37=""),"",O37+210)</f>
        <v/>
      </c>
      <c r="Y37" s="19" t="str">
        <f aca="false">IF(OR(I37="",I37&lt;9,O37=""),"",O37+240)</f>
        <v/>
      </c>
      <c r="Z37" s="19" t="str">
        <f aca="false">IF(OR(I37="",I37&lt;10,O37=""),"",O37+270)</f>
        <v/>
      </c>
      <c r="AA37" s="19" t="str">
        <f aca="false">IF(OR(I37="",I37&lt;11,O37=""),"",O37+300)</f>
        <v/>
      </c>
      <c r="AB37" s="19" t="str">
        <f aca="false">IF(OR(I37="",I37&lt;12,O37=""),"",O37+330)</f>
        <v/>
      </c>
      <c r="AC37" s="19" t="str">
        <f aca="false">IF(OR(I37="",I37&lt;13,O37=""),"",O37+360)</f>
        <v/>
      </c>
      <c r="AD37" s="19" t="str">
        <f aca="false">IF(OR(I37="",I37&lt;14,O37=""),"",O37+390)</f>
        <v/>
      </c>
      <c r="AE37" s="19" t="str">
        <f aca="false">IF(OR(I37="",I37&lt;15,O37=""),"",O37+420)</f>
        <v/>
      </c>
      <c r="AF37" s="19" t="str">
        <f aca="false">IF(OR(I37="",I37&lt;16,O37=""),"",O37+450)</f>
        <v/>
      </c>
      <c r="AG37" s="19" t="str">
        <f aca="false">IF(OR(I37="",I37&lt;17,O37=""),"",O37+480)</f>
        <v/>
      </c>
      <c r="AH37" s="19" t="str">
        <f aca="false">IF(OR(I37="",I37&lt;18,O37=""),"",O37+510)</f>
        <v/>
      </c>
      <c r="AI37" s="19" t="str">
        <f aca="false">IF(OR(I37="",I37&lt;19,O37=""),"",O37+540)</f>
        <v/>
      </c>
      <c r="AJ37" s="19" t="str">
        <f aca="false">IF(OR(I37="",I37&lt;20,O37=""),"",O37+570)</f>
        <v/>
      </c>
      <c r="AK37" s="19" t="str">
        <f aca="false">IF(OR(I37="",I37&lt;21,O37=""),"",O37+600)</f>
        <v/>
      </c>
      <c r="AL37" s="19" t="str">
        <f aca="false">IF(OR(I37="",I37&lt;22,O37=""),"",O37+630)</f>
        <v/>
      </c>
      <c r="AM37" s="19" t="str">
        <f aca="false">IF(OR(I37="",I37&lt;23,O37=""),"",O37+660)</f>
        <v/>
      </c>
      <c r="AN37" s="19" t="str">
        <f aca="false">IF(OR(I37="",I37&lt;24,O37=""),"",O37+690)</f>
        <v/>
      </c>
      <c r="AO37" s="15" t="str">
        <f aca="false">IF(J37="","",COUNTIF(Q37:AN37,TRUE())*J37)</f>
        <v/>
      </c>
      <c r="AP37" s="15" t="str">
        <f aca="false">IF(K37="","",K37-AO37)</f>
        <v/>
      </c>
      <c r="AQ37" s="15" t="str">
        <f aca="false">IF(K37="","",K37-F37-IF(N37="",0,N37))</f>
        <v/>
      </c>
    </row>
    <row r="38" customFormat="false" ht="15" hidden="false" customHeight="false" outlineLevel="0" collapsed="false">
      <c r="A38" s="4"/>
      <c r="B38" s="4"/>
      <c r="C38" s="4"/>
      <c r="D38" s="5"/>
      <c r="E38" s="5"/>
      <c r="F38" s="6"/>
      <c r="G38" s="4"/>
      <c r="H38" s="4"/>
      <c r="I38" s="4"/>
      <c r="J38" s="6"/>
      <c r="K38" s="7" t="str">
        <f aca="false">IF(OR(I38="",J38=""),"",I38*J38)</f>
        <v/>
      </c>
      <c r="L38" s="4"/>
      <c r="M38" s="8"/>
      <c r="N38" s="7" t="str">
        <f aca="false">IF(OR(L38="",M38="",K38=""),"",IF(L38="GANANCIA",(K38-F38)*M38,IF(L38="BRUTO",K38*M38,"")))</f>
        <v/>
      </c>
      <c r="O38" s="9" t="str">
        <f aca="false">IF(D38="","",D38)</f>
        <v/>
      </c>
      <c r="P38" s="10" t="str">
        <f aca="false">IF(I38="","",IF(COUNTIF(Q38:AN38,TRUE())&gt;=I38,"PAGADO",IF(COUNTIF(Q38:AN38,TRUE())&gt;0,"PARCIAL","VIGENTE")))</f>
        <v/>
      </c>
      <c r="Q38" s="11" t="str">
        <f aca="false">IF(OR(I38="",I38&lt;1,O38=""),"",O38+0)</f>
        <v/>
      </c>
      <c r="R38" s="11" t="str">
        <f aca="false">IF(OR(I38="",I38&lt;2,O38=""),"",O38+30)</f>
        <v/>
      </c>
      <c r="S38" s="11" t="str">
        <f aca="false">IF(OR(I38="",I38&lt;3,O38=""),"",O38+60)</f>
        <v/>
      </c>
      <c r="T38" s="11" t="str">
        <f aca="false">IF(OR(I38="",I38&lt;4,O38=""),"",O38+90)</f>
        <v/>
      </c>
      <c r="U38" s="11" t="str">
        <f aca="false">IF(OR(I38="",I38&lt;5,O38=""),"",O38+120)</f>
        <v/>
      </c>
      <c r="V38" s="11" t="str">
        <f aca="false">IF(OR(I38="",I38&lt;6,O38=""),"",O38+150)</f>
        <v/>
      </c>
      <c r="W38" s="11" t="str">
        <f aca="false">IF(OR(I38="",I38&lt;7,O38=""),"",O38+180)</f>
        <v/>
      </c>
      <c r="X38" s="11" t="str">
        <f aca="false">IF(OR(I38="",I38&lt;8,O38=""),"",O38+210)</f>
        <v/>
      </c>
      <c r="Y38" s="11" t="str">
        <f aca="false">IF(OR(I38="",I38&lt;9,O38=""),"",O38+240)</f>
        <v/>
      </c>
      <c r="Z38" s="11" t="str">
        <f aca="false">IF(OR(I38="",I38&lt;10,O38=""),"",O38+270)</f>
        <v/>
      </c>
      <c r="AA38" s="11" t="str">
        <f aca="false">IF(OR(I38="",I38&lt;11,O38=""),"",O38+300)</f>
        <v/>
      </c>
      <c r="AB38" s="11" t="str">
        <f aca="false">IF(OR(I38="",I38&lt;12,O38=""),"",O38+330)</f>
        <v/>
      </c>
      <c r="AC38" s="11" t="str">
        <f aca="false">IF(OR(I38="",I38&lt;13,O38=""),"",O38+360)</f>
        <v/>
      </c>
      <c r="AD38" s="11" t="str">
        <f aca="false">IF(OR(I38="",I38&lt;14,O38=""),"",O38+390)</f>
        <v/>
      </c>
      <c r="AE38" s="11" t="str">
        <f aca="false">IF(OR(I38="",I38&lt;15,O38=""),"",O38+420)</f>
        <v/>
      </c>
      <c r="AF38" s="11" t="str">
        <f aca="false">IF(OR(I38="",I38&lt;16,O38=""),"",O38+450)</f>
        <v/>
      </c>
      <c r="AG38" s="11" t="str">
        <f aca="false">IF(OR(I38="",I38&lt;17,O38=""),"",O38+480)</f>
        <v/>
      </c>
      <c r="AH38" s="11" t="str">
        <f aca="false">IF(OR(I38="",I38&lt;18,O38=""),"",O38+510)</f>
        <v/>
      </c>
      <c r="AI38" s="11" t="str">
        <f aca="false">IF(OR(I38="",I38&lt;19,O38=""),"",O38+540)</f>
        <v/>
      </c>
      <c r="AJ38" s="11" t="str">
        <f aca="false">IF(OR(I38="",I38&lt;20,O38=""),"",O38+570)</f>
        <v/>
      </c>
      <c r="AK38" s="11" t="str">
        <f aca="false">IF(OR(I38="",I38&lt;21,O38=""),"",O38+600)</f>
        <v/>
      </c>
      <c r="AL38" s="11" t="str">
        <f aca="false">IF(OR(I38="",I38&lt;22,O38=""),"",O38+630)</f>
        <v/>
      </c>
      <c r="AM38" s="11" t="str">
        <f aca="false">IF(OR(I38="",I38&lt;23,O38=""),"",O38+660)</f>
        <v/>
      </c>
      <c r="AN38" s="11" t="str">
        <f aca="false">IF(OR(I38="",I38&lt;24,O38=""),"",O38+690)</f>
        <v/>
      </c>
      <c r="AO38" s="7" t="str">
        <f aca="false">IF(J38="","",COUNTIF(Q38:AN38,TRUE())*J38)</f>
        <v/>
      </c>
      <c r="AP38" s="7" t="str">
        <f aca="false">IF(K38="","",K38-AO38)</f>
        <v/>
      </c>
      <c r="AQ38" s="7" t="str">
        <f aca="false">IF(K38="","",K38-F38-IF(N38="",0,N38))</f>
        <v/>
      </c>
    </row>
    <row r="39" customFormat="false" ht="15" hidden="false" customHeight="false" outlineLevel="0" collapsed="false">
      <c r="A39" s="12"/>
      <c r="B39" s="12"/>
      <c r="C39" s="12"/>
      <c r="D39" s="13"/>
      <c r="E39" s="13"/>
      <c r="F39" s="14"/>
      <c r="G39" s="12"/>
      <c r="H39" s="12"/>
      <c r="I39" s="12"/>
      <c r="J39" s="14"/>
      <c r="K39" s="15" t="str">
        <f aca="false">IF(OR(I39="",J39=""),"",I39*J39)</f>
        <v/>
      </c>
      <c r="L39" s="12"/>
      <c r="M39" s="16"/>
      <c r="N39" s="15" t="str">
        <f aca="false">IF(OR(L39="",M39="",K39=""),"",IF(L39="GANANCIA",(K39-F39)*M39,IF(L39="BRUTO",K39*M39,"")))</f>
        <v/>
      </c>
      <c r="O39" s="17" t="str">
        <f aca="false">IF(D39="","",D39)</f>
        <v/>
      </c>
      <c r="P39" s="18" t="str">
        <f aca="false">IF(I39="","",IF(COUNTIF(Q39:AN39,TRUE())&gt;=I39,"PAGADO",IF(COUNTIF(Q39:AN39,TRUE())&gt;0,"PARCIAL","VIGENTE")))</f>
        <v/>
      </c>
      <c r="Q39" s="19" t="str">
        <f aca="false">IF(OR(I39="",I39&lt;1,O39=""),"",O39+0)</f>
        <v/>
      </c>
      <c r="R39" s="19" t="str">
        <f aca="false">IF(OR(I39="",I39&lt;2,O39=""),"",O39+30)</f>
        <v/>
      </c>
      <c r="S39" s="19" t="str">
        <f aca="false">IF(OR(I39="",I39&lt;3,O39=""),"",O39+60)</f>
        <v/>
      </c>
      <c r="T39" s="19" t="str">
        <f aca="false">IF(OR(I39="",I39&lt;4,O39=""),"",O39+90)</f>
        <v/>
      </c>
      <c r="U39" s="19" t="str">
        <f aca="false">IF(OR(I39="",I39&lt;5,O39=""),"",O39+120)</f>
        <v/>
      </c>
      <c r="V39" s="19" t="str">
        <f aca="false">IF(OR(I39="",I39&lt;6,O39=""),"",O39+150)</f>
        <v/>
      </c>
      <c r="W39" s="19" t="str">
        <f aca="false">IF(OR(I39="",I39&lt;7,O39=""),"",O39+180)</f>
        <v/>
      </c>
      <c r="X39" s="19" t="str">
        <f aca="false">IF(OR(I39="",I39&lt;8,O39=""),"",O39+210)</f>
        <v/>
      </c>
      <c r="Y39" s="19" t="str">
        <f aca="false">IF(OR(I39="",I39&lt;9,O39=""),"",O39+240)</f>
        <v/>
      </c>
      <c r="Z39" s="19" t="str">
        <f aca="false">IF(OR(I39="",I39&lt;10,O39=""),"",O39+270)</f>
        <v/>
      </c>
      <c r="AA39" s="19" t="str">
        <f aca="false">IF(OR(I39="",I39&lt;11,O39=""),"",O39+300)</f>
        <v/>
      </c>
      <c r="AB39" s="19" t="str">
        <f aca="false">IF(OR(I39="",I39&lt;12,O39=""),"",O39+330)</f>
        <v/>
      </c>
      <c r="AC39" s="19" t="str">
        <f aca="false">IF(OR(I39="",I39&lt;13,O39=""),"",O39+360)</f>
        <v/>
      </c>
      <c r="AD39" s="19" t="str">
        <f aca="false">IF(OR(I39="",I39&lt;14,O39=""),"",O39+390)</f>
        <v/>
      </c>
      <c r="AE39" s="19" t="str">
        <f aca="false">IF(OR(I39="",I39&lt;15,O39=""),"",O39+420)</f>
        <v/>
      </c>
      <c r="AF39" s="19" t="str">
        <f aca="false">IF(OR(I39="",I39&lt;16,O39=""),"",O39+450)</f>
        <v/>
      </c>
      <c r="AG39" s="19" t="str">
        <f aca="false">IF(OR(I39="",I39&lt;17,O39=""),"",O39+480)</f>
        <v/>
      </c>
      <c r="AH39" s="19" t="str">
        <f aca="false">IF(OR(I39="",I39&lt;18,O39=""),"",O39+510)</f>
        <v/>
      </c>
      <c r="AI39" s="19" t="str">
        <f aca="false">IF(OR(I39="",I39&lt;19,O39=""),"",O39+540)</f>
        <v/>
      </c>
      <c r="AJ39" s="19" t="str">
        <f aca="false">IF(OR(I39="",I39&lt;20,O39=""),"",O39+570)</f>
        <v/>
      </c>
      <c r="AK39" s="19" t="str">
        <f aca="false">IF(OR(I39="",I39&lt;21,O39=""),"",O39+600)</f>
        <v/>
      </c>
      <c r="AL39" s="19" t="str">
        <f aca="false">IF(OR(I39="",I39&lt;22,O39=""),"",O39+630)</f>
        <v/>
      </c>
      <c r="AM39" s="19" t="str">
        <f aca="false">IF(OR(I39="",I39&lt;23,O39=""),"",O39+660)</f>
        <v/>
      </c>
      <c r="AN39" s="19" t="str">
        <f aca="false">IF(OR(I39="",I39&lt;24,O39=""),"",O39+690)</f>
        <v/>
      </c>
      <c r="AO39" s="15" t="str">
        <f aca="false">IF(J39="","",COUNTIF(Q39:AN39,TRUE())*J39)</f>
        <v/>
      </c>
      <c r="AP39" s="15" t="str">
        <f aca="false">IF(K39="","",K39-AO39)</f>
        <v/>
      </c>
      <c r="AQ39" s="15" t="str">
        <f aca="false">IF(K39="","",K39-F39-IF(N39="",0,N39))</f>
        <v/>
      </c>
    </row>
    <row r="40" customFormat="false" ht="15" hidden="false" customHeight="false" outlineLevel="0" collapsed="false">
      <c r="A40" s="4"/>
      <c r="B40" s="4"/>
      <c r="C40" s="4"/>
      <c r="D40" s="5"/>
      <c r="E40" s="5"/>
      <c r="F40" s="6"/>
      <c r="G40" s="4"/>
      <c r="H40" s="4"/>
      <c r="I40" s="4"/>
      <c r="J40" s="6"/>
      <c r="K40" s="7" t="str">
        <f aca="false">IF(OR(I40="",J40=""),"",I40*J40)</f>
        <v/>
      </c>
      <c r="L40" s="4"/>
      <c r="M40" s="8"/>
      <c r="N40" s="7" t="str">
        <f aca="false">IF(OR(L40="",M40="",K40=""),"",IF(L40="GANANCIA",(K40-F40)*M40,IF(L40="BRUTO",K40*M40,"")))</f>
        <v/>
      </c>
      <c r="O40" s="9" t="str">
        <f aca="false">IF(D40="","",D40)</f>
        <v/>
      </c>
      <c r="P40" s="10" t="str">
        <f aca="false">IF(I40="","",IF(COUNTIF(Q40:AN40,TRUE())&gt;=I40,"PAGADO",IF(COUNTIF(Q40:AN40,TRUE())&gt;0,"PARCIAL","VIGENTE")))</f>
        <v/>
      </c>
      <c r="Q40" s="11" t="str">
        <f aca="false">IF(OR(I40="",I40&lt;1,O40=""),"",O40+0)</f>
        <v/>
      </c>
      <c r="R40" s="11" t="str">
        <f aca="false">IF(OR(I40="",I40&lt;2,O40=""),"",O40+30)</f>
        <v/>
      </c>
      <c r="S40" s="11" t="str">
        <f aca="false">IF(OR(I40="",I40&lt;3,O40=""),"",O40+60)</f>
        <v/>
      </c>
      <c r="T40" s="11" t="str">
        <f aca="false">IF(OR(I40="",I40&lt;4,O40=""),"",O40+90)</f>
        <v/>
      </c>
      <c r="U40" s="11" t="str">
        <f aca="false">IF(OR(I40="",I40&lt;5,O40=""),"",O40+120)</f>
        <v/>
      </c>
      <c r="V40" s="11" t="str">
        <f aca="false">IF(OR(I40="",I40&lt;6,O40=""),"",O40+150)</f>
        <v/>
      </c>
      <c r="W40" s="11" t="str">
        <f aca="false">IF(OR(I40="",I40&lt;7,O40=""),"",O40+180)</f>
        <v/>
      </c>
      <c r="X40" s="11" t="str">
        <f aca="false">IF(OR(I40="",I40&lt;8,O40=""),"",O40+210)</f>
        <v/>
      </c>
      <c r="Y40" s="11" t="str">
        <f aca="false">IF(OR(I40="",I40&lt;9,O40=""),"",O40+240)</f>
        <v/>
      </c>
      <c r="Z40" s="11" t="str">
        <f aca="false">IF(OR(I40="",I40&lt;10,O40=""),"",O40+270)</f>
        <v/>
      </c>
      <c r="AA40" s="11" t="str">
        <f aca="false">IF(OR(I40="",I40&lt;11,O40=""),"",O40+300)</f>
        <v/>
      </c>
      <c r="AB40" s="11" t="str">
        <f aca="false">IF(OR(I40="",I40&lt;12,O40=""),"",O40+330)</f>
        <v/>
      </c>
      <c r="AC40" s="11" t="str">
        <f aca="false">IF(OR(I40="",I40&lt;13,O40=""),"",O40+360)</f>
        <v/>
      </c>
      <c r="AD40" s="11" t="str">
        <f aca="false">IF(OR(I40="",I40&lt;14,O40=""),"",O40+390)</f>
        <v/>
      </c>
      <c r="AE40" s="11" t="str">
        <f aca="false">IF(OR(I40="",I40&lt;15,O40=""),"",O40+420)</f>
        <v/>
      </c>
      <c r="AF40" s="11" t="str">
        <f aca="false">IF(OR(I40="",I40&lt;16,O40=""),"",O40+450)</f>
        <v/>
      </c>
      <c r="AG40" s="11" t="str">
        <f aca="false">IF(OR(I40="",I40&lt;17,O40=""),"",O40+480)</f>
        <v/>
      </c>
      <c r="AH40" s="11" t="str">
        <f aca="false">IF(OR(I40="",I40&lt;18,O40=""),"",O40+510)</f>
        <v/>
      </c>
      <c r="AI40" s="11" t="str">
        <f aca="false">IF(OR(I40="",I40&lt;19,O40=""),"",O40+540)</f>
        <v/>
      </c>
      <c r="AJ40" s="11" t="str">
        <f aca="false">IF(OR(I40="",I40&lt;20,O40=""),"",O40+570)</f>
        <v/>
      </c>
      <c r="AK40" s="11" t="str">
        <f aca="false">IF(OR(I40="",I40&lt;21,O40=""),"",O40+600)</f>
        <v/>
      </c>
      <c r="AL40" s="11" t="str">
        <f aca="false">IF(OR(I40="",I40&lt;22,O40=""),"",O40+630)</f>
        <v/>
      </c>
      <c r="AM40" s="11" t="str">
        <f aca="false">IF(OR(I40="",I40&lt;23,O40=""),"",O40+660)</f>
        <v/>
      </c>
      <c r="AN40" s="11" t="str">
        <f aca="false">IF(OR(I40="",I40&lt;24,O40=""),"",O40+690)</f>
        <v/>
      </c>
      <c r="AO40" s="7" t="str">
        <f aca="false">IF(J40="","",COUNTIF(Q40:AN40,TRUE())*J40)</f>
        <v/>
      </c>
      <c r="AP40" s="7" t="str">
        <f aca="false">IF(K40="","",K40-AO40)</f>
        <v/>
      </c>
      <c r="AQ40" s="7" t="str">
        <f aca="false">IF(K40="","",K40-F40-IF(N40="",0,N40))</f>
        <v/>
      </c>
    </row>
    <row r="41" customFormat="false" ht="15" hidden="false" customHeight="false" outlineLevel="0" collapsed="false">
      <c r="A41" s="12"/>
      <c r="B41" s="12"/>
      <c r="C41" s="12"/>
      <c r="D41" s="13"/>
      <c r="E41" s="13"/>
      <c r="F41" s="14"/>
      <c r="G41" s="12"/>
      <c r="H41" s="12"/>
      <c r="I41" s="12"/>
      <c r="J41" s="14"/>
      <c r="K41" s="15" t="str">
        <f aca="false">IF(OR(I41="",J41=""),"",I41*J41)</f>
        <v/>
      </c>
      <c r="L41" s="12"/>
      <c r="M41" s="16"/>
      <c r="N41" s="15" t="str">
        <f aca="false">IF(OR(L41="",M41="",K41=""),"",IF(L41="GANANCIA",(K41-F41)*M41,IF(L41="BRUTO",K41*M41,"")))</f>
        <v/>
      </c>
      <c r="O41" s="17" t="str">
        <f aca="false">IF(D41="","",D41)</f>
        <v/>
      </c>
      <c r="P41" s="18" t="str">
        <f aca="false">IF(I41="","",IF(COUNTIF(Q41:AN41,TRUE())&gt;=I41,"PAGADO",IF(COUNTIF(Q41:AN41,TRUE())&gt;0,"PARCIAL","VIGENTE")))</f>
        <v/>
      </c>
      <c r="Q41" s="19" t="str">
        <f aca="false">IF(OR(I41="",I41&lt;1,O41=""),"",O41+0)</f>
        <v/>
      </c>
      <c r="R41" s="19" t="str">
        <f aca="false">IF(OR(I41="",I41&lt;2,O41=""),"",O41+30)</f>
        <v/>
      </c>
      <c r="S41" s="19" t="str">
        <f aca="false">IF(OR(I41="",I41&lt;3,O41=""),"",O41+60)</f>
        <v/>
      </c>
      <c r="T41" s="19" t="str">
        <f aca="false">IF(OR(I41="",I41&lt;4,O41=""),"",O41+90)</f>
        <v/>
      </c>
      <c r="U41" s="19" t="str">
        <f aca="false">IF(OR(I41="",I41&lt;5,O41=""),"",O41+120)</f>
        <v/>
      </c>
      <c r="V41" s="19" t="str">
        <f aca="false">IF(OR(I41="",I41&lt;6,O41=""),"",O41+150)</f>
        <v/>
      </c>
      <c r="W41" s="19" t="str">
        <f aca="false">IF(OR(I41="",I41&lt;7,O41=""),"",O41+180)</f>
        <v/>
      </c>
      <c r="X41" s="19" t="str">
        <f aca="false">IF(OR(I41="",I41&lt;8,O41=""),"",O41+210)</f>
        <v/>
      </c>
      <c r="Y41" s="19" t="str">
        <f aca="false">IF(OR(I41="",I41&lt;9,O41=""),"",O41+240)</f>
        <v/>
      </c>
      <c r="Z41" s="19" t="str">
        <f aca="false">IF(OR(I41="",I41&lt;10,O41=""),"",O41+270)</f>
        <v/>
      </c>
      <c r="AA41" s="19" t="str">
        <f aca="false">IF(OR(I41="",I41&lt;11,O41=""),"",O41+300)</f>
        <v/>
      </c>
      <c r="AB41" s="19" t="str">
        <f aca="false">IF(OR(I41="",I41&lt;12,O41=""),"",O41+330)</f>
        <v/>
      </c>
      <c r="AC41" s="19" t="str">
        <f aca="false">IF(OR(I41="",I41&lt;13,O41=""),"",O41+360)</f>
        <v/>
      </c>
      <c r="AD41" s="19" t="str">
        <f aca="false">IF(OR(I41="",I41&lt;14,O41=""),"",O41+390)</f>
        <v/>
      </c>
      <c r="AE41" s="19" t="str">
        <f aca="false">IF(OR(I41="",I41&lt;15,O41=""),"",O41+420)</f>
        <v/>
      </c>
      <c r="AF41" s="19" t="str">
        <f aca="false">IF(OR(I41="",I41&lt;16,O41=""),"",O41+450)</f>
        <v/>
      </c>
      <c r="AG41" s="19" t="str">
        <f aca="false">IF(OR(I41="",I41&lt;17,O41=""),"",O41+480)</f>
        <v/>
      </c>
      <c r="AH41" s="19" t="str">
        <f aca="false">IF(OR(I41="",I41&lt;18,O41=""),"",O41+510)</f>
        <v/>
      </c>
      <c r="AI41" s="19" t="str">
        <f aca="false">IF(OR(I41="",I41&lt;19,O41=""),"",O41+540)</f>
        <v/>
      </c>
      <c r="AJ41" s="19" t="str">
        <f aca="false">IF(OR(I41="",I41&lt;20,O41=""),"",O41+570)</f>
        <v/>
      </c>
      <c r="AK41" s="19" t="str">
        <f aca="false">IF(OR(I41="",I41&lt;21,O41=""),"",O41+600)</f>
        <v/>
      </c>
      <c r="AL41" s="19" t="str">
        <f aca="false">IF(OR(I41="",I41&lt;22,O41=""),"",O41+630)</f>
        <v/>
      </c>
      <c r="AM41" s="19" t="str">
        <f aca="false">IF(OR(I41="",I41&lt;23,O41=""),"",O41+660)</f>
        <v/>
      </c>
      <c r="AN41" s="19" t="str">
        <f aca="false">IF(OR(I41="",I41&lt;24,O41=""),"",O41+690)</f>
        <v/>
      </c>
      <c r="AO41" s="15" t="str">
        <f aca="false">IF(J41="","",COUNTIF(Q41:AN41,TRUE())*J41)</f>
        <v/>
      </c>
      <c r="AP41" s="15" t="str">
        <f aca="false">IF(K41="","",K41-AO41)</f>
        <v/>
      </c>
      <c r="AQ41" s="15" t="str">
        <f aca="false">IF(K41="","",K41-F41-IF(N41="",0,N41))</f>
        <v/>
      </c>
    </row>
    <row r="42" customFormat="false" ht="15" hidden="false" customHeight="false" outlineLevel="0" collapsed="false">
      <c r="A42" s="4"/>
      <c r="B42" s="4"/>
      <c r="C42" s="4"/>
      <c r="D42" s="5"/>
      <c r="E42" s="5"/>
      <c r="F42" s="6"/>
      <c r="G42" s="4"/>
      <c r="H42" s="4"/>
      <c r="I42" s="4"/>
      <c r="J42" s="6"/>
      <c r="K42" s="7" t="str">
        <f aca="false">IF(OR(I42="",J42=""),"",I42*J42)</f>
        <v/>
      </c>
      <c r="L42" s="4"/>
      <c r="M42" s="8"/>
      <c r="N42" s="7" t="str">
        <f aca="false">IF(OR(L42="",M42="",K42=""),"",IF(L42="GANANCIA",(K42-F42)*M42,IF(L42="BRUTO",K42*M42,"")))</f>
        <v/>
      </c>
      <c r="O42" s="9" t="str">
        <f aca="false">IF(D42="","",D42)</f>
        <v/>
      </c>
      <c r="P42" s="10" t="str">
        <f aca="false">IF(I42="","",IF(COUNTIF(Q42:AN42,TRUE())&gt;=I42,"PAGADO",IF(COUNTIF(Q42:AN42,TRUE())&gt;0,"PARCIAL","VIGENTE")))</f>
        <v/>
      </c>
      <c r="Q42" s="11" t="str">
        <f aca="false">IF(OR(I42="",I42&lt;1,O42=""),"",O42+0)</f>
        <v/>
      </c>
      <c r="R42" s="11" t="str">
        <f aca="false">IF(OR(I42="",I42&lt;2,O42=""),"",O42+30)</f>
        <v/>
      </c>
      <c r="S42" s="11" t="str">
        <f aca="false">IF(OR(I42="",I42&lt;3,O42=""),"",O42+60)</f>
        <v/>
      </c>
      <c r="T42" s="11" t="str">
        <f aca="false">IF(OR(I42="",I42&lt;4,O42=""),"",O42+90)</f>
        <v/>
      </c>
      <c r="U42" s="11" t="str">
        <f aca="false">IF(OR(I42="",I42&lt;5,O42=""),"",O42+120)</f>
        <v/>
      </c>
      <c r="V42" s="11" t="str">
        <f aca="false">IF(OR(I42="",I42&lt;6,O42=""),"",O42+150)</f>
        <v/>
      </c>
      <c r="W42" s="11" t="str">
        <f aca="false">IF(OR(I42="",I42&lt;7,O42=""),"",O42+180)</f>
        <v/>
      </c>
      <c r="X42" s="11" t="str">
        <f aca="false">IF(OR(I42="",I42&lt;8,O42=""),"",O42+210)</f>
        <v/>
      </c>
      <c r="Y42" s="11" t="str">
        <f aca="false">IF(OR(I42="",I42&lt;9,O42=""),"",O42+240)</f>
        <v/>
      </c>
      <c r="Z42" s="11" t="str">
        <f aca="false">IF(OR(I42="",I42&lt;10,O42=""),"",O42+270)</f>
        <v/>
      </c>
      <c r="AA42" s="11" t="str">
        <f aca="false">IF(OR(I42="",I42&lt;11,O42=""),"",O42+300)</f>
        <v/>
      </c>
      <c r="AB42" s="11" t="str">
        <f aca="false">IF(OR(I42="",I42&lt;12,O42=""),"",O42+330)</f>
        <v/>
      </c>
      <c r="AC42" s="11" t="str">
        <f aca="false">IF(OR(I42="",I42&lt;13,O42=""),"",O42+360)</f>
        <v/>
      </c>
      <c r="AD42" s="11" t="str">
        <f aca="false">IF(OR(I42="",I42&lt;14,O42=""),"",O42+390)</f>
        <v/>
      </c>
      <c r="AE42" s="11" t="str">
        <f aca="false">IF(OR(I42="",I42&lt;15,O42=""),"",O42+420)</f>
        <v/>
      </c>
      <c r="AF42" s="11" t="str">
        <f aca="false">IF(OR(I42="",I42&lt;16,O42=""),"",O42+450)</f>
        <v/>
      </c>
      <c r="AG42" s="11" t="str">
        <f aca="false">IF(OR(I42="",I42&lt;17,O42=""),"",O42+480)</f>
        <v/>
      </c>
      <c r="AH42" s="11" t="str">
        <f aca="false">IF(OR(I42="",I42&lt;18,O42=""),"",O42+510)</f>
        <v/>
      </c>
      <c r="AI42" s="11" t="str">
        <f aca="false">IF(OR(I42="",I42&lt;19,O42=""),"",O42+540)</f>
        <v/>
      </c>
      <c r="AJ42" s="11" t="str">
        <f aca="false">IF(OR(I42="",I42&lt;20,O42=""),"",O42+570)</f>
        <v/>
      </c>
      <c r="AK42" s="11" t="str">
        <f aca="false">IF(OR(I42="",I42&lt;21,O42=""),"",O42+600)</f>
        <v/>
      </c>
      <c r="AL42" s="11" t="str">
        <f aca="false">IF(OR(I42="",I42&lt;22,O42=""),"",O42+630)</f>
        <v/>
      </c>
      <c r="AM42" s="11" t="str">
        <f aca="false">IF(OR(I42="",I42&lt;23,O42=""),"",O42+660)</f>
        <v/>
      </c>
      <c r="AN42" s="11" t="str">
        <f aca="false">IF(OR(I42="",I42&lt;24,O42=""),"",O42+690)</f>
        <v/>
      </c>
      <c r="AO42" s="7" t="str">
        <f aca="false">IF(J42="","",COUNTIF(Q42:AN42,TRUE())*J42)</f>
        <v/>
      </c>
      <c r="AP42" s="7" t="str">
        <f aca="false">IF(K42="","",K42-AO42)</f>
        <v/>
      </c>
      <c r="AQ42" s="7" t="str">
        <f aca="false">IF(K42="","",K42-F42-IF(N42="",0,N42))</f>
        <v/>
      </c>
    </row>
    <row r="43" customFormat="false" ht="15" hidden="false" customHeight="false" outlineLevel="0" collapsed="false">
      <c r="A43" s="12"/>
      <c r="B43" s="12"/>
      <c r="C43" s="12"/>
      <c r="D43" s="13"/>
      <c r="E43" s="13"/>
      <c r="F43" s="14"/>
      <c r="G43" s="12"/>
      <c r="H43" s="12"/>
      <c r="I43" s="12"/>
      <c r="J43" s="14"/>
      <c r="K43" s="15" t="str">
        <f aca="false">IF(OR(I43="",J43=""),"",I43*J43)</f>
        <v/>
      </c>
      <c r="L43" s="12"/>
      <c r="M43" s="16"/>
      <c r="N43" s="15" t="str">
        <f aca="false">IF(OR(L43="",M43="",K43=""),"",IF(L43="GANANCIA",(K43-F43)*M43,IF(L43="BRUTO",K43*M43,"")))</f>
        <v/>
      </c>
      <c r="O43" s="17" t="str">
        <f aca="false">IF(D43="","",D43)</f>
        <v/>
      </c>
      <c r="P43" s="18" t="str">
        <f aca="false">IF(I43="","",IF(COUNTIF(Q43:AN43,TRUE())&gt;=I43,"PAGADO",IF(COUNTIF(Q43:AN43,TRUE())&gt;0,"PARCIAL","VIGENTE")))</f>
        <v/>
      </c>
      <c r="Q43" s="19" t="str">
        <f aca="false">IF(OR(I43="",I43&lt;1,O43=""),"",O43+0)</f>
        <v/>
      </c>
      <c r="R43" s="19" t="str">
        <f aca="false">IF(OR(I43="",I43&lt;2,O43=""),"",O43+30)</f>
        <v/>
      </c>
      <c r="S43" s="19" t="str">
        <f aca="false">IF(OR(I43="",I43&lt;3,O43=""),"",O43+60)</f>
        <v/>
      </c>
      <c r="T43" s="19" t="str">
        <f aca="false">IF(OR(I43="",I43&lt;4,O43=""),"",O43+90)</f>
        <v/>
      </c>
      <c r="U43" s="19" t="str">
        <f aca="false">IF(OR(I43="",I43&lt;5,O43=""),"",O43+120)</f>
        <v/>
      </c>
      <c r="V43" s="19" t="str">
        <f aca="false">IF(OR(I43="",I43&lt;6,O43=""),"",O43+150)</f>
        <v/>
      </c>
      <c r="W43" s="19" t="str">
        <f aca="false">IF(OR(I43="",I43&lt;7,O43=""),"",O43+180)</f>
        <v/>
      </c>
      <c r="X43" s="19" t="str">
        <f aca="false">IF(OR(I43="",I43&lt;8,O43=""),"",O43+210)</f>
        <v/>
      </c>
      <c r="Y43" s="19" t="str">
        <f aca="false">IF(OR(I43="",I43&lt;9,O43=""),"",O43+240)</f>
        <v/>
      </c>
      <c r="Z43" s="19" t="str">
        <f aca="false">IF(OR(I43="",I43&lt;10,O43=""),"",O43+270)</f>
        <v/>
      </c>
      <c r="AA43" s="19" t="str">
        <f aca="false">IF(OR(I43="",I43&lt;11,O43=""),"",O43+300)</f>
        <v/>
      </c>
      <c r="AB43" s="19" t="str">
        <f aca="false">IF(OR(I43="",I43&lt;12,O43=""),"",O43+330)</f>
        <v/>
      </c>
      <c r="AC43" s="19" t="str">
        <f aca="false">IF(OR(I43="",I43&lt;13,O43=""),"",O43+360)</f>
        <v/>
      </c>
      <c r="AD43" s="19" t="str">
        <f aca="false">IF(OR(I43="",I43&lt;14,O43=""),"",O43+390)</f>
        <v/>
      </c>
      <c r="AE43" s="19" t="str">
        <f aca="false">IF(OR(I43="",I43&lt;15,O43=""),"",O43+420)</f>
        <v/>
      </c>
      <c r="AF43" s="19" t="str">
        <f aca="false">IF(OR(I43="",I43&lt;16,O43=""),"",O43+450)</f>
        <v/>
      </c>
      <c r="AG43" s="19" t="str">
        <f aca="false">IF(OR(I43="",I43&lt;17,O43=""),"",O43+480)</f>
        <v/>
      </c>
      <c r="AH43" s="19" t="str">
        <f aca="false">IF(OR(I43="",I43&lt;18,O43=""),"",O43+510)</f>
        <v/>
      </c>
      <c r="AI43" s="19" t="str">
        <f aca="false">IF(OR(I43="",I43&lt;19,O43=""),"",O43+540)</f>
        <v/>
      </c>
      <c r="AJ43" s="19" t="str">
        <f aca="false">IF(OR(I43="",I43&lt;20,O43=""),"",O43+570)</f>
        <v/>
      </c>
      <c r="AK43" s="19" t="str">
        <f aca="false">IF(OR(I43="",I43&lt;21,O43=""),"",O43+600)</f>
        <v/>
      </c>
      <c r="AL43" s="19" t="str">
        <f aca="false">IF(OR(I43="",I43&lt;22,O43=""),"",O43+630)</f>
        <v/>
      </c>
      <c r="AM43" s="19" t="str">
        <f aca="false">IF(OR(I43="",I43&lt;23,O43=""),"",O43+660)</f>
        <v/>
      </c>
      <c r="AN43" s="19" t="str">
        <f aca="false">IF(OR(I43="",I43&lt;24,O43=""),"",O43+690)</f>
        <v/>
      </c>
      <c r="AO43" s="15" t="str">
        <f aca="false">IF(J43="","",COUNTIF(Q43:AN43,TRUE())*J43)</f>
        <v/>
      </c>
      <c r="AP43" s="15" t="str">
        <f aca="false">IF(K43="","",K43-AO43)</f>
        <v/>
      </c>
      <c r="AQ43" s="15" t="str">
        <f aca="false">IF(K43="","",K43-F43-IF(N43="",0,N43))</f>
        <v/>
      </c>
    </row>
    <row r="44" customFormat="false" ht="15" hidden="false" customHeight="false" outlineLevel="0" collapsed="false">
      <c r="A44" s="4"/>
      <c r="B44" s="4"/>
      <c r="C44" s="4"/>
      <c r="D44" s="5"/>
      <c r="E44" s="5"/>
      <c r="F44" s="6"/>
      <c r="G44" s="4"/>
      <c r="H44" s="4"/>
      <c r="I44" s="4"/>
      <c r="J44" s="6"/>
      <c r="K44" s="7" t="str">
        <f aca="false">IF(OR(I44="",J44=""),"",I44*J44)</f>
        <v/>
      </c>
      <c r="L44" s="4"/>
      <c r="M44" s="8"/>
      <c r="N44" s="7" t="str">
        <f aca="false">IF(OR(L44="",M44="",K44=""),"",IF(L44="GANANCIA",(K44-F44)*M44,IF(L44="BRUTO",K44*M44,"")))</f>
        <v/>
      </c>
      <c r="O44" s="9" t="str">
        <f aca="false">IF(D44="","",D44)</f>
        <v/>
      </c>
      <c r="P44" s="10" t="str">
        <f aca="false">IF(I44="","",IF(COUNTIF(Q44:AN44,TRUE())&gt;=I44,"PAGADO",IF(COUNTIF(Q44:AN44,TRUE())&gt;0,"PARCIAL","VIGENTE")))</f>
        <v/>
      </c>
      <c r="Q44" s="11" t="str">
        <f aca="false">IF(OR(I44="",I44&lt;1,O44=""),"",O44+0)</f>
        <v/>
      </c>
      <c r="R44" s="11" t="str">
        <f aca="false">IF(OR(I44="",I44&lt;2,O44=""),"",O44+30)</f>
        <v/>
      </c>
      <c r="S44" s="11" t="str">
        <f aca="false">IF(OR(I44="",I44&lt;3,O44=""),"",O44+60)</f>
        <v/>
      </c>
      <c r="T44" s="11" t="str">
        <f aca="false">IF(OR(I44="",I44&lt;4,O44=""),"",O44+90)</f>
        <v/>
      </c>
      <c r="U44" s="11" t="str">
        <f aca="false">IF(OR(I44="",I44&lt;5,O44=""),"",O44+120)</f>
        <v/>
      </c>
      <c r="V44" s="11" t="str">
        <f aca="false">IF(OR(I44="",I44&lt;6,O44=""),"",O44+150)</f>
        <v/>
      </c>
      <c r="W44" s="11" t="str">
        <f aca="false">IF(OR(I44="",I44&lt;7,O44=""),"",O44+180)</f>
        <v/>
      </c>
      <c r="X44" s="11" t="str">
        <f aca="false">IF(OR(I44="",I44&lt;8,O44=""),"",O44+210)</f>
        <v/>
      </c>
      <c r="Y44" s="11" t="str">
        <f aca="false">IF(OR(I44="",I44&lt;9,O44=""),"",O44+240)</f>
        <v/>
      </c>
      <c r="Z44" s="11" t="str">
        <f aca="false">IF(OR(I44="",I44&lt;10,O44=""),"",O44+270)</f>
        <v/>
      </c>
      <c r="AA44" s="11" t="str">
        <f aca="false">IF(OR(I44="",I44&lt;11,O44=""),"",O44+300)</f>
        <v/>
      </c>
      <c r="AB44" s="11" t="str">
        <f aca="false">IF(OR(I44="",I44&lt;12,O44=""),"",O44+330)</f>
        <v/>
      </c>
      <c r="AC44" s="11" t="str">
        <f aca="false">IF(OR(I44="",I44&lt;13,O44=""),"",O44+360)</f>
        <v/>
      </c>
      <c r="AD44" s="11" t="str">
        <f aca="false">IF(OR(I44="",I44&lt;14,O44=""),"",O44+390)</f>
        <v/>
      </c>
      <c r="AE44" s="11" t="str">
        <f aca="false">IF(OR(I44="",I44&lt;15,O44=""),"",O44+420)</f>
        <v/>
      </c>
      <c r="AF44" s="11" t="str">
        <f aca="false">IF(OR(I44="",I44&lt;16,O44=""),"",O44+450)</f>
        <v/>
      </c>
      <c r="AG44" s="11" t="str">
        <f aca="false">IF(OR(I44="",I44&lt;17,O44=""),"",O44+480)</f>
        <v/>
      </c>
      <c r="AH44" s="11" t="str">
        <f aca="false">IF(OR(I44="",I44&lt;18,O44=""),"",O44+510)</f>
        <v/>
      </c>
      <c r="AI44" s="11" t="str">
        <f aca="false">IF(OR(I44="",I44&lt;19,O44=""),"",O44+540)</f>
        <v/>
      </c>
      <c r="AJ44" s="11" t="str">
        <f aca="false">IF(OR(I44="",I44&lt;20,O44=""),"",O44+570)</f>
        <v/>
      </c>
      <c r="AK44" s="11" t="str">
        <f aca="false">IF(OR(I44="",I44&lt;21,O44=""),"",O44+600)</f>
        <v/>
      </c>
      <c r="AL44" s="11" t="str">
        <f aca="false">IF(OR(I44="",I44&lt;22,O44=""),"",O44+630)</f>
        <v/>
      </c>
      <c r="AM44" s="11" t="str">
        <f aca="false">IF(OR(I44="",I44&lt;23,O44=""),"",O44+660)</f>
        <v/>
      </c>
      <c r="AN44" s="11" t="str">
        <f aca="false">IF(OR(I44="",I44&lt;24,O44=""),"",O44+690)</f>
        <v/>
      </c>
      <c r="AO44" s="7" t="str">
        <f aca="false">IF(J44="","",COUNTIF(Q44:AN44,TRUE())*J44)</f>
        <v/>
      </c>
      <c r="AP44" s="7" t="str">
        <f aca="false">IF(K44="","",K44-AO44)</f>
        <v/>
      </c>
      <c r="AQ44" s="7" t="str">
        <f aca="false">IF(K44="","",K44-F44-IF(N44="",0,N44))</f>
        <v/>
      </c>
    </row>
    <row r="45" customFormat="false" ht="15" hidden="false" customHeight="false" outlineLevel="0" collapsed="false">
      <c r="A45" s="12"/>
      <c r="B45" s="12"/>
      <c r="C45" s="12"/>
      <c r="D45" s="13"/>
      <c r="E45" s="13"/>
      <c r="F45" s="14"/>
      <c r="G45" s="12"/>
      <c r="H45" s="12"/>
      <c r="I45" s="12"/>
      <c r="J45" s="14"/>
      <c r="K45" s="15" t="str">
        <f aca="false">IF(OR(I45="",J45=""),"",I45*J45)</f>
        <v/>
      </c>
      <c r="L45" s="12"/>
      <c r="M45" s="16"/>
      <c r="N45" s="15" t="str">
        <f aca="false">IF(OR(L45="",M45="",K45=""),"",IF(L45="GANANCIA",(K45-F45)*M45,IF(L45="BRUTO",K45*M45,"")))</f>
        <v/>
      </c>
      <c r="O45" s="17" t="str">
        <f aca="false">IF(D45="","",D45)</f>
        <v/>
      </c>
      <c r="P45" s="18" t="str">
        <f aca="false">IF(I45="","",IF(COUNTIF(Q45:AN45,TRUE())&gt;=I45,"PAGADO",IF(COUNTIF(Q45:AN45,TRUE())&gt;0,"PARCIAL","VIGENTE")))</f>
        <v/>
      </c>
      <c r="Q45" s="19" t="str">
        <f aca="false">IF(OR(I45="",I45&lt;1,O45=""),"",O45+0)</f>
        <v/>
      </c>
      <c r="R45" s="19" t="str">
        <f aca="false">IF(OR(I45="",I45&lt;2,O45=""),"",O45+30)</f>
        <v/>
      </c>
      <c r="S45" s="19" t="str">
        <f aca="false">IF(OR(I45="",I45&lt;3,O45=""),"",O45+60)</f>
        <v/>
      </c>
      <c r="T45" s="19" t="str">
        <f aca="false">IF(OR(I45="",I45&lt;4,O45=""),"",O45+90)</f>
        <v/>
      </c>
      <c r="U45" s="19" t="str">
        <f aca="false">IF(OR(I45="",I45&lt;5,O45=""),"",O45+120)</f>
        <v/>
      </c>
      <c r="V45" s="19" t="str">
        <f aca="false">IF(OR(I45="",I45&lt;6,O45=""),"",O45+150)</f>
        <v/>
      </c>
      <c r="W45" s="19" t="str">
        <f aca="false">IF(OR(I45="",I45&lt;7,O45=""),"",O45+180)</f>
        <v/>
      </c>
      <c r="X45" s="19" t="str">
        <f aca="false">IF(OR(I45="",I45&lt;8,O45=""),"",O45+210)</f>
        <v/>
      </c>
      <c r="Y45" s="19" t="str">
        <f aca="false">IF(OR(I45="",I45&lt;9,O45=""),"",O45+240)</f>
        <v/>
      </c>
      <c r="Z45" s="19" t="str">
        <f aca="false">IF(OR(I45="",I45&lt;10,O45=""),"",O45+270)</f>
        <v/>
      </c>
      <c r="AA45" s="19" t="str">
        <f aca="false">IF(OR(I45="",I45&lt;11,O45=""),"",O45+300)</f>
        <v/>
      </c>
      <c r="AB45" s="19" t="str">
        <f aca="false">IF(OR(I45="",I45&lt;12,O45=""),"",O45+330)</f>
        <v/>
      </c>
      <c r="AC45" s="19" t="str">
        <f aca="false">IF(OR(I45="",I45&lt;13,O45=""),"",O45+360)</f>
        <v/>
      </c>
      <c r="AD45" s="19" t="str">
        <f aca="false">IF(OR(I45="",I45&lt;14,O45=""),"",O45+390)</f>
        <v/>
      </c>
      <c r="AE45" s="19" t="str">
        <f aca="false">IF(OR(I45="",I45&lt;15,O45=""),"",O45+420)</f>
        <v/>
      </c>
      <c r="AF45" s="19" t="str">
        <f aca="false">IF(OR(I45="",I45&lt;16,O45=""),"",O45+450)</f>
        <v/>
      </c>
      <c r="AG45" s="19" t="str">
        <f aca="false">IF(OR(I45="",I45&lt;17,O45=""),"",O45+480)</f>
        <v/>
      </c>
      <c r="AH45" s="19" t="str">
        <f aca="false">IF(OR(I45="",I45&lt;18,O45=""),"",O45+510)</f>
        <v/>
      </c>
      <c r="AI45" s="19" t="str">
        <f aca="false">IF(OR(I45="",I45&lt;19,O45=""),"",O45+540)</f>
        <v/>
      </c>
      <c r="AJ45" s="19" t="str">
        <f aca="false">IF(OR(I45="",I45&lt;20,O45=""),"",O45+570)</f>
        <v/>
      </c>
      <c r="AK45" s="19" t="str">
        <f aca="false">IF(OR(I45="",I45&lt;21,O45=""),"",O45+600)</f>
        <v/>
      </c>
      <c r="AL45" s="19" t="str">
        <f aca="false">IF(OR(I45="",I45&lt;22,O45=""),"",O45+630)</f>
        <v/>
      </c>
      <c r="AM45" s="19" t="str">
        <f aca="false">IF(OR(I45="",I45&lt;23,O45=""),"",O45+660)</f>
        <v/>
      </c>
      <c r="AN45" s="19" t="str">
        <f aca="false">IF(OR(I45="",I45&lt;24,O45=""),"",O45+690)</f>
        <v/>
      </c>
      <c r="AO45" s="15" t="str">
        <f aca="false">IF(J45="","",COUNTIF(Q45:AN45,TRUE())*J45)</f>
        <v/>
      </c>
      <c r="AP45" s="15" t="str">
        <f aca="false">IF(K45="","",K45-AO45)</f>
        <v/>
      </c>
      <c r="AQ45" s="15" t="str">
        <f aca="false">IF(K45="","",K45-F45-IF(N45="",0,N45))</f>
        <v/>
      </c>
    </row>
    <row r="46" customFormat="false" ht="15" hidden="false" customHeight="false" outlineLevel="0" collapsed="false">
      <c r="A46" s="4"/>
      <c r="B46" s="4"/>
      <c r="C46" s="4"/>
      <c r="D46" s="5"/>
      <c r="E46" s="5"/>
      <c r="F46" s="6"/>
      <c r="G46" s="4"/>
      <c r="H46" s="4"/>
      <c r="I46" s="4"/>
      <c r="J46" s="6"/>
      <c r="K46" s="7" t="str">
        <f aca="false">IF(OR(I46="",J46=""),"",I46*J46)</f>
        <v/>
      </c>
      <c r="L46" s="4"/>
      <c r="M46" s="8"/>
      <c r="N46" s="7" t="str">
        <f aca="false">IF(OR(L46="",M46="",K46=""),"",IF(L46="GANANCIA",(K46-F46)*M46,IF(L46="BRUTO",K46*M46,"")))</f>
        <v/>
      </c>
      <c r="O46" s="9" t="str">
        <f aca="false">IF(D46="","",D46)</f>
        <v/>
      </c>
      <c r="P46" s="10" t="str">
        <f aca="false">IF(I46="","",IF(COUNTIF(Q46:AN46,TRUE())&gt;=I46,"PAGADO",IF(COUNTIF(Q46:AN46,TRUE())&gt;0,"PARCIAL","VIGENTE")))</f>
        <v/>
      </c>
      <c r="Q46" s="11" t="str">
        <f aca="false">IF(OR(I46="",I46&lt;1,O46=""),"",O46+0)</f>
        <v/>
      </c>
      <c r="R46" s="11" t="str">
        <f aca="false">IF(OR(I46="",I46&lt;2,O46=""),"",O46+30)</f>
        <v/>
      </c>
      <c r="S46" s="11" t="str">
        <f aca="false">IF(OR(I46="",I46&lt;3,O46=""),"",O46+60)</f>
        <v/>
      </c>
      <c r="T46" s="11" t="str">
        <f aca="false">IF(OR(I46="",I46&lt;4,O46=""),"",O46+90)</f>
        <v/>
      </c>
      <c r="U46" s="11" t="str">
        <f aca="false">IF(OR(I46="",I46&lt;5,O46=""),"",O46+120)</f>
        <v/>
      </c>
      <c r="V46" s="11" t="str">
        <f aca="false">IF(OR(I46="",I46&lt;6,O46=""),"",O46+150)</f>
        <v/>
      </c>
      <c r="W46" s="11" t="str">
        <f aca="false">IF(OR(I46="",I46&lt;7,O46=""),"",O46+180)</f>
        <v/>
      </c>
      <c r="X46" s="11" t="str">
        <f aca="false">IF(OR(I46="",I46&lt;8,O46=""),"",O46+210)</f>
        <v/>
      </c>
      <c r="Y46" s="11" t="str">
        <f aca="false">IF(OR(I46="",I46&lt;9,O46=""),"",O46+240)</f>
        <v/>
      </c>
      <c r="Z46" s="11" t="str">
        <f aca="false">IF(OR(I46="",I46&lt;10,O46=""),"",O46+270)</f>
        <v/>
      </c>
      <c r="AA46" s="11" t="str">
        <f aca="false">IF(OR(I46="",I46&lt;11,O46=""),"",O46+300)</f>
        <v/>
      </c>
      <c r="AB46" s="11" t="str">
        <f aca="false">IF(OR(I46="",I46&lt;12,O46=""),"",O46+330)</f>
        <v/>
      </c>
      <c r="AC46" s="11" t="str">
        <f aca="false">IF(OR(I46="",I46&lt;13,O46=""),"",O46+360)</f>
        <v/>
      </c>
      <c r="AD46" s="11" t="str">
        <f aca="false">IF(OR(I46="",I46&lt;14,O46=""),"",O46+390)</f>
        <v/>
      </c>
      <c r="AE46" s="11" t="str">
        <f aca="false">IF(OR(I46="",I46&lt;15,O46=""),"",O46+420)</f>
        <v/>
      </c>
      <c r="AF46" s="11" t="str">
        <f aca="false">IF(OR(I46="",I46&lt;16,O46=""),"",O46+450)</f>
        <v/>
      </c>
      <c r="AG46" s="11" t="str">
        <f aca="false">IF(OR(I46="",I46&lt;17,O46=""),"",O46+480)</f>
        <v/>
      </c>
      <c r="AH46" s="11" t="str">
        <f aca="false">IF(OR(I46="",I46&lt;18,O46=""),"",O46+510)</f>
        <v/>
      </c>
      <c r="AI46" s="11" t="str">
        <f aca="false">IF(OR(I46="",I46&lt;19,O46=""),"",O46+540)</f>
        <v/>
      </c>
      <c r="AJ46" s="11" t="str">
        <f aca="false">IF(OR(I46="",I46&lt;20,O46=""),"",O46+570)</f>
        <v/>
      </c>
      <c r="AK46" s="11" t="str">
        <f aca="false">IF(OR(I46="",I46&lt;21,O46=""),"",O46+600)</f>
        <v/>
      </c>
      <c r="AL46" s="11" t="str">
        <f aca="false">IF(OR(I46="",I46&lt;22,O46=""),"",O46+630)</f>
        <v/>
      </c>
      <c r="AM46" s="11" t="str">
        <f aca="false">IF(OR(I46="",I46&lt;23,O46=""),"",O46+660)</f>
        <v/>
      </c>
      <c r="AN46" s="11" t="str">
        <f aca="false">IF(OR(I46="",I46&lt;24,O46=""),"",O46+690)</f>
        <v/>
      </c>
      <c r="AO46" s="7" t="str">
        <f aca="false">IF(J46="","",COUNTIF(Q46:AN46,TRUE())*J46)</f>
        <v/>
      </c>
      <c r="AP46" s="7" t="str">
        <f aca="false">IF(K46="","",K46-AO46)</f>
        <v/>
      </c>
      <c r="AQ46" s="7" t="str">
        <f aca="false">IF(K46="","",K46-F46-IF(N46="",0,N46))</f>
        <v/>
      </c>
    </row>
    <row r="47" customFormat="false" ht="15" hidden="false" customHeight="false" outlineLevel="0" collapsed="false">
      <c r="A47" s="12"/>
      <c r="B47" s="12"/>
      <c r="C47" s="12"/>
      <c r="D47" s="13"/>
      <c r="E47" s="13"/>
      <c r="F47" s="14"/>
      <c r="G47" s="12"/>
      <c r="H47" s="12"/>
      <c r="I47" s="12"/>
      <c r="J47" s="14"/>
      <c r="K47" s="15" t="str">
        <f aca="false">IF(OR(I47="",J47=""),"",I47*J47)</f>
        <v/>
      </c>
      <c r="L47" s="12"/>
      <c r="M47" s="16"/>
      <c r="N47" s="15" t="str">
        <f aca="false">IF(OR(L47="",M47="",K47=""),"",IF(L47="GANANCIA",(K47-F47)*M47,IF(L47="BRUTO",K47*M47,"")))</f>
        <v/>
      </c>
      <c r="O47" s="17" t="str">
        <f aca="false">IF(D47="","",D47)</f>
        <v/>
      </c>
      <c r="P47" s="18" t="str">
        <f aca="false">IF(I47="","",IF(COUNTIF(Q47:AN47,TRUE())&gt;=I47,"PAGADO",IF(COUNTIF(Q47:AN47,TRUE())&gt;0,"PARCIAL","VIGENTE")))</f>
        <v/>
      </c>
      <c r="Q47" s="19" t="str">
        <f aca="false">IF(OR(I47="",I47&lt;1,O47=""),"",O47+0)</f>
        <v/>
      </c>
      <c r="R47" s="19" t="str">
        <f aca="false">IF(OR(I47="",I47&lt;2,O47=""),"",O47+30)</f>
        <v/>
      </c>
      <c r="S47" s="19" t="str">
        <f aca="false">IF(OR(I47="",I47&lt;3,O47=""),"",O47+60)</f>
        <v/>
      </c>
      <c r="T47" s="19" t="str">
        <f aca="false">IF(OR(I47="",I47&lt;4,O47=""),"",O47+90)</f>
        <v/>
      </c>
      <c r="U47" s="19" t="str">
        <f aca="false">IF(OR(I47="",I47&lt;5,O47=""),"",O47+120)</f>
        <v/>
      </c>
      <c r="V47" s="19" t="str">
        <f aca="false">IF(OR(I47="",I47&lt;6,O47=""),"",O47+150)</f>
        <v/>
      </c>
      <c r="W47" s="19" t="str">
        <f aca="false">IF(OR(I47="",I47&lt;7,O47=""),"",O47+180)</f>
        <v/>
      </c>
      <c r="X47" s="19" t="str">
        <f aca="false">IF(OR(I47="",I47&lt;8,O47=""),"",O47+210)</f>
        <v/>
      </c>
      <c r="Y47" s="19" t="str">
        <f aca="false">IF(OR(I47="",I47&lt;9,O47=""),"",O47+240)</f>
        <v/>
      </c>
      <c r="Z47" s="19" t="str">
        <f aca="false">IF(OR(I47="",I47&lt;10,O47=""),"",O47+270)</f>
        <v/>
      </c>
      <c r="AA47" s="19" t="str">
        <f aca="false">IF(OR(I47="",I47&lt;11,O47=""),"",O47+300)</f>
        <v/>
      </c>
      <c r="AB47" s="19" t="str">
        <f aca="false">IF(OR(I47="",I47&lt;12,O47=""),"",O47+330)</f>
        <v/>
      </c>
      <c r="AC47" s="19" t="str">
        <f aca="false">IF(OR(I47="",I47&lt;13,O47=""),"",O47+360)</f>
        <v/>
      </c>
      <c r="AD47" s="19" t="str">
        <f aca="false">IF(OR(I47="",I47&lt;14,O47=""),"",O47+390)</f>
        <v/>
      </c>
      <c r="AE47" s="19" t="str">
        <f aca="false">IF(OR(I47="",I47&lt;15,O47=""),"",O47+420)</f>
        <v/>
      </c>
      <c r="AF47" s="19" t="str">
        <f aca="false">IF(OR(I47="",I47&lt;16,O47=""),"",O47+450)</f>
        <v/>
      </c>
      <c r="AG47" s="19" t="str">
        <f aca="false">IF(OR(I47="",I47&lt;17,O47=""),"",O47+480)</f>
        <v/>
      </c>
      <c r="AH47" s="19" t="str">
        <f aca="false">IF(OR(I47="",I47&lt;18,O47=""),"",O47+510)</f>
        <v/>
      </c>
      <c r="AI47" s="19" t="str">
        <f aca="false">IF(OR(I47="",I47&lt;19,O47=""),"",O47+540)</f>
        <v/>
      </c>
      <c r="AJ47" s="19" t="str">
        <f aca="false">IF(OR(I47="",I47&lt;20,O47=""),"",O47+570)</f>
        <v/>
      </c>
      <c r="AK47" s="19" t="str">
        <f aca="false">IF(OR(I47="",I47&lt;21,O47=""),"",O47+600)</f>
        <v/>
      </c>
      <c r="AL47" s="19" t="str">
        <f aca="false">IF(OR(I47="",I47&lt;22,O47=""),"",O47+630)</f>
        <v/>
      </c>
      <c r="AM47" s="19" t="str">
        <f aca="false">IF(OR(I47="",I47&lt;23,O47=""),"",O47+660)</f>
        <v/>
      </c>
      <c r="AN47" s="19" t="str">
        <f aca="false">IF(OR(I47="",I47&lt;24,O47=""),"",O47+690)</f>
        <v/>
      </c>
      <c r="AO47" s="15" t="str">
        <f aca="false">IF(J47="","",COUNTIF(Q47:AN47,TRUE())*J47)</f>
        <v/>
      </c>
      <c r="AP47" s="15" t="str">
        <f aca="false">IF(K47="","",K47-AO47)</f>
        <v/>
      </c>
      <c r="AQ47" s="15" t="str">
        <f aca="false">IF(K47="","",K47-F47-IF(N47="",0,N47))</f>
        <v/>
      </c>
    </row>
    <row r="48" customFormat="false" ht="15" hidden="false" customHeight="false" outlineLevel="0" collapsed="false">
      <c r="A48" s="4"/>
      <c r="B48" s="4"/>
      <c r="C48" s="4"/>
      <c r="D48" s="5"/>
      <c r="E48" s="5"/>
      <c r="F48" s="6"/>
      <c r="G48" s="4"/>
      <c r="H48" s="4"/>
      <c r="I48" s="4"/>
      <c r="J48" s="6"/>
      <c r="K48" s="7" t="str">
        <f aca="false">IF(OR(I48="",J48=""),"",I48*J48)</f>
        <v/>
      </c>
      <c r="L48" s="4"/>
      <c r="M48" s="8"/>
      <c r="N48" s="7" t="str">
        <f aca="false">IF(OR(L48="",M48="",K48=""),"",IF(L48="GANANCIA",(K48-F48)*M48,IF(L48="BRUTO",K48*M48,"")))</f>
        <v/>
      </c>
      <c r="O48" s="9" t="str">
        <f aca="false">IF(D48="","",D48)</f>
        <v/>
      </c>
      <c r="P48" s="10" t="str">
        <f aca="false">IF(I48="","",IF(COUNTIF(Q48:AN48,TRUE())&gt;=I48,"PAGADO",IF(COUNTIF(Q48:AN48,TRUE())&gt;0,"PARCIAL","VIGENTE")))</f>
        <v/>
      </c>
      <c r="Q48" s="11" t="str">
        <f aca="false">IF(OR(I48="",I48&lt;1,O48=""),"",O48+0)</f>
        <v/>
      </c>
      <c r="R48" s="11" t="str">
        <f aca="false">IF(OR(I48="",I48&lt;2,O48=""),"",O48+30)</f>
        <v/>
      </c>
      <c r="S48" s="11" t="str">
        <f aca="false">IF(OR(I48="",I48&lt;3,O48=""),"",O48+60)</f>
        <v/>
      </c>
      <c r="T48" s="11" t="str">
        <f aca="false">IF(OR(I48="",I48&lt;4,O48=""),"",O48+90)</f>
        <v/>
      </c>
      <c r="U48" s="11" t="str">
        <f aca="false">IF(OR(I48="",I48&lt;5,O48=""),"",O48+120)</f>
        <v/>
      </c>
      <c r="V48" s="11" t="str">
        <f aca="false">IF(OR(I48="",I48&lt;6,O48=""),"",O48+150)</f>
        <v/>
      </c>
      <c r="W48" s="11" t="str">
        <f aca="false">IF(OR(I48="",I48&lt;7,O48=""),"",O48+180)</f>
        <v/>
      </c>
      <c r="X48" s="11" t="str">
        <f aca="false">IF(OR(I48="",I48&lt;8,O48=""),"",O48+210)</f>
        <v/>
      </c>
      <c r="Y48" s="11" t="str">
        <f aca="false">IF(OR(I48="",I48&lt;9,O48=""),"",O48+240)</f>
        <v/>
      </c>
      <c r="Z48" s="11" t="str">
        <f aca="false">IF(OR(I48="",I48&lt;10,O48=""),"",O48+270)</f>
        <v/>
      </c>
      <c r="AA48" s="11" t="str">
        <f aca="false">IF(OR(I48="",I48&lt;11,O48=""),"",O48+300)</f>
        <v/>
      </c>
      <c r="AB48" s="11" t="str">
        <f aca="false">IF(OR(I48="",I48&lt;12,O48=""),"",O48+330)</f>
        <v/>
      </c>
      <c r="AC48" s="11" t="str">
        <f aca="false">IF(OR(I48="",I48&lt;13,O48=""),"",O48+360)</f>
        <v/>
      </c>
      <c r="AD48" s="11" t="str">
        <f aca="false">IF(OR(I48="",I48&lt;14,O48=""),"",O48+390)</f>
        <v/>
      </c>
      <c r="AE48" s="11" t="str">
        <f aca="false">IF(OR(I48="",I48&lt;15,O48=""),"",O48+420)</f>
        <v/>
      </c>
      <c r="AF48" s="11" t="str">
        <f aca="false">IF(OR(I48="",I48&lt;16,O48=""),"",O48+450)</f>
        <v/>
      </c>
      <c r="AG48" s="11" t="str">
        <f aca="false">IF(OR(I48="",I48&lt;17,O48=""),"",O48+480)</f>
        <v/>
      </c>
      <c r="AH48" s="11" t="str">
        <f aca="false">IF(OR(I48="",I48&lt;18,O48=""),"",O48+510)</f>
        <v/>
      </c>
      <c r="AI48" s="11" t="str">
        <f aca="false">IF(OR(I48="",I48&lt;19,O48=""),"",O48+540)</f>
        <v/>
      </c>
      <c r="AJ48" s="11" t="str">
        <f aca="false">IF(OR(I48="",I48&lt;20,O48=""),"",O48+570)</f>
        <v/>
      </c>
      <c r="AK48" s="11" t="str">
        <f aca="false">IF(OR(I48="",I48&lt;21,O48=""),"",O48+600)</f>
        <v/>
      </c>
      <c r="AL48" s="11" t="str">
        <f aca="false">IF(OR(I48="",I48&lt;22,O48=""),"",O48+630)</f>
        <v/>
      </c>
      <c r="AM48" s="11" t="str">
        <f aca="false">IF(OR(I48="",I48&lt;23,O48=""),"",O48+660)</f>
        <v/>
      </c>
      <c r="AN48" s="11" t="str">
        <f aca="false">IF(OR(I48="",I48&lt;24,O48=""),"",O48+690)</f>
        <v/>
      </c>
      <c r="AO48" s="7" t="str">
        <f aca="false">IF(J48="","",COUNTIF(Q48:AN48,TRUE())*J48)</f>
        <v/>
      </c>
      <c r="AP48" s="7" t="str">
        <f aca="false">IF(K48="","",K48-AO48)</f>
        <v/>
      </c>
      <c r="AQ48" s="7" t="str">
        <f aca="false">IF(K48="","",K48-F48-IF(N48="",0,N48))</f>
        <v/>
      </c>
    </row>
    <row r="49" customFormat="false" ht="15" hidden="false" customHeight="false" outlineLevel="0" collapsed="false">
      <c r="A49" s="12"/>
      <c r="B49" s="12"/>
      <c r="C49" s="12"/>
      <c r="D49" s="13"/>
      <c r="E49" s="13"/>
      <c r="F49" s="14"/>
      <c r="G49" s="12"/>
      <c r="H49" s="12"/>
      <c r="I49" s="12"/>
      <c r="J49" s="14"/>
      <c r="K49" s="15" t="str">
        <f aca="false">IF(OR(I49="",J49=""),"",I49*J49)</f>
        <v/>
      </c>
      <c r="L49" s="12"/>
      <c r="M49" s="16"/>
      <c r="N49" s="15" t="str">
        <f aca="false">IF(OR(L49="",M49="",K49=""),"",IF(L49="GANANCIA",(K49-F49)*M49,IF(L49="BRUTO",K49*M49,"")))</f>
        <v/>
      </c>
      <c r="O49" s="17" t="str">
        <f aca="false">IF(D49="","",D49)</f>
        <v/>
      </c>
      <c r="P49" s="18" t="str">
        <f aca="false">IF(I49="","",IF(COUNTIF(Q49:AN49,TRUE())&gt;=I49,"PAGADO",IF(COUNTIF(Q49:AN49,TRUE())&gt;0,"PARCIAL","VIGENTE")))</f>
        <v/>
      </c>
      <c r="Q49" s="19" t="str">
        <f aca="false">IF(OR(I49="",I49&lt;1,O49=""),"",O49+0)</f>
        <v/>
      </c>
      <c r="R49" s="19" t="str">
        <f aca="false">IF(OR(I49="",I49&lt;2,O49=""),"",O49+30)</f>
        <v/>
      </c>
      <c r="S49" s="19" t="str">
        <f aca="false">IF(OR(I49="",I49&lt;3,O49=""),"",O49+60)</f>
        <v/>
      </c>
      <c r="T49" s="19" t="str">
        <f aca="false">IF(OR(I49="",I49&lt;4,O49=""),"",O49+90)</f>
        <v/>
      </c>
      <c r="U49" s="19" t="str">
        <f aca="false">IF(OR(I49="",I49&lt;5,O49=""),"",O49+120)</f>
        <v/>
      </c>
      <c r="V49" s="19" t="str">
        <f aca="false">IF(OR(I49="",I49&lt;6,O49=""),"",O49+150)</f>
        <v/>
      </c>
      <c r="W49" s="19" t="str">
        <f aca="false">IF(OR(I49="",I49&lt;7,O49=""),"",O49+180)</f>
        <v/>
      </c>
      <c r="X49" s="19" t="str">
        <f aca="false">IF(OR(I49="",I49&lt;8,O49=""),"",O49+210)</f>
        <v/>
      </c>
      <c r="Y49" s="19" t="str">
        <f aca="false">IF(OR(I49="",I49&lt;9,O49=""),"",O49+240)</f>
        <v/>
      </c>
      <c r="Z49" s="19" t="str">
        <f aca="false">IF(OR(I49="",I49&lt;10,O49=""),"",O49+270)</f>
        <v/>
      </c>
      <c r="AA49" s="19" t="str">
        <f aca="false">IF(OR(I49="",I49&lt;11,O49=""),"",O49+300)</f>
        <v/>
      </c>
      <c r="AB49" s="19" t="str">
        <f aca="false">IF(OR(I49="",I49&lt;12,O49=""),"",O49+330)</f>
        <v/>
      </c>
      <c r="AC49" s="19" t="str">
        <f aca="false">IF(OR(I49="",I49&lt;13,O49=""),"",O49+360)</f>
        <v/>
      </c>
      <c r="AD49" s="19" t="str">
        <f aca="false">IF(OR(I49="",I49&lt;14,O49=""),"",O49+390)</f>
        <v/>
      </c>
      <c r="AE49" s="19" t="str">
        <f aca="false">IF(OR(I49="",I49&lt;15,O49=""),"",O49+420)</f>
        <v/>
      </c>
      <c r="AF49" s="19" t="str">
        <f aca="false">IF(OR(I49="",I49&lt;16,O49=""),"",O49+450)</f>
        <v/>
      </c>
      <c r="AG49" s="19" t="str">
        <f aca="false">IF(OR(I49="",I49&lt;17,O49=""),"",O49+480)</f>
        <v/>
      </c>
      <c r="AH49" s="19" t="str">
        <f aca="false">IF(OR(I49="",I49&lt;18,O49=""),"",O49+510)</f>
        <v/>
      </c>
      <c r="AI49" s="19" t="str">
        <f aca="false">IF(OR(I49="",I49&lt;19,O49=""),"",O49+540)</f>
        <v/>
      </c>
      <c r="AJ49" s="19" t="str">
        <f aca="false">IF(OR(I49="",I49&lt;20,O49=""),"",O49+570)</f>
        <v/>
      </c>
      <c r="AK49" s="19" t="str">
        <f aca="false">IF(OR(I49="",I49&lt;21,O49=""),"",O49+600)</f>
        <v/>
      </c>
      <c r="AL49" s="19" t="str">
        <f aca="false">IF(OR(I49="",I49&lt;22,O49=""),"",O49+630)</f>
        <v/>
      </c>
      <c r="AM49" s="19" t="str">
        <f aca="false">IF(OR(I49="",I49&lt;23,O49=""),"",O49+660)</f>
        <v/>
      </c>
      <c r="AN49" s="19" t="str">
        <f aca="false">IF(OR(I49="",I49&lt;24,O49=""),"",O49+690)</f>
        <v/>
      </c>
      <c r="AO49" s="15" t="str">
        <f aca="false">IF(J49="","",COUNTIF(Q49:AN49,TRUE())*J49)</f>
        <v/>
      </c>
      <c r="AP49" s="15" t="str">
        <f aca="false">IF(K49="","",K49-AO49)</f>
        <v/>
      </c>
      <c r="AQ49" s="15" t="str">
        <f aca="false">IF(K49="","",K49-F49-IF(N49="",0,N49))</f>
        <v/>
      </c>
    </row>
    <row r="50" customFormat="false" ht="15" hidden="false" customHeight="false" outlineLevel="0" collapsed="false">
      <c r="A50" s="4"/>
      <c r="B50" s="4"/>
      <c r="C50" s="4"/>
      <c r="D50" s="5"/>
      <c r="E50" s="5"/>
      <c r="F50" s="6"/>
      <c r="G50" s="4"/>
      <c r="H50" s="4"/>
      <c r="I50" s="4"/>
      <c r="J50" s="6"/>
      <c r="K50" s="7" t="str">
        <f aca="false">IF(OR(I50="",J50=""),"",I50*J50)</f>
        <v/>
      </c>
      <c r="L50" s="4"/>
      <c r="M50" s="8"/>
      <c r="N50" s="7" t="str">
        <f aca="false">IF(OR(L50="",M50="",K50=""),"",IF(L50="GANANCIA",(K50-F50)*M50,IF(L50="BRUTO",K50*M50,"")))</f>
        <v/>
      </c>
      <c r="O50" s="9" t="str">
        <f aca="false">IF(D50="","",D50)</f>
        <v/>
      </c>
      <c r="P50" s="10" t="str">
        <f aca="false">IF(I50="","",IF(COUNTIF(Q50:AN50,TRUE())&gt;=I50,"PAGADO",IF(COUNTIF(Q50:AN50,TRUE())&gt;0,"PARCIAL","VIGENTE")))</f>
        <v/>
      </c>
      <c r="Q50" s="11" t="str">
        <f aca="false">IF(OR(I50="",I50&lt;1,O50=""),"",O50+0)</f>
        <v/>
      </c>
      <c r="R50" s="11" t="str">
        <f aca="false">IF(OR(I50="",I50&lt;2,O50=""),"",O50+30)</f>
        <v/>
      </c>
      <c r="S50" s="11" t="str">
        <f aca="false">IF(OR(I50="",I50&lt;3,O50=""),"",O50+60)</f>
        <v/>
      </c>
      <c r="T50" s="11" t="str">
        <f aca="false">IF(OR(I50="",I50&lt;4,O50=""),"",O50+90)</f>
        <v/>
      </c>
      <c r="U50" s="11" t="str">
        <f aca="false">IF(OR(I50="",I50&lt;5,O50=""),"",O50+120)</f>
        <v/>
      </c>
      <c r="V50" s="11" t="str">
        <f aca="false">IF(OR(I50="",I50&lt;6,O50=""),"",O50+150)</f>
        <v/>
      </c>
      <c r="W50" s="11" t="str">
        <f aca="false">IF(OR(I50="",I50&lt;7,O50=""),"",O50+180)</f>
        <v/>
      </c>
      <c r="X50" s="11" t="str">
        <f aca="false">IF(OR(I50="",I50&lt;8,O50=""),"",O50+210)</f>
        <v/>
      </c>
      <c r="Y50" s="11" t="str">
        <f aca="false">IF(OR(I50="",I50&lt;9,O50=""),"",O50+240)</f>
        <v/>
      </c>
      <c r="Z50" s="11" t="str">
        <f aca="false">IF(OR(I50="",I50&lt;10,O50=""),"",O50+270)</f>
        <v/>
      </c>
      <c r="AA50" s="11" t="str">
        <f aca="false">IF(OR(I50="",I50&lt;11,O50=""),"",O50+300)</f>
        <v/>
      </c>
      <c r="AB50" s="11" t="str">
        <f aca="false">IF(OR(I50="",I50&lt;12,O50=""),"",O50+330)</f>
        <v/>
      </c>
      <c r="AC50" s="11" t="str">
        <f aca="false">IF(OR(I50="",I50&lt;13,O50=""),"",O50+360)</f>
        <v/>
      </c>
      <c r="AD50" s="11" t="str">
        <f aca="false">IF(OR(I50="",I50&lt;14,O50=""),"",O50+390)</f>
        <v/>
      </c>
      <c r="AE50" s="11" t="str">
        <f aca="false">IF(OR(I50="",I50&lt;15,O50=""),"",O50+420)</f>
        <v/>
      </c>
      <c r="AF50" s="11" t="str">
        <f aca="false">IF(OR(I50="",I50&lt;16,O50=""),"",O50+450)</f>
        <v/>
      </c>
      <c r="AG50" s="11" t="str">
        <f aca="false">IF(OR(I50="",I50&lt;17,O50=""),"",O50+480)</f>
        <v/>
      </c>
      <c r="AH50" s="11" t="str">
        <f aca="false">IF(OR(I50="",I50&lt;18,O50=""),"",O50+510)</f>
        <v/>
      </c>
      <c r="AI50" s="11" t="str">
        <f aca="false">IF(OR(I50="",I50&lt;19,O50=""),"",O50+540)</f>
        <v/>
      </c>
      <c r="AJ50" s="11" t="str">
        <f aca="false">IF(OR(I50="",I50&lt;20,O50=""),"",O50+570)</f>
        <v/>
      </c>
      <c r="AK50" s="11" t="str">
        <f aca="false">IF(OR(I50="",I50&lt;21,O50=""),"",O50+600)</f>
        <v/>
      </c>
      <c r="AL50" s="11" t="str">
        <f aca="false">IF(OR(I50="",I50&lt;22,O50=""),"",O50+630)</f>
        <v/>
      </c>
      <c r="AM50" s="11" t="str">
        <f aca="false">IF(OR(I50="",I50&lt;23,O50=""),"",O50+660)</f>
        <v/>
      </c>
      <c r="AN50" s="11" t="str">
        <f aca="false">IF(OR(I50="",I50&lt;24,O50=""),"",O50+690)</f>
        <v/>
      </c>
      <c r="AO50" s="7" t="str">
        <f aca="false">IF(J50="","",COUNTIF(Q50:AN50,TRUE())*J50)</f>
        <v/>
      </c>
      <c r="AP50" s="7" t="str">
        <f aca="false">IF(K50="","",K50-AO50)</f>
        <v/>
      </c>
      <c r="AQ50" s="7" t="str">
        <f aca="false">IF(K50="","",K50-F50-IF(N50="",0,N50))</f>
        <v/>
      </c>
    </row>
    <row r="51" customFormat="false" ht="15" hidden="false" customHeight="false" outlineLevel="0" collapsed="false">
      <c r="A51" s="12"/>
      <c r="B51" s="12"/>
      <c r="C51" s="12"/>
      <c r="D51" s="13"/>
      <c r="E51" s="13"/>
      <c r="F51" s="14"/>
      <c r="G51" s="12"/>
      <c r="H51" s="12"/>
      <c r="I51" s="12"/>
      <c r="J51" s="14"/>
      <c r="K51" s="15" t="str">
        <f aca="false">IF(OR(I51="",J51=""),"",I51*J51)</f>
        <v/>
      </c>
      <c r="L51" s="12"/>
      <c r="M51" s="16"/>
      <c r="N51" s="15" t="str">
        <f aca="false">IF(OR(L51="",M51="",K51=""),"",IF(L51="GANANCIA",(K51-F51)*M51,IF(L51="BRUTO",K51*M51,"")))</f>
        <v/>
      </c>
      <c r="O51" s="17" t="str">
        <f aca="false">IF(D51="","",D51)</f>
        <v/>
      </c>
      <c r="P51" s="18" t="str">
        <f aca="false">IF(I51="","",IF(COUNTIF(Q51:AN51,TRUE())&gt;=I51,"PAGADO",IF(COUNTIF(Q51:AN51,TRUE())&gt;0,"PARCIAL","VIGENTE")))</f>
        <v/>
      </c>
      <c r="Q51" s="19" t="str">
        <f aca="false">IF(OR(I51="",I51&lt;1,O51=""),"",O51+0)</f>
        <v/>
      </c>
      <c r="R51" s="19" t="str">
        <f aca="false">IF(OR(I51="",I51&lt;2,O51=""),"",O51+30)</f>
        <v/>
      </c>
      <c r="S51" s="19" t="str">
        <f aca="false">IF(OR(I51="",I51&lt;3,O51=""),"",O51+60)</f>
        <v/>
      </c>
      <c r="T51" s="19" t="str">
        <f aca="false">IF(OR(I51="",I51&lt;4,O51=""),"",O51+90)</f>
        <v/>
      </c>
      <c r="U51" s="19" t="str">
        <f aca="false">IF(OR(I51="",I51&lt;5,O51=""),"",O51+120)</f>
        <v/>
      </c>
      <c r="V51" s="19" t="str">
        <f aca="false">IF(OR(I51="",I51&lt;6,O51=""),"",O51+150)</f>
        <v/>
      </c>
      <c r="W51" s="19" t="str">
        <f aca="false">IF(OR(I51="",I51&lt;7,O51=""),"",O51+180)</f>
        <v/>
      </c>
      <c r="X51" s="19" t="str">
        <f aca="false">IF(OR(I51="",I51&lt;8,O51=""),"",O51+210)</f>
        <v/>
      </c>
      <c r="Y51" s="19" t="str">
        <f aca="false">IF(OR(I51="",I51&lt;9,O51=""),"",O51+240)</f>
        <v/>
      </c>
      <c r="Z51" s="19" t="str">
        <f aca="false">IF(OR(I51="",I51&lt;10,O51=""),"",O51+270)</f>
        <v/>
      </c>
      <c r="AA51" s="19" t="str">
        <f aca="false">IF(OR(I51="",I51&lt;11,O51=""),"",O51+300)</f>
        <v/>
      </c>
      <c r="AB51" s="19" t="str">
        <f aca="false">IF(OR(I51="",I51&lt;12,O51=""),"",O51+330)</f>
        <v/>
      </c>
      <c r="AC51" s="19" t="str">
        <f aca="false">IF(OR(I51="",I51&lt;13,O51=""),"",O51+360)</f>
        <v/>
      </c>
      <c r="AD51" s="19" t="str">
        <f aca="false">IF(OR(I51="",I51&lt;14,O51=""),"",O51+390)</f>
        <v/>
      </c>
      <c r="AE51" s="19" t="str">
        <f aca="false">IF(OR(I51="",I51&lt;15,O51=""),"",O51+420)</f>
        <v/>
      </c>
      <c r="AF51" s="19" t="str">
        <f aca="false">IF(OR(I51="",I51&lt;16,O51=""),"",O51+450)</f>
        <v/>
      </c>
      <c r="AG51" s="19" t="str">
        <f aca="false">IF(OR(I51="",I51&lt;17,O51=""),"",O51+480)</f>
        <v/>
      </c>
      <c r="AH51" s="19" t="str">
        <f aca="false">IF(OR(I51="",I51&lt;18,O51=""),"",O51+510)</f>
        <v/>
      </c>
      <c r="AI51" s="19" t="str">
        <f aca="false">IF(OR(I51="",I51&lt;19,O51=""),"",O51+540)</f>
        <v/>
      </c>
      <c r="AJ51" s="19" t="str">
        <f aca="false">IF(OR(I51="",I51&lt;20,O51=""),"",O51+570)</f>
        <v/>
      </c>
      <c r="AK51" s="19" t="str">
        <f aca="false">IF(OR(I51="",I51&lt;21,O51=""),"",O51+600)</f>
        <v/>
      </c>
      <c r="AL51" s="19" t="str">
        <f aca="false">IF(OR(I51="",I51&lt;22,O51=""),"",O51+630)</f>
        <v/>
      </c>
      <c r="AM51" s="19" t="str">
        <f aca="false">IF(OR(I51="",I51&lt;23,O51=""),"",O51+660)</f>
        <v/>
      </c>
      <c r="AN51" s="19" t="str">
        <f aca="false">IF(OR(I51="",I51&lt;24,O51=""),"",O51+690)</f>
        <v/>
      </c>
      <c r="AO51" s="15" t="str">
        <f aca="false">IF(J51="","",COUNTIF(Q51:AN51,TRUE())*J51)</f>
        <v/>
      </c>
      <c r="AP51" s="15" t="str">
        <f aca="false">IF(K51="","",K51-AO51)</f>
        <v/>
      </c>
      <c r="AQ51" s="15" t="str">
        <f aca="false">IF(K51="","",K51-F51-IF(N51="",0,N51))</f>
        <v/>
      </c>
    </row>
    <row r="52" customFormat="false" ht="15" hidden="false" customHeight="false" outlineLevel="0" collapsed="false">
      <c r="A52" s="4"/>
      <c r="B52" s="4"/>
      <c r="C52" s="4"/>
      <c r="D52" s="5"/>
      <c r="E52" s="5"/>
      <c r="F52" s="6"/>
      <c r="G52" s="4"/>
      <c r="H52" s="4"/>
      <c r="I52" s="4"/>
      <c r="J52" s="6"/>
      <c r="K52" s="7" t="str">
        <f aca="false">IF(OR(I52="",J52=""),"",I52*J52)</f>
        <v/>
      </c>
      <c r="L52" s="4"/>
      <c r="M52" s="8"/>
      <c r="N52" s="7" t="str">
        <f aca="false">IF(OR(L52="",M52="",K52=""),"",IF(L52="GANANCIA",(K52-F52)*M52,IF(L52="BRUTO",K52*M52,"")))</f>
        <v/>
      </c>
      <c r="O52" s="9" t="str">
        <f aca="false">IF(D52="","",D52)</f>
        <v/>
      </c>
      <c r="P52" s="10" t="str">
        <f aca="false">IF(I52="","",IF(COUNTIF(Q52:AN52,TRUE())&gt;=I52,"PAGADO",IF(COUNTIF(Q52:AN52,TRUE())&gt;0,"PARCIAL","VIGENTE")))</f>
        <v/>
      </c>
      <c r="Q52" s="11" t="str">
        <f aca="false">IF(OR(I52="",I52&lt;1,O52=""),"",O52+0)</f>
        <v/>
      </c>
      <c r="R52" s="11" t="str">
        <f aca="false">IF(OR(I52="",I52&lt;2,O52=""),"",O52+30)</f>
        <v/>
      </c>
      <c r="S52" s="11" t="str">
        <f aca="false">IF(OR(I52="",I52&lt;3,O52=""),"",O52+60)</f>
        <v/>
      </c>
      <c r="T52" s="11" t="str">
        <f aca="false">IF(OR(I52="",I52&lt;4,O52=""),"",O52+90)</f>
        <v/>
      </c>
      <c r="U52" s="11" t="str">
        <f aca="false">IF(OR(I52="",I52&lt;5,O52=""),"",O52+120)</f>
        <v/>
      </c>
      <c r="V52" s="11" t="str">
        <f aca="false">IF(OR(I52="",I52&lt;6,O52=""),"",O52+150)</f>
        <v/>
      </c>
      <c r="W52" s="11" t="str">
        <f aca="false">IF(OR(I52="",I52&lt;7,O52=""),"",O52+180)</f>
        <v/>
      </c>
      <c r="X52" s="11" t="str">
        <f aca="false">IF(OR(I52="",I52&lt;8,O52=""),"",O52+210)</f>
        <v/>
      </c>
      <c r="Y52" s="11" t="str">
        <f aca="false">IF(OR(I52="",I52&lt;9,O52=""),"",O52+240)</f>
        <v/>
      </c>
      <c r="Z52" s="11" t="str">
        <f aca="false">IF(OR(I52="",I52&lt;10,O52=""),"",O52+270)</f>
        <v/>
      </c>
      <c r="AA52" s="11" t="str">
        <f aca="false">IF(OR(I52="",I52&lt;11,O52=""),"",O52+300)</f>
        <v/>
      </c>
      <c r="AB52" s="11" t="str">
        <f aca="false">IF(OR(I52="",I52&lt;12,O52=""),"",O52+330)</f>
        <v/>
      </c>
      <c r="AC52" s="11" t="str">
        <f aca="false">IF(OR(I52="",I52&lt;13,O52=""),"",O52+360)</f>
        <v/>
      </c>
      <c r="AD52" s="11" t="str">
        <f aca="false">IF(OR(I52="",I52&lt;14,O52=""),"",O52+390)</f>
        <v/>
      </c>
      <c r="AE52" s="11" t="str">
        <f aca="false">IF(OR(I52="",I52&lt;15,O52=""),"",O52+420)</f>
        <v/>
      </c>
      <c r="AF52" s="11" t="str">
        <f aca="false">IF(OR(I52="",I52&lt;16,O52=""),"",O52+450)</f>
        <v/>
      </c>
      <c r="AG52" s="11" t="str">
        <f aca="false">IF(OR(I52="",I52&lt;17,O52=""),"",O52+480)</f>
        <v/>
      </c>
      <c r="AH52" s="11" t="str">
        <f aca="false">IF(OR(I52="",I52&lt;18,O52=""),"",O52+510)</f>
        <v/>
      </c>
      <c r="AI52" s="11" t="str">
        <f aca="false">IF(OR(I52="",I52&lt;19,O52=""),"",O52+540)</f>
        <v/>
      </c>
      <c r="AJ52" s="11" t="str">
        <f aca="false">IF(OR(I52="",I52&lt;20,O52=""),"",O52+570)</f>
        <v/>
      </c>
      <c r="AK52" s="11" t="str">
        <f aca="false">IF(OR(I52="",I52&lt;21,O52=""),"",O52+600)</f>
        <v/>
      </c>
      <c r="AL52" s="11" t="str">
        <f aca="false">IF(OR(I52="",I52&lt;22,O52=""),"",O52+630)</f>
        <v/>
      </c>
      <c r="AM52" s="11" t="str">
        <f aca="false">IF(OR(I52="",I52&lt;23,O52=""),"",O52+660)</f>
        <v/>
      </c>
      <c r="AN52" s="11" t="str">
        <f aca="false">IF(OR(I52="",I52&lt;24,O52=""),"",O52+690)</f>
        <v/>
      </c>
      <c r="AO52" s="7" t="str">
        <f aca="false">IF(J52="","",COUNTIF(Q52:AN52,TRUE())*J52)</f>
        <v/>
      </c>
      <c r="AP52" s="7" t="str">
        <f aca="false">IF(K52="","",K52-AO52)</f>
        <v/>
      </c>
      <c r="AQ52" s="7" t="str">
        <f aca="false">IF(K52="","",K52-F52-IF(N52="",0,N52))</f>
        <v/>
      </c>
    </row>
    <row r="53" customFormat="false" ht="15" hidden="false" customHeight="false" outlineLevel="0" collapsed="false">
      <c r="A53" s="12"/>
      <c r="B53" s="12"/>
      <c r="C53" s="12"/>
      <c r="D53" s="13"/>
      <c r="E53" s="13"/>
      <c r="F53" s="14"/>
      <c r="G53" s="12"/>
      <c r="H53" s="12"/>
      <c r="I53" s="12"/>
      <c r="J53" s="14"/>
      <c r="K53" s="15" t="str">
        <f aca="false">IF(OR(I53="",J53=""),"",I53*J53)</f>
        <v/>
      </c>
      <c r="L53" s="12"/>
      <c r="M53" s="16"/>
      <c r="N53" s="15" t="str">
        <f aca="false">IF(OR(L53="",M53="",K53=""),"",IF(L53="GANANCIA",(K53-F53)*M53,IF(L53="BRUTO",K53*M53,"")))</f>
        <v/>
      </c>
      <c r="O53" s="17" t="str">
        <f aca="false">IF(D53="","",D53)</f>
        <v/>
      </c>
      <c r="P53" s="18" t="str">
        <f aca="false">IF(I53="","",IF(COUNTIF(Q53:AN53,TRUE())&gt;=I53,"PAGADO",IF(COUNTIF(Q53:AN53,TRUE())&gt;0,"PARCIAL","VIGENTE")))</f>
        <v/>
      </c>
      <c r="Q53" s="19" t="str">
        <f aca="false">IF(OR(I53="",I53&lt;1,O53=""),"",O53+0)</f>
        <v/>
      </c>
      <c r="R53" s="19" t="str">
        <f aca="false">IF(OR(I53="",I53&lt;2,O53=""),"",O53+30)</f>
        <v/>
      </c>
      <c r="S53" s="19" t="str">
        <f aca="false">IF(OR(I53="",I53&lt;3,O53=""),"",O53+60)</f>
        <v/>
      </c>
      <c r="T53" s="19" t="str">
        <f aca="false">IF(OR(I53="",I53&lt;4,O53=""),"",O53+90)</f>
        <v/>
      </c>
      <c r="U53" s="19" t="str">
        <f aca="false">IF(OR(I53="",I53&lt;5,O53=""),"",O53+120)</f>
        <v/>
      </c>
      <c r="V53" s="19" t="str">
        <f aca="false">IF(OR(I53="",I53&lt;6,O53=""),"",O53+150)</f>
        <v/>
      </c>
      <c r="W53" s="19" t="str">
        <f aca="false">IF(OR(I53="",I53&lt;7,O53=""),"",O53+180)</f>
        <v/>
      </c>
      <c r="X53" s="19" t="str">
        <f aca="false">IF(OR(I53="",I53&lt;8,O53=""),"",O53+210)</f>
        <v/>
      </c>
      <c r="Y53" s="19" t="str">
        <f aca="false">IF(OR(I53="",I53&lt;9,O53=""),"",O53+240)</f>
        <v/>
      </c>
      <c r="Z53" s="19" t="str">
        <f aca="false">IF(OR(I53="",I53&lt;10,O53=""),"",O53+270)</f>
        <v/>
      </c>
      <c r="AA53" s="19" t="str">
        <f aca="false">IF(OR(I53="",I53&lt;11,O53=""),"",O53+300)</f>
        <v/>
      </c>
      <c r="AB53" s="19" t="str">
        <f aca="false">IF(OR(I53="",I53&lt;12,O53=""),"",O53+330)</f>
        <v/>
      </c>
      <c r="AC53" s="19" t="str">
        <f aca="false">IF(OR(I53="",I53&lt;13,O53=""),"",O53+360)</f>
        <v/>
      </c>
      <c r="AD53" s="19" t="str">
        <f aca="false">IF(OR(I53="",I53&lt;14,O53=""),"",O53+390)</f>
        <v/>
      </c>
      <c r="AE53" s="19" t="str">
        <f aca="false">IF(OR(I53="",I53&lt;15,O53=""),"",O53+420)</f>
        <v/>
      </c>
      <c r="AF53" s="19" t="str">
        <f aca="false">IF(OR(I53="",I53&lt;16,O53=""),"",O53+450)</f>
        <v/>
      </c>
      <c r="AG53" s="19" t="str">
        <f aca="false">IF(OR(I53="",I53&lt;17,O53=""),"",O53+480)</f>
        <v/>
      </c>
      <c r="AH53" s="19" t="str">
        <f aca="false">IF(OR(I53="",I53&lt;18,O53=""),"",O53+510)</f>
        <v/>
      </c>
      <c r="AI53" s="19" t="str">
        <f aca="false">IF(OR(I53="",I53&lt;19,O53=""),"",O53+540)</f>
        <v/>
      </c>
      <c r="AJ53" s="19" t="str">
        <f aca="false">IF(OR(I53="",I53&lt;20,O53=""),"",O53+570)</f>
        <v/>
      </c>
      <c r="AK53" s="19" t="str">
        <f aca="false">IF(OR(I53="",I53&lt;21,O53=""),"",O53+600)</f>
        <v/>
      </c>
      <c r="AL53" s="19" t="str">
        <f aca="false">IF(OR(I53="",I53&lt;22,O53=""),"",O53+630)</f>
        <v/>
      </c>
      <c r="AM53" s="19" t="str">
        <f aca="false">IF(OR(I53="",I53&lt;23,O53=""),"",O53+660)</f>
        <v/>
      </c>
      <c r="AN53" s="19" t="str">
        <f aca="false">IF(OR(I53="",I53&lt;24,O53=""),"",O53+690)</f>
        <v/>
      </c>
      <c r="AO53" s="15" t="str">
        <f aca="false">IF(J53="","",COUNTIF(Q53:AN53,TRUE())*J53)</f>
        <v/>
      </c>
      <c r="AP53" s="15" t="str">
        <f aca="false">IF(K53="","",K53-AO53)</f>
        <v/>
      </c>
      <c r="AQ53" s="15" t="str">
        <f aca="false">IF(K53="","",K53-F53-IF(N53="",0,N53))</f>
        <v/>
      </c>
    </row>
    <row r="54" customFormat="false" ht="15" hidden="false" customHeight="false" outlineLevel="0" collapsed="false">
      <c r="A54" s="4"/>
      <c r="B54" s="4"/>
      <c r="C54" s="4"/>
      <c r="D54" s="5"/>
      <c r="E54" s="5"/>
      <c r="F54" s="6"/>
      <c r="G54" s="4"/>
      <c r="H54" s="4"/>
      <c r="I54" s="4"/>
      <c r="J54" s="6"/>
      <c r="K54" s="7" t="str">
        <f aca="false">IF(OR(I54="",J54=""),"",I54*J54)</f>
        <v/>
      </c>
      <c r="L54" s="4"/>
      <c r="M54" s="8"/>
      <c r="N54" s="7" t="str">
        <f aca="false">IF(OR(L54="",M54="",K54=""),"",IF(L54="GANANCIA",(K54-F54)*M54,IF(L54="BRUTO",K54*M54,"")))</f>
        <v/>
      </c>
      <c r="O54" s="9" t="str">
        <f aca="false">IF(D54="","",D54)</f>
        <v/>
      </c>
      <c r="P54" s="10" t="str">
        <f aca="false">IF(I54="","",IF(COUNTIF(Q54:AN54,TRUE())&gt;=I54,"PAGADO",IF(COUNTIF(Q54:AN54,TRUE())&gt;0,"PARCIAL","VIGENTE")))</f>
        <v/>
      </c>
      <c r="Q54" s="11" t="str">
        <f aca="false">IF(OR(I54="",I54&lt;1,O54=""),"",O54+0)</f>
        <v/>
      </c>
      <c r="R54" s="11" t="str">
        <f aca="false">IF(OR(I54="",I54&lt;2,O54=""),"",O54+30)</f>
        <v/>
      </c>
      <c r="S54" s="11" t="str">
        <f aca="false">IF(OR(I54="",I54&lt;3,O54=""),"",O54+60)</f>
        <v/>
      </c>
      <c r="T54" s="11" t="str">
        <f aca="false">IF(OR(I54="",I54&lt;4,O54=""),"",O54+90)</f>
        <v/>
      </c>
      <c r="U54" s="11" t="str">
        <f aca="false">IF(OR(I54="",I54&lt;5,O54=""),"",O54+120)</f>
        <v/>
      </c>
      <c r="V54" s="11" t="str">
        <f aca="false">IF(OR(I54="",I54&lt;6,O54=""),"",O54+150)</f>
        <v/>
      </c>
      <c r="W54" s="11" t="str">
        <f aca="false">IF(OR(I54="",I54&lt;7,O54=""),"",O54+180)</f>
        <v/>
      </c>
      <c r="X54" s="11" t="str">
        <f aca="false">IF(OR(I54="",I54&lt;8,O54=""),"",O54+210)</f>
        <v/>
      </c>
      <c r="Y54" s="11" t="str">
        <f aca="false">IF(OR(I54="",I54&lt;9,O54=""),"",O54+240)</f>
        <v/>
      </c>
      <c r="Z54" s="11" t="str">
        <f aca="false">IF(OR(I54="",I54&lt;10,O54=""),"",O54+270)</f>
        <v/>
      </c>
      <c r="AA54" s="11" t="str">
        <f aca="false">IF(OR(I54="",I54&lt;11,O54=""),"",O54+300)</f>
        <v/>
      </c>
      <c r="AB54" s="11" t="str">
        <f aca="false">IF(OR(I54="",I54&lt;12,O54=""),"",O54+330)</f>
        <v/>
      </c>
      <c r="AC54" s="11" t="str">
        <f aca="false">IF(OR(I54="",I54&lt;13,O54=""),"",O54+360)</f>
        <v/>
      </c>
      <c r="AD54" s="11" t="str">
        <f aca="false">IF(OR(I54="",I54&lt;14,O54=""),"",O54+390)</f>
        <v/>
      </c>
      <c r="AE54" s="11" t="str">
        <f aca="false">IF(OR(I54="",I54&lt;15,O54=""),"",O54+420)</f>
        <v/>
      </c>
      <c r="AF54" s="11" t="str">
        <f aca="false">IF(OR(I54="",I54&lt;16,O54=""),"",O54+450)</f>
        <v/>
      </c>
      <c r="AG54" s="11" t="str">
        <f aca="false">IF(OR(I54="",I54&lt;17,O54=""),"",O54+480)</f>
        <v/>
      </c>
      <c r="AH54" s="11" t="str">
        <f aca="false">IF(OR(I54="",I54&lt;18,O54=""),"",O54+510)</f>
        <v/>
      </c>
      <c r="AI54" s="11" t="str">
        <f aca="false">IF(OR(I54="",I54&lt;19,O54=""),"",O54+540)</f>
        <v/>
      </c>
      <c r="AJ54" s="11" t="str">
        <f aca="false">IF(OR(I54="",I54&lt;20,O54=""),"",O54+570)</f>
        <v/>
      </c>
      <c r="AK54" s="11" t="str">
        <f aca="false">IF(OR(I54="",I54&lt;21,O54=""),"",O54+600)</f>
        <v/>
      </c>
      <c r="AL54" s="11" t="str">
        <f aca="false">IF(OR(I54="",I54&lt;22,O54=""),"",O54+630)</f>
        <v/>
      </c>
      <c r="AM54" s="11" t="str">
        <f aca="false">IF(OR(I54="",I54&lt;23,O54=""),"",O54+660)</f>
        <v/>
      </c>
      <c r="AN54" s="11" t="str">
        <f aca="false">IF(OR(I54="",I54&lt;24,O54=""),"",O54+690)</f>
        <v/>
      </c>
      <c r="AO54" s="7" t="str">
        <f aca="false">IF(J54="","",COUNTIF(Q54:AN54,TRUE())*J54)</f>
        <v/>
      </c>
      <c r="AP54" s="7" t="str">
        <f aca="false">IF(K54="","",K54-AO54)</f>
        <v/>
      </c>
      <c r="AQ54" s="7" t="str">
        <f aca="false">IF(K54="","",K54-F54-IF(N54="",0,N54))</f>
        <v/>
      </c>
    </row>
    <row r="55" customFormat="false" ht="15" hidden="false" customHeight="false" outlineLevel="0" collapsed="false">
      <c r="A55" s="12"/>
      <c r="B55" s="12"/>
      <c r="C55" s="12"/>
      <c r="D55" s="13"/>
      <c r="E55" s="13"/>
      <c r="F55" s="14"/>
      <c r="G55" s="12"/>
      <c r="H55" s="12"/>
      <c r="I55" s="12"/>
      <c r="J55" s="14"/>
      <c r="K55" s="15" t="str">
        <f aca="false">IF(OR(I55="",J55=""),"",I55*J55)</f>
        <v/>
      </c>
      <c r="L55" s="12"/>
      <c r="M55" s="16"/>
      <c r="N55" s="15" t="str">
        <f aca="false">IF(OR(L55="",M55="",K55=""),"",IF(L55="GANANCIA",(K55-F55)*M55,IF(L55="BRUTO",K55*M55,"")))</f>
        <v/>
      </c>
      <c r="O55" s="17" t="str">
        <f aca="false">IF(D55="","",D55)</f>
        <v/>
      </c>
      <c r="P55" s="18" t="str">
        <f aca="false">IF(I55="","",IF(COUNTIF(Q55:AN55,TRUE())&gt;=I55,"PAGADO",IF(COUNTIF(Q55:AN55,TRUE())&gt;0,"PARCIAL","VIGENTE")))</f>
        <v/>
      </c>
      <c r="Q55" s="19" t="str">
        <f aca="false">IF(OR(I55="",I55&lt;1,O55=""),"",O55+0)</f>
        <v/>
      </c>
      <c r="R55" s="19" t="str">
        <f aca="false">IF(OR(I55="",I55&lt;2,O55=""),"",O55+30)</f>
        <v/>
      </c>
      <c r="S55" s="19" t="str">
        <f aca="false">IF(OR(I55="",I55&lt;3,O55=""),"",O55+60)</f>
        <v/>
      </c>
      <c r="T55" s="19" t="str">
        <f aca="false">IF(OR(I55="",I55&lt;4,O55=""),"",O55+90)</f>
        <v/>
      </c>
      <c r="U55" s="19" t="str">
        <f aca="false">IF(OR(I55="",I55&lt;5,O55=""),"",O55+120)</f>
        <v/>
      </c>
      <c r="V55" s="19" t="str">
        <f aca="false">IF(OR(I55="",I55&lt;6,O55=""),"",O55+150)</f>
        <v/>
      </c>
      <c r="W55" s="19" t="str">
        <f aca="false">IF(OR(I55="",I55&lt;7,O55=""),"",O55+180)</f>
        <v/>
      </c>
      <c r="X55" s="19" t="str">
        <f aca="false">IF(OR(I55="",I55&lt;8,O55=""),"",O55+210)</f>
        <v/>
      </c>
      <c r="Y55" s="19" t="str">
        <f aca="false">IF(OR(I55="",I55&lt;9,O55=""),"",O55+240)</f>
        <v/>
      </c>
      <c r="Z55" s="19" t="str">
        <f aca="false">IF(OR(I55="",I55&lt;10,O55=""),"",O55+270)</f>
        <v/>
      </c>
      <c r="AA55" s="19" t="str">
        <f aca="false">IF(OR(I55="",I55&lt;11,O55=""),"",O55+300)</f>
        <v/>
      </c>
      <c r="AB55" s="19" t="str">
        <f aca="false">IF(OR(I55="",I55&lt;12,O55=""),"",O55+330)</f>
        <v/>
      </c>
      <c r="AC55" s="19" t="str">
        <f aca="false">IF(OR(I55="",I55&lt;13,O55=""),"",O55+360)</f>
        <v/>
      </c>
      <c r="AD55" s="19" t="str">
        <f aca="false">IF(OR(I55="",I55&lt;14,O55=""),"",O55+390)</f>
        <v/>
      </c>
      <c r="AE55" s="19" t="str">
        <f aca="false">IF(OR(I55="",I55&lt;15,O55=""),"",O55+420)</f>
        <v/>
      </c>
      <c r="AF55" s="19" t="str">
        <f aca="false">IF(OR(I55="",I55&lt;16,O55=""),"",O55+450)</f>
        <v/>
      </c>
      <c r="AG55" s="19" t="str">
        <f aca="false">IF(OR(I55="",I55&lt;17,O55=""),"",O55+480)</f>
        <v/>
      </c>
      <c r="AH55" s="19" t="str">
        <f aca="false">IF(OR(I55="",I55&lt;18,O55=""),"",O55+510)</f>
        <v/>
      </c>
      <c r="AI55" s="19" t="str">
        <f aca="false">IF(OR(I55="",I55&lt;19,O55=""),"",O55+540)</f>
        <v/>
      </c>
      <c r="AJ55" s="19" t="str">
        <f aca="false">IF(OR(I55="",I55&lt;20,O55=""),"",O55+570)</f>
        <v/>
      </c>
      <c r="AK55" s="19" t="str">
        <f aca="false">IF(OR(I55="",I55&lt;21,O55=""),"",O55+600)</f>
        <v/>
      </c>
      <c r="AL55" s="19" t="str">
        <f aca="false">IF(OR(I55="",I55&lt;22,O55=""),"",O55+630)</f>
        <v/>
      </c>
      <c r="AM55" s="19" t="str">
        <f aca="false">IF(OR(I55="",I55&lt;23,O55=""),"",O55+660)</f>
        <v/>
      </c>
      <c r="AN55" s="19" t="str">
        <f aca="false">IF(OR(I55="",I55&lt;24,O55=""),"",O55+690)</f>
        <v/>
      </c>
      <c r="AO55" s="15" t="str">
        <f aca="false">IF(J55="","",COUNTIF(Q55:AN55,TRUE())*J55)</f>
        <v/>
      </c>
      <c r="AP55" s="15" t="str">
        <f aca="false">IF(K55="","",K55-AO55)</f>
        <v/>
      </c>
      <c r="AQ55" s="15" t="str">
        <f aca="false">IF(K55="","",K55-F55-IF(N55="",0,N55))</f>
        <v/>
      </c>
    </row>
    <row r="56" customFormat="false" ht="15" hidden="false" customHeight="false" outlineLevel="0" collapsed="false">
      <c r="A56" s="4"/>
      <c r="B56" s="4"/>
      <c r="C56" s="4"/>
      <c r="D56" s="5"/>
      <c r="E56" s="5"/>
      <c r="F56" s="6"/>
      <c r="G56" s="4"/>
      <c r="H56" s="4"/>
      <c r="I56" s="4"/>
      <c r="J56" s="6"/>
      <c r="K56" s="7" t="str">
        <f aca="false">IF(OR(I56="",J56=""),"",I56*J56)</f>
        <v/>
      </c>
      <c r="L56" s="4"/>
      <c r="M56" s="8"/>
      <c r="N56" s="7" t="str">
        <f aca="false">IF(OR(L56="",M56="",K56=""),"",IF(L56="GANANCIA",(K56-F56)*M56,IF(L56="BRUTO",K56*M56,"")))</f>
        <v/>
      </c>
      <c r="O56" s="9" t="str">
        <f aca="false">IF(D56="","",D56)</f>
        <v/>
      </c>
      <c r="P56" s="10" t="str">
        <f aca="false">IF(I56="","",IF(COUNTIF(Q56:AN56,TRUE())&gt;=I56,"PAGADO",IF(COUNTIF(Q56:AN56,TRUE())&gt;0,"PARCIAL","VIGENTE")))</f>
        <v/>
      </c>
      <c r="Q56" s="11" t="str">
        <f aca="false">IF(OR(I56="",I56&lt;1,O56=""),"",O56+0)</f>
        <v/>
      </c>
      <c r="R56" s="11" t="str">
        <f aca="false">IF(OR(I56="",I56&lt;2,O56=""),"",O56+30)</f>
        <v/>
      </c>
      <c r="S56" s="11" t="str">
        <f aca="false">IF(OR(I56="",I56&lt;3,O56=""),"",O56+60)</f>
        <v/>
      </c>
      <c r="T56" s="11" t="str">
        <f aca="false">IF(OR(I56="",I56&lt;4,O56=""),"",O56+90)</f>
        <v/>
      </c>
      <c r="U56" s="11" t="str">
        <f aca="false">IF(OR(I56="",I56&lt;5,O56=""),"",O56+120)</f>
        <v/>
      </c>
      <c r="V56" s="11" t="str">
        <f aca="false">IF(OR(I56="",I56&lt;6,O56=""),"",O56+150)</f>
        <v/>
      </c>
      <c r="W56" s="11" t="str">
        <f aca="false">IF(OR(I56="",I56&lt;7,O56=""),"",O56+180)</f>
        <v/>
      </c>
      <c r="X56" s="11" t="str">
        <f aca="false">IF(OR(I56="",I56&lt;8,O56=""),"",O56+210)</f>
        <v/>
      </c>
      <c r="Y56" s="11" t="str">
        <f aca="false">IF(OR(I56="",I56&lt;9,O56=""),"",O56+240)</f>
        <v/>
      </c>
      <c r="Z56" s="11" t="str">
        <f aca="false">IF(OR(I56="",I56&lt;10,O56=""),"",O56+270)</f>
        <v/>
      </c>
      <c r="AA56" s="11" t="str">
        <f aca="false">IF(OR(I56="",I56&lt;11,O56=""),"",O56+300)</f>
        <v/>
      </c>
      <c r="AB56" s="11" t="str">
        <f aca="false">IF(OR(I56="",I56&lt;12,O56=""),"",O56+330)</f>
        <v/>
      </c>
      <c r="AC56" s="11" t="str">
        <f aca="false">IF(OR(I56="",I56&lt;13,O56=""),"",O56+360)</f>
        <v/>
      </c>
      <c r="AD56" s="11" t="str">
        <f aca="false">IF(OR(I56="",I56&lt;14,O56=""),"",O56+390)</f>
        <v/>
      </c>
      <c r="AE56" s="11" t="str">
        <f aca="false">IF(OR(I56="",I56&lt;15,O56=""),"",O56+420)</f>
        <v/>
      </c>
      <c r="AF56" s="11" t="str">
        <f aca="false">IF(OR(I56="",I56&lt;16,O56=""),"",O56+450)</f>
        <v/>
      </c>
      <c r="AG56" s="11" t="str">
        <f aca="false">IF(OR(I56="",I56&lt;17,O56=""),"",O56+480)</f>
        <v/>
      </c>
      <c r="AH56" s="11" t="str">
        <f aca="false">IF(OR(I56="",I56&lt;18,O56=""),"",O56+510)</f>
        <v/>
      </c>
      <c r="AI56" s="11" t="str">
        <f aca="false">IF(OR(I56="",I56&lt;19,O56=""),"",O56+540)</f>
        <v/>
      </c>
      <c r="AJ56" s="11" t="str">
        <f aca="false">IF(OR(I56="",I56&lt;20,O56=""),"",O56+570)</f>
        <v/>
      </c>
      <c r="AK56" s="11" t="str">
        <f aca="false">IF(OR(I56="",I56&lt;21,O56=""),"",O56+600)</f>
        <v/>
      </c>
      <c r="AL56" s="11" t="str">
        <f aca="false">IF(OR(I56="",I56&lt;22,O56=""),"",O56+630)</f>
        <v/>
      </c>
      <c r="AM56" s="11" t="str">
        <f aca="false">IF(OR(I56="",I56&lt;23,O56=""),"",O56+660)</f>
        <v/>
      </c>
      <c r="AN56" s="11" t="str">
        <f aca="false">IF(OR(I56="",I56&lt;24,O56=""),"",O56+690)</f>
        <v/>
      </c>
      <c r="AO56" s="7" t="str">
        <f aca="false">IF(J56="","",COUNTIF(Q56:AN56,TRUE())*J56)</f>
        <v/>
      </c>
      <c r="AP56" s="7" t="str">
        <f aca="false">IF(K56="","",K56-AO56)</f>
        <v/>
      </c>
      <c r="AQ56" s="7" t="str">
        <f aca="false">IF(K56="","",K56-F56-IF(N56="",0,N56))</f>
        <v/>
      </c>
    </row>
    <row r="57" customFormat="false" ht="15" hidden="false" customHeight="false" outlineLevel="0" collapsed="false">
      <c r="A57" s="12"/>
      <c r="B57" s="12"/>
      <c r="C57" s="12"/>
      <c r="D57" s="13"/>
      <c r="E57" s="13"/>
      <c r="F57" s="14"/>
      <c r="G57" s="12"/>
      <c r="H57" s="12"/>
      <c r="I57" s="12"/>
      <c r="J57" s="14"/>
      <c r="K57" s="15" t="str">
        <f aca="false">IF(OR(I57="",J57=""),"",I57*J57)</f>
        <v/>
      </c>
      <c r="L57" s="12"/>
      <c r="M57" s="16"/>
      <c r="N57" s="15" t="str">
        <f aca="false">IF(OR(L57="",M57="",K57=""),"",IF(L57="GANANCIA",(K57-F57)*M57,IF(L57="BRUTO",K57*M57,"")))</f>
        <v/>
      </c>
      <c r="O57" s="17" t="str">
        <f aca="false">IF(D57="","",D57)</f>
        <v/>
      </c>
      <c r="P57" s="18" t="str">
        <f aca="false">IF(I57="","",IF(COUNTIF(Q57:AN57,TRUE())&gt;=I57,"PAGADO",IF(COUNTIF(Q57:AN57,TRUE())&gt;0,"PARCIAL","VIGENTE")))</f>
        <v/>
      </c>
      <c r="Q57" s="19" t="str">
        <f aca="false">IF(OR(I57="",I57&lt;1,O57=""),"",O57+0)</f>
        <v/>
      </c>
      <c r="R57" s="19" t="str">
        <f aca="false">IF(OR(I57="",I57&lt;2,O57=""),"",O57+30)</f>
        <v/>
      </c>
      <c r="S57" s="19" t="str">
        <f aca="false">IF(OR(I57="",I57&lt;3,O57=""),"",O57+60)</f>
        <v/>
      </c>
      <c r="T57" s="19" t="str">
        <f aca="false">IF(OR(I57="",I57&lt;4,O57=""),"",O57+90)</f>
        <v/>
      </c>
      <c r="U57" s="19" t="str">
        <f aca="false">IF(OR(I57="",I57&lt;5,O57=""),"",O57+120)</f>
        <v/>
      </c>
      <c r="V57" s="19" t="str">
        <f aca="false">IF(OR(I57="",I57&lt;6,O57=""),"",O57+150)</f>
        <v/>
      </c>
      <c r="W57" s="19" t="str">
        <f aca="false">IF(OR(I57="",I57&lt;7,O57=""),"",O57+180)</f>
        <v/>
      </c>
      <c r="X57" s="19" t="str">
        <f aca="false">IF(OR(I57="",I57&lt;8,O57=""),"",O57+210)</f>
        <v/>
      </c>
      <c r="Y57" s="19" t="str">
        <f aca="false">IF(OR(I57="",I57&lt;9,O57=""),"",O57+240)</f>
        <v/>
      </c>
      <c r="Z57" s="19" t="str">
        <f aca="false">IF(OR(I57="",I57&lt;10,O57=""),"",O57+270)</f>
        <v/>
      </c>
      <c r="AA57" s="19" t="str">
        <f aca="false">IF(OR(I57="",I57&lt;11,O57=""),"",O57+300)</f>
        <v/>
      </c>
      <c r="AB57" s="19" t="str">
        <f aca="false">IF(OR(I57="",I57&lt;12,O57=""),"",O57+330)</f>
        <v/>
      </c>
      <c r="AC57" s="19" t="str">
        <f aca="false">IF(OR(I57="",I57&lt;13,O57=""),"",O57+360)</f>
        <v/>
      </c>
      <c r="AD57" s="19" t="str">
        <f aca="false">IF(OR(I57="",I57&lt;14,O57=""),"",O57+390)</f>
        <v/>
      </c>
      <c r="AE57" s="19" t="str">
        <f aca="false">IF(OR(I57="",I57&lt;15,O57=""),"",O57+420)</f>
        <v/>
      </c>
      <c r="AF57" s="19" t="str">
        <f aca="false">IF(OR(I57="",I57&lt;16,O57=""),"",O57+450)</f>
        <v/>
      </c>
      <c r="AG57" s="19" t="str">
        <f aca="false">IF(OR(I57="",I57&lt;17,O57=""),"",O57+480)</f>
        <v/>
      </c>
      <c r="AH57" s="19" t="str">
        <f aca="false">IF(OR(I57="",I57&lt;18,O57=""),"",O57+510)</f>
        <v/>
      </c>
      <c r="AI57" s="19" t="str">
        <f aca="false">IF(OR(I57="",I57&lt;19,O57=""),"",O57+540)</f>
        <v/>
      </c>
      <c r="AJ57" s="19" t="str">
        <f aca="false">IF(OR(I57="",I57&lt;20,O57=""),"",O57+570)</f>
        <v/>
      </c>
      <c r="AK57" s="19" t="str">
        <f aca="false">IF(OR(I57="",I57&lt;21,O57=""),"",O57+600)</f>
        <v/>
      </c>
      <c r="AL57" s="19" t="str">
        <f aca="false">IF(OR(I57="",I57&lt;22,O57=""),"",O57+630)</f>
        <v/>
      </c>
      <c r="AM57" s="19" t="str">
        <f aca="false">IF(OR(I57="",I57&lt;23,O57=""),"",O57+660)</f>
        <v/>
      </c>
      <c r="AN57" s="19" t="str">
        <f aca="false">IF(OR(I57="",I57&lt;24,O57=""),"",O57+690)</f>
        <v/>
      </c>
      <c r="AO57" s="15" t="str">
        <f aca="false">IF(J57="","",COUNTIF(Q57:AN57,TRUE())*J57)</f>
        <v/>
      </c>
      <c r="AP57" s="15" t="str">
        <f aca="false">IF(K57="","",K57-AO57)</f>
        <v/>
      </c>
      <c r="AQ57" s="15" t="str">
        <f aca="false">IF(K57="","",K57-F57-IF(N57="",0,N57))</f>
        <v/>
      </c>
    </row>
    <row r="58" customFormat="false" ht="15" hidden="false" customHeight="false" outlineLevel="0" collapsed="false">
      <c r="A58" s="4"/>
      <c r="B58" s="4"/>
      <c r="C58" s="4"/>
      <c r="D58" s="5"/>
      <c r="E58" s="5"/>
      <c r="F58" s="6"/>
      <c r="G58" s="4"/>
      <c r="H58" s="4"/>
      <c r="I58" s="4"/>
      <c r="J58" s="6"/>
      <c r="K58" s="7" t="str">
        <f aca="false">IF(OR(I58="",J58=""),"",I58*J58)</f>
        <v/>
      </c>
      <c r="L58" s="4"/>
      <c r="M58" s="8"/>
      <c r="N58" s="7" t="str">
        <f aca="false">IF(OR(L58="",M58="",K58=""),"",IF(L58="GANANCIA",(K58-F58)*M58,IF(L58="BRUTO",K58*M58,"")))</f>
        <v/>
      </c>
      <c r="O58" s="9" t="str">
        <f aca="false">IF(D58="","",D58)</f>
        <v/>
      </c>
      <c r="P58" s="10" t="str">
        <f aca="false">IF(I58="","",IF(COUNTIF(Q58:AN58,TRUE())&gt;=I58,"PAGADO",IF(COUNTIF(Q58:AN58,TRUE())&gt;0,"PARCIAL","VIGENTE")))</f>
        <v/>
      </c>
      <c r="Q58" s="11" t="str">
        <f aca="false">IF(OR(I58="",I58&lt;1,O58=""),"",O58+0)</f>
        <v/>
      </c>
      <c r="R58" s="11" t="str">
        <f aca="false">IF(OR(I58="",I58&lt;2,O58=""),"",O58+30)</f>
        <v/>
      </c>
      <c r="S58" s="11" t="str">
        <f aca="false">IF(OR(I58="",I58&lt;3,O58=""),"",O58+60)</f>
        <v/>
      </c>
      <c r="T58" s="11" t="str">
        <f aca="false">IF(OR(I58="",I58&lt;4,O58=""),"",O58+90)</f>
        <v/>
      </c>
      <c r="U58" s="11" t="str">
        <f aca="false">IF(OR(I58="",I58&lt;5,O58=""),"",O58+120)</f>
        <v/>
      </c>
      <c r="V58" s="11" t="str">
        <f aca="false">IF(OR(I58="",I58&lt;6,O58=""),"",O58+150)</f>
        <v/>
      </c>
      <c r="W58" s="11" t="str">
        <f aca="false">IF(OR(I58="",I58&lt;7,O58=""),"",O58+180)</f>
        <v/>
      </c>
      <c r="X58" s="11" t="str">
        <f aca="false">IF(OR(I58="",I58&lt;8,O58=""),"",O58+210)</f>
        <v/>
      </c>
      <c r="Y58" s="11" t="str">
        <f aca="false">IF(OR(I58="",I58&lt;9,O58=""),"",O58+240)</f>
        <v/>
      </c>
      <c r="Z58" s="11" t="str">
        <f aca="false">IF(OR(I58="",I58&lt;10,O58=""),"",O58+270)</f>
        <v/>
      </c>
      <c r="AA58" s="11" t="str">
        <f aca="false">IF(OR(I58="",I58&lt;11,O58=""),"",O58+300)</f>
        <v/>
      </c>
      <c r="AB58" s="11" t="str">
        <f aca="false">IF(OR(I58="",I58&lt;12,O58=""),"",O58+330)</f>
        <v/>
      </c>
      <c r="AC58" s="11" t="str">
        <f aca="false">IF(OR(I58="",I58&lt;13,O58=""),"",O58+360)</f>
        <v/>
      </c>
      <c r="AD58" s="11" t="str">
        <f aca="false">IF(OR(I58="",I58&lt;14,O58=""),"",O58+390)</f>
        <v/>
      </c>
      <c r="AE58" s="11" t="str">
        <f aca="false">IF(OR(I58="",I58&lt;15,O58=""),"",O58+420)</f>
        <v/>
      </c>
      <c r="AF58" s="11" t="str">
        <f aca="false">IF(OR(I58="",I58&lt;16,O58=""),"",O58+450)</f>
        <v/>
      </c>
      <c r="AG58" s="11" t="str">
        <f aca="false">IF(OR(I58="",I58&lt;17,O58=""),"",O58+480)</f>
        <v/>
      </c>
      <c r="AH58" s="11" t="str">
        <f aca="false">IF(OR(I58="",I58&lt;18,O58=""),"",O58+510)</f>
        <v/>
      </c>
      <c r="AI58" s="11" t="str">
        <f aca="false">IF(OR(I58="",I58&lt;19,O58=""),"",O58+540)</f>
        <v/>
      </c>
      <c r="AJ58" s="11" t="str">
        <f aca="false">IF(OR(I58="",I58&lt;20,O58=""),"",O58+570)</f>
        <v/>
      </c>
      <c r="AK58" s="11" t="str">
        <f aca="false">IF(OR(I58="",I58&lt;21,O58=""),"",O58+600)</f>
        <v/>
      </c>
      <c r="AL58" s="11" t="str">
        <f aca="false">IF(OR(I58="",I58&lt;22,O58=""),"",O58+630)</f>
        <v/>
      </c>
      <c r="AM58" s="11" t="str">
        <f aca="false">IF(OR(I58="",I58&lt;23,O58=""),"",O58+660)</f>
        <v/>
      </c>
      <c r="AN58" s="11" t="str">
        <f aca="false">IF(OR(I58="",I58&lt;24,O58=""),"",O58+690)</f>
        <v/>
      </c>
      <c r="AO58" s="7" t="str">
        <f aca="false">IF(J58="","",COUNTIF(Q58:AN58,TRUE())*J58)</f>
        <v/>
      </c>
      <c r="AP58" s="7" t="str">
        <f aca="false">IF(K58="","",K58-AO58)</f>
        <v/>
      </c>
      <c r="AQ58" s="7" t="str">
        <f aca="false">IF(K58="","",K58-F58-IF(N58="",0,N58))</f>
        <v/>
      </c>
    </row>
    <row r="59" customFormat="false" ht="15" hidden="false" customHeight="false" outlineLevel="0" collapsed="false">
      <c r="A59" s="12"/>
      <c r="B59" s="12"/>
      <c r="C59" s="12"/>
      <c r="D59" s="13"/>
      <c r="E59" s="13"/>
      <c r="F59" s="14"/>
      <c r="G59" s="12"/>
      <c r="H59" s="12"/>
      <c r="I59" s="12"/>
      <c r="J59" s="14"/>
      <c r="K59" s="15" t="str">
        <f aca="false">IF(OR(I59="",J59=""),"",I59*J59)</f>
        <v/>
      </c>
      <c r="L59" s="12"/>
      <c r="M59" s="16"/>
      <c r="N59" s="15" t="str">
        <f aca="false">IF(OR(L59="",M59="",K59=""),"",IF(L59="GANANCIA",(K59-F59)*M59,IF(L59="BRUTO",K59*M59,"")))</f>
        <v/>
      </c>
      <c r="O59" s="17" t="str">
        <f aca="false">IF(D59="","",D59)</f>
        <v/>
      </c>
      <c r="P59" s="18" t="str">
        <f aca="false">IF(I59="","",IF(COUNTIF(Q59:AN59,TRUE())&gt;=I59,"PAGADO",IF(COUNTIF(Q59:AN59,TRUE())&gt;0,"PARCIAL","VIGENTE")))</f>
        <v/>
      </c>
      <c r="Q59" s="19" t="str">
        <f aca="false">IF(OR(I59="",I59&lt;1,O59=""),"",O59+0)</f>
        <v/>
      </c>
      <c r="R59" s="19" t="str">
        <f aca="false">IF(OR(I59="",I59&lt;2,O59=""),"",O59+30)</f>
        <v/>
      </c>
      <c r="S59" s="19" t="str">
        <f aca="false">IF(OR(I59="",I59&lt;3,O59=""),"",O59+60)</f>
        <v/>
      </c>
      <c r="T59" s="19" t="str">
        <f aca="false">IF(OR(I59="",I59&lt;4,O59=""),"",O59+90)</f>
        <v/>
      </c>
      <c r="U59" s="19" t="str">
        <f aca="false">IF(OR(I59="",I59&lt;5,O59=""),"",O59+120)</f>
        <v/>
      </c>
      <c r="V59" s="19" t="str">
        <f aca="false">IF(OR(I59="",I59&lt;6,O59=""),"",O59+150)</f>
        <v/>
      </c>
      <c r="W59" s="19" t="str">
        <f aca="false">IF(OR(I59="",I59&lt;7,O59=""),"",O59+180)</f>
        <v/>
      </c>
      <c r="X59" s="19" t="str">
        <f aca="false">IF(OR(I59="",I59&lt;8,O59=""),"",O59+210)</f>
        <v/>
      </c>
      <c r="Y59" s="19" t="str">
        <f aca="false">IF(OR(I59="",I59&lt;9,O59=""),"",O59+240)</f>
        <v/>
      </c>
      <c r="Z59" s="19" t="str">
        <f aca="false">IF(OR(I59="",I59&lt;10,O59=""),"",O59+270)</f>
        <v/>
      </c>
      <c r="AA59" s="19" t="str">
        <f aca="false">IF(OR(I59="",I59&lt;11,O59=""),"",O59+300)</f>
        <v/>
      </c>
      <c r="AB59" s="19" t="str">
        <f aca="false">IF(OR(I59="",I59&lt;12,O59=""),"",O59+330)</f>
        <v/>
      </c>
      <c r="AC59" s="19" t="str">
        <f aca="false">IF(OR(I59="",I59&lt;13,O59=""),"",O59+360)</f>
        <v/>
      </c>
      <c r="AD59" s="19" t="str">
        <f aca="false">IF(OR(I59="",I59&lt;14,O59=""),"",O59+390)</f>
        <v/>
      </c>
      <c r="AE59" s="19" t="str">
        <f aca="false">IF(OR(I59="",I59&lt;15,O59=""),"",O59+420)</f>
        <v/>
      </c>
      <c r="AF59" s="19" t="str">
        <f aca="false">IF(OR(I59="",I59&lt;16,O59=""),"",O59+450)</f>
        <v/>
      </c>
      <c r="AG59" s="19" t="str">
        <f aca="false">IF(OR(I59="",I59&lt;17,O59=""),"",O59+480)</f>
        <v/>
      </c>
      <c r="AH59" s="19" t="str">
        <f aca="false">IF(OR(I59="",I59&lt;18,O59=""),"",O59+510)</f>
        <v/>
      </c>
      <c r="AI59" s="19" t="str">
        <f aca="false">IF(OR(I59="",I59&lt;19,O59=""),"",O59+540)</f>
        <v/>
      </c>
      <c r="AJ59" s="19" t="str">
        <f aca="false">IF(OR(I59="",I59&lt;20,O59=""),"",O59+570)</f>
        <v/>
      </c>
      <c r="AK59" s="19" t="str">
        <f aca="false">IF(OR(I59="",I59&lt;21,O59=""),"",O59+600)</f>
        <v/>
      </c>
      <c r="AL59" s="19" t="str">
        <f aca="false">IF(OR(I59="",I59&lt;22,O59=""),"",O59+630)</f>
        <v/>
      </c>
      <c r="AM59" s="19" t="str">
        <f aca="false">IF(OR(I59="",I59&lt;23,O59=""),"",O59+660)</f>
        <v/>
      </c>
      <c r="AN59" s="19" t="str">
        <f aca="false">IF(OR(I59="",I59&lt;24,O59=""),"",O59+690)</f>
        <v/>
      </c>
      <c r="AO59" s="15" t="str">
        <f aca="false">IF(J59="","",COUNTIF(Q59:AN59,TRUE())*J59)</f>
        <v/>
      </c>
      <c r="AP59" s="15" t="str">
        <f aca="false">IF(K59="","",K59-AO59)</f>
        <v/>
      </c>
      <c r="AQ59" s="15" t="str">
        <f aca="false">IF(K59="","",K59-F59-IF(N59="",0,N59))</f>
        <v/>
      </c>
    </row>
    <row r="60" customFormat="false" ht="15" hidden="false" customHeight="false" outlineLevel="0" collapsed="false">
      <c r="A60" s="4"/>
      <c r="B60" s="4"/>
      <c r="C60" s="4"/>
      <c r="D60" s="5"/>
      <c r="E60" s="5"/>
      <c r="F60" s="6"/>
      <c r="G60" s="4"/>
      <c r="H60" s="4"/>
      <c r="I60" s="4"/>
      <c r="J60" s="6"/>
      <c r="K60" s="7" t="str">
        <f aca="false">IF(OR(I60="",J60=""),"",I60*J60)</f>
        <v/>
      </c>
      <c r="L60" s="4"/>
      <c r="M60" s="8"/>
      <c r="N60" s="7" t="str">
        <f aca="false">IF(OR(L60="",M60="",K60=""),"",IF(L60="GANANCIA",(K60-F60)*M60,IF(L60="BRUTO",K60*M60,"")))</f>
        <v/>
      </c>
      <c r="O60" s="9" t="str">
        <f aca="false">IF(D60="","",D60)</f>
        <v/>
      </c>
      <c r="P60" s="10" t="str">
        <f aca="false">IF(I60="","",IF(COUNTIF(Q60:AN60,TRUE())&gt;=I60,"PAGADO",IF(COUNTIF(Q60:AN60,TRUE())&gt;0,"PARCIAL","VIGENTE")))</f>
        <v/>
      </c>
      <c r="Q60" s="11" t="str">
        <f aca="false">IF(OR(I60="",I60&lt;1,O60=""),"",O60+0)</f>
        <v/>
      </c>
      <c r="R60" s="11" t="str">
        <f aca="false">IF(OR(I60="",I60&lt;2,O60=""),"",O60+30)</f>
        <v/>
      </c>
      <c r="S60" s="11" t="str">
        <f aca="false">IF(OR(I60="",I60&lt;3,O60=""),"",O60+60)</f>
        <v/>
      </c>
      <c r="T60" s="11" t="str">
        <f aca="false">IF(OR(I60="",I60&lt;4,O60=""),"",O60+90)</f>
        <v/>
      </c>
      <c r="U60" s="11" t="str">
        <f aca="false">IF(OR(I60="",I60&lt;5,O60=""),"",O60+120)</f>
        <v/>
      </c>
      <c r="V60" s="11" t="str">
        <f aca="false">IF(OR(I60="",I60&lt;6,O60=""),"",O60+150)</f>
        <v/>
      </c>
      <c r="W60" s="11" t="str">
        <f aca="false">IF(OR(I60="",I60&lt;7,O60=""),"",O60+180)</f>
        <v/>
      </c>
      <c r="X60" s="11" t="str">
        <f aca="false">IF(OR(I60="",I60&lt;8,O60=""),"",O60+210)</f>
        <v/>
      </c>
      <c r="Y60" s="11" t="str">
        <f aca="false">IF(OR(I60="",I60&lt;9,O60=""),"",O60+240)</f>
        <v/>
      </c>
      <c r="Z60" s="11" t="str">
        <f aca="false">IF(OR(I60="",I60&lt;10,O60=""),"",O60+270)</f>
        <v/>
      </c>
      <c r="AA60" s="11" t="str">
        <f aca="false">IF(OR(I60="",I60&lt;11,O60=""),"",O60+300)</f>
        <v/>
      </c>
      <c r="AB60" s="11" t="str">
        <f aca="false">IF(OR(I60="",I60&lt;12,O60=""),"",O60+330)</f>
        <v/>
      </c>
      <c r="AC60" s="11" t="str">
        <f aca="false">IF(OR(I60="",I60&lt;13,O60=""),"",O60+360)</f>
        <v/>
      </c>
      <c r="AD60" s="11" t="str">
        <f aca="false">IF(OR(I60="",I60&lt;14,O60=""),"",O60+390)</f>
        <v/>
      </c>
      <c r="AE60" s="11" t="str">
        <f aca="false">IF(OR(I60="",I60&lt;15,O60=""),"",O60+420)</f>
        <v/>
      </c>
      <c r="AF60" s="11" t="str">
        <f aca="false">IF(OR(I60="",I60&lt;16,O60=""),"",O60+450)</f>
        <v/>
      </c>
      <c r="AG60" s="11" t="str">
        <f aca="false">IF(OR(I60="",I60&lt;17,O60=""),"",O60+480)</f>
        <v/>
      </c>
      <c r="AH60" s="11" t="str">
        <f aca="false">IF(OR(I60="",I60&lt;18,O60=""),"",O60+510)</f>
        <v/>
      </c>
      <c r="AI60" s="11" t="str">
        <f aca="false">IF(OR(I60="",I60&lt;19,O60=""),"",O60+540)</f>
        <v/>
      </c>
      <c r="AJ60" s="11" t="str">
        <f aca="false">IF(OR(I60="",I60&lt;20,O60=""),"",O60+570)</f>
        <v/>
      </c>
      <c r="AK60" s="11" t="str">
        <f aca="false">IF(OR(I60="",I60&lt;21,O60=""),"",O60+600)</f>
        <v/>
      </c>
      <c r="AL60" s="11" t="str">
        <f aca="false">IF(OR(I60="",I60&lt;22,O60=""),"",O60+630)</f>
        <v/>
      </c>
      <c r="AM60" s="11" t="str">
        <f aca="false">IF(OR(I60="",I60&lt;23,O60=""),"",O60+660)</f>
        <v/>
      </c>
      <c r="AN60" s="11" t="str">
        <f aca="false">IF(OR(I60="",I60&lt;24,O60=""),"",O60+690)</f>
        <v/>
      </c>
      <c r="AO60" s="7" t="str">
        <f aca="false">IF(J60="","",COUNTIF(Q60:AN60,TRUE())*J60)</f>
        <v/>
      </c>
      <c r="AP60" s="7" t="str">
        <f aca="false">IF(K60="","",K60-AO60)</f>
        <v/>
      </c>
      <c r="AQ60" s="7" t="str">
        <f aca="false">IF(K60="","",K60-F60-IF(N60="",0,N60))</f>
        <v/>
      </c>
    </row>
    <row r="61" customFormat="false" ht="15" hidden="false" customHeight="false" outlineLevel="0" collapsed="false">
      <c r="A61" s="12"/>
      <c r="B61" s="12"/>
      <c r="C61" s="12"/>
      <c r="D61" s="13"/>
      <c r="E61" s="13"/>
      <c r="F61" s="14"/>
      <c r="G61" s="12"/>
      <c r="H61" s="12"/>
      <c r="I61" s="12"/>
      <c r="J61" s="14"/>
      <c r="K61" s="15" t="str">
        <f aca="false">IF(OR(I61="",J61=""),"",I61*J61)</f>
        <v/>
      </c>
      <c r="L61" s="12"/>
      <c r="M61" s="16"/>
      <c r="N61" s="15" t="str">
        <f aca="false">IF(OR(L61="",M61="",K61=""),"",IF(L61="GANANCIA",(K61-F61)*M61,IF(L61="BRUTO",K61*M61,"")))</f>
        <v/>
      </c>
      <c r="O61" s="17" t="str">
        <f aca="false">IF(D61="","",D61)</f>
        <v/>
      </c>
      <c r="P61" s="18" t="str">
        <f aca="false">IF(I61="","",IF(COUNTIF(Q61:AN61,TRUE())&gt;=I61,"PAGADO",IF(COUNTIF(Q61:AN61,TRUE())&gt;0,"PARCIAL","VIGENTE")))</f>
        <v/>
      </c>
      <c r="Q61" s="19" t="str">
        <f aca="false">IF(OR(I61="",I61&lt;1,O61=""),"",O61+0)</f>
        <v/>
      </c>
      <c r="R61" s="19" t="str">
        <f aca="false">IF(OR(I61="",I61&lt;2,O61=""),"",O61+30)</f>
        <v/>
      </c>
      <c r="S61" s="19" t="str">
        <f aca="false">IF(OR(I61="",I61&lt;3,O61=""),"",O61+60)</f>
        <v/>
      </c>
      <c r="T61" s="19" t="str">
        <f aca="false">IF(OR(I61="",I61&lt;4,O61=""),"",O61+90)</f>
        <v/>
      </c>
      <c r="U61" s="19" t="str">
        <f aca="false">IF(OR(I61="",I61&lt;5,O61=""),"",O61+120)</f>
        <v/>
      </c>
      <c r="V61" s="19" t="str">
        <f aca="false">IF(OR(I61="",I61&lt;6,O61=""),"",O61+150)</f>
        <v/>
      </c>
      <c r="W61" s="19" t="str">
        <f aca="false">IF(OR(I61="",I61&lt;7,O61=""),"",O61+180)</f>
        <v/>
      </c>
      <c r="X61" s="19" t="str">
        <f aca="false">IF(OR(I61="",I61&lt;8,O61=""),"",O61+210)</f>
        <v/>
      </c>
      <c r="Y61" s="19" t="str">
        <f aca="false">IF(OR(I61="",I61&lt;9,O61=""),"",O61+240)</f>
        <v/>
      </c>
      <c r="Z61" s="19" t="str">
        <f aca="false">IF(OR(I61="",I61&lt;10,O61=""),"",O61+270)</f>
        <v/>
      </c>
      <c r="AA61" s="19" t="str">
        <f aca="false">IF(OR(I61="",I61&lt;11,O61=""),"",O61+300)</f>
        <v/>
      </c>
      <c r="AB61" s="19" t="str">
        <f aca="false">IF(OR(I61="",I61&lt;12,O61=""),"",O61+330)</f>
        <v/>
      </c>
      <c r="AC61" s="19" t="str">
        <f aca="false">IF(OR(I61="",I61&lt;13,O61=""),"",O61+360)</f>
        <v/>
      </c>
      <c r="AD61" s="19" t="str">
        <f aca="false">IF(OR(I61="",I61&lt;14,O61=""),"",O61+390)</f>
        <v/>
      </c>
      <c r="AE61" s="19" t="str">
        <f aca="false">IF(OR(I61="",I61&lt;15,O61=""),"",O61+420)</f>
        <v/>
      </c>
      <c r="AF61" s="19" t="str">
        <f aca="false">IF(OR(I61="",I61&lt;16,O61=""),"",O61+450)</f>
        <v/>
      </c>
      <c r="AG61" s="19" t="str">
        <f aca="false">IF(OR(I61="",I61&lt;17,O61=""),"",O61+480)</f>
        <v/>
      </c>
      <c r="AH61" s="19" t="str">
        <f aca="false">IF(OR(I61="",I61&lt;18,O61=""),"",O61+510)</f>
        <v/>
      </c>
      <c r="AI61" s="19" t="str">
        <f aca="false">IF(OR(I61="",I61&lt;19,O61=""),"",O61+540)</f>
        <v/>
      </c>
      <c r="AJ61" s="19" t="str">
        <f aca="false">IF(OR(I61="",I61&lt;20,O61=""),"",O61+570)</f>
        <v/>
      </c>
      <c r="AK61" s="19" t="str">
        <f aca="false">IF(OR(I61="",I61&lt;21,O61=""),"",O61+600)</f>
        <v/>
      </c>
      <c r="AL61" s="19" t="str">
        <f aca="false">IF(OR(I61="",I61&lt;22,O61=""),"",O61+630)</f>
        <v/>
      </c>
      <c r="AM61" s="19" t="str">
        <f aca="false">IF(OR(I61="",I61&lt;23,O61=""),"",O61+660)</f>
        <v/>
      </c>
      <c r="AN61" s="19" t="str">
        <f aca="false">IF(OR(I61="",I61&lt;24,O61=""),"",O61+690)</f>
        <v/>
      </c>
      <c r="AO61" s="15" t="str">
        <f aca="false">IF(J61="","",COUNTIF(Q61:AN61,TRUE())*J61)</f>
        <v/>
      </c>
      <c r="AP61" s="15" t="str">
        <f aca="false">IF(K61="","",K61-AO61)</f>
        <v/>
      </c>
      <c r="AQ61" s="15" t="str">
        <f aca="false">IF(K61="","",K61-F61-IF(N61="",0,N61))</f>
        <v/>
      </c>
    </row>
    <row r="62" customFormat="false" ht="15" hidden="false" customHeight="false" outlineLevel="0" collapsed="false">
      <c r="A62" s="4"/>
      <c r="B62" s="4"/>
      <c r="C62" s="4"/>
      <c r="D62" s="5"/>
      <c r="E62" s="5"/>
      <c r="F62" s="6"/>
      <c r="G62" s="4"/>
      <c r="H62" s="4"/>
      <c r="I62" s="4"/>
      <c r="J62" s="6"/>
      <c r="K62" s="7" t="str">
        <f aca="false">IF(OR(I62="",J62=""),"",I62*J62)</f>
        <v/>
      </c>
      <c r="L62" s="4"/>
      <c r="M62" s="8"/>
      <c r="N62" s="7" t="str">
        <f aca="false">IF(OR(L62="",M62="",K62=""),"",IF(L62="GANANCIA",(K62-F62)*M62,IF(L62="BRUTO",K62*M62,"")))</f>
        <v/>
      </c>
      <c r="O62" s="9" t="str">
        <f aca="false">IF(D62="","",D62)</f>
        <v/>
      </c>
      <c r="P62" s="10" t="str">
        <f aca="false">IF(I62="","",IF(COUNTIF(Q62:AN62,TRUE())&gt;=I62,"PAGADO",IF(COUNTIF(Q62:AN62,TRUE())&gt;0,"PARCIAL","VIGENTE")))</f>
        <v/>
      </c>
      <c r="Q62" s="11" t="str">
        <f aca="false">IF(OR(I62="",I62&lt;1,O62=""),"",O62+0)</f>
        <v/>
      </c>
      <c r="R62" s="11" t="str">
        <f aca="false">IF(OR(I62="",I62&lt;2,O62=""),"",O62+30)</f>
        <v/>
      </c>
      <c r="S62" s="11" t="str">
        <f aca="false">IF(OR(I62="",I62&lt;3,O62=""),"",O62+60)</f>
        <v/>
      </c>
      <c r="T62" s="11" t="str">
        <f aca="false">IF(OR(I62="",I62&lt;4,O62=""),"",O62+90)</f>
        <v/>
      </c>
      <c r="U62" s="11" t="str">
        <f aca="false">IF(OR(I62="",I62&lt;5,O62=""),"",O62+120)</f>
        <v/>
      </c>
      <c r="V62" s="11" t="str">
        <f aca="false">IF(OR(I62="",I62&lt;6,O62=""),"",O62+150)</f>
        <v/>
      </c>
      <c r="W62" s="11" t="str">
        <f aca="false">IF(OR(I62="",I62&lt;7,O62=""),"",O62+180)</f>
        <v/>
      </c>
      <c r="X62" s="11" t="str">
        <f aca="false">IF(OR(I62="",I62&lt;8,O62=""),"",O62+210)</f>
        <v/>
      </c>
      <c r="Y62" s="11" t="str">
        <f aca="false">IF(OR(I62="",I62&lt;9,O62=""),"",O62+240)</f>
        <v/>
      </c>
      <c r="Z62" s="11" t="str">
        <f aca="false">IF(OR(I62="",I62&lt;10,O62=""),"",O62+270)</f>
        <v/>
      </c>
      <c r="AA62" s="11" t="str">
        <f aca="false">IF(OR(I62="",I62&lt;11,O62=""),"",O62+300)</f>
        <v/>
      </c>
      <c r="AB62" s="11" t="str">
        <f aca="false">IF(OR(I62="",I62&lt;12,O62=""),"",O62+330)</f>
        <v/>
      </c>
      <c r="AC62" s="11" t="str">
        <f aca="false">IF(OR(I62="",I62&lt;13,O62=""),"",O62+360)</f>
        <v/>
      </c>
      <c r="AD62" s="11" t="str">
        <f aca="false">IF(OR(I62="",I62&lt;14,O62=""),"",O62+390)</f>
        <v/>
      </c>
      <c r="AE62" s="11" t="str">
        <f aca="false">IF(OR(I62="",I62&lt;15,O62=""),"",O62+420)</f>
        <v/>
      </c>
      <c r="AF62" s="11" t="str">
        <f aca="false">IF(OR(I62="",I62&lt;16,O62=""),"",O62+450)</f>
        <v/>
      </c>
      <c r="AG62" s="11" t="str">
        <f aca="false">IF(OR(I62="",I62&lt;17,O62=""),"",O62+480)</f>
        <v/>
      </c>
      <c r="AH62" s="11" t="str">
        <f aca="false">IF(OR(I62="",I62&lt;18,O62=""),"",O62+510)</f>
        <v/>
      </c>
      <c r="AI62" s="11" t="str">
        <f aca="false">IF(OR(I62="",I62&lt;19,O62=""),"",O62+540)</f>
        <v/>
      </c>
      <c r="AJ62" s="11" t="str">
        <f aca="false">IF(OR(I62="",I62&lt;20,O62=""),"",O62+570)</f>
        <v/>
      </c>
      <c r="AK62" s="11" t="str">
        <f aca="false">IF(OR(I62="",I62&lt;21,O62=""),"",O62+600)</f>
        <v/>
      </c>
      <c r="AL62" s="11" t="str">
        <f aca="false">IF(OR(I62="",I62&lt;22,O62=""),"",O62+630)</f>
        <v/>
      </c>
      <c r="AM62" s="11" t="str">
        <f aca="false">IF(OR(I62="",I62&lt;23,O62=""),"",O62+660)</f>
        <v/>
      </c>
      <c r="AN62" s="11" t="str">
        <f aca="false">IF(OR(I62="",I62&lt;24,O62=""),"",O62+690)</f>
        <v/>
      </c>
      <c r="AO62" s="7" t="str">
        <f aca="false">IF(J62="","",COUNTIF(Q62:AN62,TRUE())*J62)</f>
        <v/>
      </c>
      <c r="AP62" s="7" t="str">
        <f aca="false">IF(K62="","",K62-AO62)</f>
        <v/>
      </c>
      <c r="AQ62" s="7" t="str">
        <f aca="false">IF(K62="","",K62-F62-IF(N62="",0,N62))</f>
        <v/>
      </c>
    </row>
    <row r="63" customFormat="false" ht="15" hidden="false" customHeight="false" outlineLevel="0" collapsed="false">
      <c r="A63" s="12"/>
      <c r="B63" s="12"/>
      <c r="C63" s="12"/>
      <c r="D63" s="13"/>
      <c r="E63" s="13"/>
      <c r="F63" s="14"/>
      <c r="G63" s="12"/>
      <c r="H63" s="12"/>
      <c r="I63" s="12"/>
      <c r="J63" s="14"/>
      <c r="K63" s="15" t="str">
        <f aca="false">IF(OR(I63="",J63=""),"",I63*J63)</f>
        <v/>
      </c>
      <c r="L63" s="12"/>
      <c r="M63" s="16"/>
      <c r="N63" s="15" t="str">
        <f aca="false">IF(OR(L63="",M63="",K63=""),"",IF(L63="GANANCIA",(K63-F63)*M63,IF(L63="BRUTO",K63*M63,"")))</f>
        <v/>
      </c>
      <c r="O63" s="17" t="str">
        <f aca="false">IF(D63="","",D63)</f>
        <v/>
      </c>
      <c r="P63" s="18" t="str">
        <f aca="false">IF(I63="","",IF(COUNTIF(Q63:AN63,TRUE())&gt;=I63,"PAGADO",IF(COUNTIF(Q63:AN63,TRUE())&gt;0,"PARCIAL","VIGENTE")))</f>
        <v/>
      </c>
      <c r="Q63" s="19" t="str">
        <f aca="false">IF(OR(I63="",I63&lt;1,O63=""),"",O63+0)</f>
        <v/>
      </c>
      <c r="R63" s="19" t="str">
        <f aca="false">IF(OR(I63="",I63&lt;2,O63=""),"",O63+30)</f>
        <v/>
      </c>
      <c r="S63" s="19" t="str">
        <f aca="false">IF(OR(I63="",I63&lt;3,O63=""),"",O63+60)</f>
        <v/>
      </c>
      <c r="T63" s="19" t="str">
        <f aca="false">IF(OR(I63="",I63&lt;4,O63=""),"",O63+90)</f>
        <v/>
      </c>
      <c r="U63" s="19" t="str">
        <f aca="false">IF(OR(I63="",I63&lt;5,O63=""),"",O63+120)</f>
        <v/>
      </c>
      <c r="V63" s="19" t="str">
        <f aca="false">IF(OR(I63="",I63&lt;6,O63=""),"",O63+150)</f>
        <v/>
      </c>
      <c r="W63" s="19" t="str">
        <f aca="false">IF(OR(I63="",I63&lt;7,O63=""),"",O63+180)</f>
        <v/>
      </c>
      <c r="X63" s="19" t="str">
        <f aca="false">IF(OR(I63="",I63&lt;8,O63=""),"",O63+210)</f>
        <v/>
      </c>
      <c r="Y63" s="19" t="str">
        <f aca="false">IF(OR(I63="",I63&lt;9,O63=""),"",O63+240)</f>
        <v/>
      </c>
      <c r="Z63" s="19" t="str">
        <f aca="false">IF(OR(I63="",I63&lt;10,O63=""),"",O63+270)</f>
        <v/>
      </c>
      <c r="AA63" s="19" t="str">
        <f aca="false">IF(OR(I63="",I63&lt;11,O63=""),"",O63+300)</f>
        <v/>
      </c>
      <c r="AB63" s="19" t="str">
        <f aca="false">IF(OR(I63="",I63&lt;12,O63=""),"",O63+330)</f>
        <v/>
      </c>
      <c r="AC63" s="19" t="str">
        <f aca="false">IF(OR(I63="",I63&lt;13,O63=""),"",O63+360)</f>
        <v/>
      </c>
      <c r="AD63" s="19" t="str">
        <f aca="false">IF(OR(I63="",I63&lt;14,O63=""),"",O63+390)</f>
        <v/>
      </c>
      <c r="AE63" s="19" t="str">
        <f aca="false">IF(OR(I63="",I63&lt;15,O63=""),"",O63+420)</f>
        <v/>
      </c>
      <c r="AF63" s="19" t="str">
        <f aca="false">IF(OR(I63="",I63&lt;16,O63=""),"",O63+450)</f>
        <v/>
      </c>
      <c r="AG63" s="19" t="str">
        <f aca="false">IF(OR(I63="",I63&lt;17,O63=""),"",O63+480)</f>
        <v/>
      </c>
      <c r="AH63" s="19" t="str">
        <f aca="false">IF(OR(I63="",I63&lt;18,O63=""),"",O63+510)</f>
        <v/>
      </c>
      <c r="AI63" s="19" t="str">
        <f aca="false">IF(OR(I63="",I63&lt;19,O63=""),"",O63+540)</f>
        <v/>
      </c>
      <c r="AJ63" s="19" t="str">
        <f aca="false">IF(OR(I63="",I63&lt;20,O63=""),"",O63+570)</f>
        <v/>
      </c>
      <c r="AK63" s="19" t="str">
        <f aca="false">IF(OR(I63="",I63&lt;21,O63=""),"",O63+600)</f>
        <v/>
      </c>
      <c r="AL63" s="19" t="str">
        <f aca="false">IF(OR(I63="",I63&lt;22,O63=""),"",O63+630)</f>
        <v/>
      </c>
      <c r="AM63" s="19" t="str">
        <f aca="false">IF(OR(I63="",I63&lt;23,O63=""),"",O63+660)</f>
        <v/>
      </c>
      <c r="AN63" s="19" t="str">
        <f aca="false">IF(OR(I63="",I63&lt;24,O63=""),"",O63+690)</f>
        <v/>
      </c>
      <c r="AO63" s="15" t="str">
        <f aca="false">IF(J63="","",COUNTIF(Q63:AN63,TRUE())*J63)</f>
        <v/>
      </c>
      <c r="AP63" s="15" t="str">
        <f aca="false">IF(K63="","",K63-AO63)</f>
        <v/>
      </c>
      <c r="AQ63" s="15" t="str">
        <f aca="false">IF(K63="","",K63-F63-IF(N63="",0,N63))</f>
        <v/>
      </c>
    </row>
    <row r="64" customFormat="false" ht="15" hidden="false" customHeight="false" outlineLevel="0" collapsed="false">
      <c r="A64" s="4"/>
      <c r="B64" s="4"/>
      <c r="C64" s="4"/>
      <c r="D64" s="5"/>
      <c r="E64" s="5"/>
      <c r="F64" s="6"/>
      <c r="G64" s="4"/>
      <c r="H64" s="4"/>
      <c r="I64" s="4"/>
      <c r="J64" s="6"/>
      <c r="K64" s="7" t="str">
        <f aca="false">IF(OR(I64="",J64=""),"",I64*J64)</f>
        <v/>
      </c>
      <c r="L64" s="4"/>
      <c r="M64" s="8"/>
      <c r="N64" s="7" t="str">
        <f aca="false">IF(OR(L64="",M64="",K64=""),"",IF(L64="GANANCIA",(K64-F64)*M64,IF(L64="BRUTO",K64*M64,"")))</f>
        <v/>
      </c>
      <c r="O64" s="9" t="str">
        <f aca="false">IF(D64="","",D64)</f>
        <v/>
      </c>
      <c r="P64" s="10" t="str">
        <f aca="false">IF(I64="","",IF(COUNTIF(Q64:AN64,TRUE())&gt;=I64,"PAGADO",IF(COUNTIF(Q64:AN64,TRUE())&gt;0,"PARCIAL","VIGENTE")))</f>
        <v/>
      </c>
      <c r="Q64" s="11" t="str">
        <f aca="false">IF(OR(I64="",I64&lt;1,O64=""),"",O64+0)</f>
        <v/>
      </c>
      <c r="R64" s="11" t="str">
        <f aca="false">IF(OR(I64="",I64&lt;2,O64=""),"",O64+30)</f>
        <v/>
      </c>
      <c r="S64" s="11" t="str">
        <f aca="false">IF(OR(I64="",I64&lt;3,O64=""),"",O64+60)</f>
        <v/>
      </c>
      <c r="T64" s="11" t="str">
        <f aca="false">IF(OR(I64="",I64&lt;4,O64=""),"",O64+90)</f>
        <v/>
      </c>
      <c r="U64" s="11" t="str">
        <f aca="false">IF(OR(I64="",I64&lt;5,O64=""),"",O64+120)</f>
        <v/>
      </c>
      <c r="V64" s="11" t="str">
        <f aca="false">IF(OR(I64="",I64&lt;6,O64=""),"",O64+150)</f>
        <v/>
      </c>
      <c r="W64" s="11" t="str">
        <f aca="false">IF(OR(I64="",I64&lt;7,O64=""),"",O64+180)</f>
        <v/>
      </c>
      <c r="X64" s="11" t="str">
        <f aca="false">IF(OR(I64="",I64&lt;8,O64=""),"",O64+210)</f>
        <v/>
      </c>
      <c r="Y64" s="11" t="str">
        <f aca="false">IF(OR(I64="",I64&lt;9,O64=""),"",O64+240)</f>
        <v/>
      </c>
      <c r="Z64" s="11" t="str">
        <f aca="false">IF(OR(I64="",I64&lt;10,O64=""),"",O64+270)</f>
        <v/>
      </c>
      <c r="AA64" s="11" t="str">
        <f aca="false">IF(OR(I64="",I64&lt;11,O64=""),"",O64+300)</f>
        <v/>
      </c>
      <c r="AB64" s="11" t="str">
        <f aca="false">IF(OR(I64="",I64&lt;12,O64=""),"",O64+330)</f>
        <v/>
      </c>
      <c r="AC64" s="11" t="str">
        <f aca="false">IF(OR(I64="",I64&lt;13,O64=""),"",O64+360)</f>
        <v/>
      </c>
      <c r="AD64" s="11" t="str">
        <f aca="false">IF(OR(I64="",I64&lt;14,O64=""),"",O64+390)</f>
        <v/>
      </c>
      <c r="AE64" s="11" t="str">
        <f aca="false">IF(OR(I64="",I64&lt;15,O64=""),"",O64+420)</f>
        <v/>
      </c>
      <c r="AF64" s="11" t="str">
        <f aca="false">IF(OR(I64="",I64&lt;16,O64=""),"",O64+450)</f>
        <v/>
      </c>
      <c r="AG64" s="11" t="str">
        <f aca="false">IF(OR(I64="",I64&lt;17,O64=""),"",O64+480)</f>
        <v/>
      </c>
      <c r="AH64" s="11" t="str">
        <f aca="false">IF(OR(I64="",I64&lt;18,O64=""),"",O64+510)</f>
        <v/>
      </c>
      <c r="AI64" s="11" t="str">
        <f aca="false">IF(OR(I64="",I64&lt;19,O64=""),"",O64+540)</f>
        <v/>
      </c>
      <c r="AJ64" s="11" t="str">
        <f aca="false">IF(OR(I64="",I64&lt;20,O64=""),"",O64+570)</f>
        <v/>
      </c>
      <c r="AK64" s="11" t="str">
        <f aca="false">IF(OR(I64="",I64&lt;21,O64=""),"",O64+600)</f>
        <v/>
      </c>
      <c r="AL64" s="11" t="str">
        <f aca="false">IF(OR(I64="",I64&lt;22,O64=""),"",O64+630)</f>
        <v/>
      </c>
      <c r="AM64" s="11" t="str">
        <f aca="false">IF(OR(I64="",I64&lt;23,O64=""),"",O64+660)</f>
        <v/>
      </c>
      <c r="AN64" s="11" t="str">
        <f aca="false">IF(OR(I64="",I64&lt;24,O64=""),"",O64+690)</f>
        <v/>
      </c>
      <c r="AO64" s="7" t="str">
        <f aca="false">IF(J64="","",COUNTIF(Q64:AN64,TRUE())*J64)</f>
        <v/>
      </c>
      <c r="AP64" s="7" t="str">
        <f aca="false">IF(K64="","",K64-AO64)</f>
        <v/>
      </c>
      <c r="AQ64" s="7" t="str">
        <f aca="false">IF(K64="","",K64-F64-IF(N64="",0,N64))</f>
        <v/>
      </c>
    </row>
    <row r="65" customFormat="false" ht="15" hidden="false" customHeight="false" outlineLevel="0" collapsed="false">
      <c r="A65" s="12"/>
      <c r="B65" s="12"/>
      <c r="C65" s="12"/>
      <c r="D65" s="13"/>
      <c r="E65" s="13"/>
      <c r="F65" s="14"/>
      <c r="G65" s="12"/>
      <c r="H65" s="12"/>
      <c r="I65" s="12"/>
      <c r="J65" s="14"/>
      <c r="K65" s="15" t="str">
        <f aca="false">IF(OR(I65="",J65=""),"",I65*J65)</f>
        <v/>
      </c>
      <c r="L65" s="12"/>
      <c r="M65" s="16"/>
      <c r="N65" s="15" t="str">
        <f aca="false">IF(OR(L65="",M65="",K65=""),"",IF(L65="GANANCIA",(K65-F65)*M65,IF(L65="BRUTO",K65*M65,"")))</f>
        <v/>
      </c>
      <c r="O65" s="17" t="str">
        <f aca="false">IF(D65="","",D65)</f>
        <v/>
      </c>
      <c r="P65" s="18" t="str">
        <f aca="false">IF(I65="","",IF(COUNTIF(Q65:AN65,TRUE())&gt;=I65,"PAGADO",IF(COUNTIF(Q65:AN65,TRUE())&gt;0,"PARCIAL","VIGENTE")))</f>
        <v/>
      </c>
      <c r="Q65" s="19" t="str">
        <f aca="false">IF(OR(I65="",I65&lt;1,O65=""),"",O65+0)</f>
        <v/>
      </c>
      <c r="R65" s="19" t="str">
        <f aca="false">IF(OR(I65="",I65&lt;2,O65=""),"",O65+30)</f>
        <v/>
      </c>
      <c r="S65" s="19" t="str">
        <f aca="false">IF(OR(I65="",I65&lt;3,O65=""),"",O65+60)</f>
        <v/>
      </c>
      <c r="T65" s="19" t="str">
        <f aca="false">IF(OR(I65="",I65&lt;4,O65=""),"",O65+90)</f>
        <v/>
      </c>
      <c r="U65" s="19" t="str">
        <f aca="false">IF(OR(I65="",I65&lt;5,O65=""),"",O65+120)</f>
        <v/>
      </c>
      <c r="V65" s="19" t="str">
        <f aca="false">IF(OR(I65="",I65&lt;6,O65=""),"",O65+150)</f>
        <v/>
      </c>
      <c r="W65" s="19" t="str">
        <f aca="false">IF(OR(I65="",I65&lt;7,O65=""),"",O65+180)</f>
        <v/>
      </c>
      <c r="X65" s="19" t="str">
        <f aca="false">IF(OR(I65="",I65&lt;8,O65=""),"",O65+210)</f>
        <v/>
      </c>
      <c r="Y65" s="19" t="str">
        <f aca="false">IF(OR(I65="",I65&lt;9,O65=""),"",O65+240)</f>
        <v/>
      </c>
      <c r="Z65" s="19" t="str">
        <f aca="false">IF(OR(I65="",I65&lt;10,O65=""),"",O65+270)</f>
        <v/>
      </c>
      <c r="AA65" s="19" t="str">
        <f aca="false">IF(OR(I65="",I65&lt;11,O65=""),"",O65+300)</f>
        <v/>
      </c>
      <c r="AB65" s="19" t="str">
        <f aca="false">IF(OR(I65="",I65&lt;12,O65=""),"",O65+330)</f>
        <v/>
      </c>
      <c r="AC65" s="19" t="str">
        <f aca="false">IF(OR(I65="",I65&lt;13,O65=""),"",O65+360)</f>
        <v/>
      </c>
      <c r="AD65" s="19" t="str">
        <f aca="false">IF(OR(I65="",I65&lt;14,O65=""),"",O65+390)</f>
        <v/>
      </c>
      <c r="AE65" s="19" t="str">
        <f aca="false">IF(OR(I65="",I65&lt;15,O65=""),"",O65+420)</f>
        <v/>
      </c>
      <c r="AF65" s="19" t="str">
        <f aca="false">IF(OR(I65="",I65&lt;16,O65=""),"",O65+450)</f>
        <v/>
      </c>
      <c r="AG65" s="19" t="str">
        <f aca="false">IF(OR(I65="",I65&lt;17,O65=""),"",O65+480)</f>
        <v/>
      </c>
      <c r="AH65" s="19" t="str">
        <f aca="false">IF(OR(I65="",I65&lt;18,O65=""),"",O65+510)</f>
        <v/>
      </c>
      <c r="AI65" s="19" t="str">
        <f aca="false">IF(OR(I65="",I65&lt;19,O65=""),"",O65+540)</f>
        <v/>
      </c>
      <c r="AJ65" s="19" t="str">
        <f aca="false">IF(OR(I65="",I65&lt;20,O65=""),"",O65+570)</f>
        <v/>
      </c>
      <c r="AK65" s="19" t="str">
        <f aca="false">IF(OR(I65="",I65&lt;21,O65=""),"",O65+600)</f>
        <v/>
      </c>
      <c r="AL65" s="19" t="str">
        <f aca="false">IF(OR(I65="",I65&lt;22,O65=""),"",O65+630)</f>
        <v/>
      </c>
      <c r="AM65" s="19" t="str">
        <f aca="false">IF(OR(I65="",I65&lt;23,O65=""),"",O65+660)</f>
        <v/>
      </c>
      <c r="AN65" s="19" t="str">
        <f aca="false">IF(OR(I65="",I65&lt;24,O65=""),"",O65+690)</f>
        <v/>
      </c>
      <c r="AO65" s="15" t="str">
        <f aca="false">IF(J65="","",COUNTIF(Q65:AN65,TRUE())*J65)</f>
        <v/>
      </c>
      <c r="AP65" s="15" t="str">
        <f aca="false">IF(K65="","",K65-AO65)</f>
        <v/>
      </c>
      <c r="AQ65" s="15" t="str">
        <f aca="false">IF(K65="","",K65-F65-IF(N65="",0,N65))</f>
        <v/>
      </c>
    </row>
    <row r="66" customFormat="false" ht="15" hidden="false" customHeight="false" outlineLevel="0" collapsed="false">
      <c r="A66" s="4"/>
      <c r="B66" s="4"/>
      <c r="C66" s="4"/>
      <c r="D66" s="5"/>
      <c r="E66" s="5"/>
      <c r="F66" s="6"/>
      <c r="G66" s="4"/>
      <c r="H66" s="4"/>
      <c r="I66" s="4"/>
      <c r="J66" s="6"/>
      <c r="K66" s="7" t="str">
        <f aca="false">IF(OR(I66="",J66=""),"",I66*J66)</f>
        <v/>
      </c>
      <c r="L66" s="4"/>
      <c r="M66" s="8"/>
      <c r="N66" s="7" t="str">
        <f aca="false">IF(OR(L66="",M66="",K66=""),"",IF(L66="GANANCIA",(K66-F66)*M66,IF(L66="BRUTO",K66*M66,"")))</f>
        <v/>
      </c>
      <c r="O66" s="9" t="str">
        <f aca="false">IF(D66="","",D66)</f>
        <v/>
      </c>
      <c r="P66" s="10" t="str">
        <f aca="false">IF(I66="","",IF(COUNTIF(Q66:AN66,TRUE())&gt;=I66,"PAGADO",IF(COUNTIF(Q66:AN66,TRUE())&gt;0,"PARCIAL","VIGENTE")))</f>
        <v/>
      </c>
      <c r="Q66" s="11" t="str">
        <f aca="false">IF(OR(I66="",I66&lt;1,O66=""),"",O66+0)</f>
        <v/>
      </c>
      <c r="R66" s="11" t="str">
        <f aca="false">IF(OR(I66="",I66&lt;2,O66=""),"",O66+30)</f>
        <v/>
      </c>
      <c r="S66" s="11" t="str">
        <f aca="false">IF(OR(I66="",I66&lt;3,O66=""),"",O66+60)</f>
        <v/>
      </c>
      <c r="T66" s="11" t="str">
        <f aca="false">IF(OR(I66="",I66&lt;4,O66=""),"",O66+90)</f>
        <v/>
      </c>
      <c r="U66" s="11" t="str">
        <f aca="false">IF(OR(I66="",I66&lt;5,O66=""),"",O66+120)</f>
        <v/>
      </c>
      <c r="V66" s="11" t="str">
        <f aca="false">IF(OR(I66="",I66&lt;6,O66=""),"",O66+150)</f>
        <v/>
      </c>
      <c r="W66" s="11" t="str">
        <f aca="false">IF(OR(I66="",I66&lt;7,O66=""),"",O66+180)</f>
        <v/>
      </c>
      <c r="X66" s="11" t="str">
        <f aca="false">IF(OR(I66="",I66&lt;8,O66=""),"",O66+210)</f>
        <v/>
      </c>
      <c r="Y66" s="11" t="str">
        <f aca="false">IF(OR(I66="",I66&lt;9,O66=""),"",O66+240)</f>
        <v/>
      </c>
      <c r="Z66" s="11" t="str">
        <f aca="false">IF(OR(I66="",I66&lt;10,O66=""),"",O66+270)</f>
        <v/>
      </c>
      <c r="AA66" s="11" t="str">
        <f aca="false">IF(OR(I66="",I66&lt;11,O66=""),"",O66+300)</f>
        <v/>
      </c>
      <c r="AB66" s="11" t="str">
        <f aca="false">IF(OR(I66="",I66&lt;12,O66=""),"",O66+330)</f>
        <v/>
      </c>
      <c r="AC66" s="11" t="str">
        <f aca="false">IF(OR(I66="",I66&lt;13,O66=""),"",O66+360)</f>
        <v/>
      </c>
      <c r="AD66" s="11" t="str">
        <f aca="false">IF(OR(I66="",I66&lt;14,O66=""),"",O66+390)</f>
        <v/>
      </c>
      <c r="AE66" s="11" t="str">
        <f aca="false">IF(OR(I66="",I66&lt;15,O66=""),"",O66+420)</f>
        <v/>
      </c>
      <c r="AF66" s="11" t="str">
        <f aca="false">IF(OR(I66="",I66&lt;16,O66=""),"",O66+450)</f>
        <v/>
      </c>
      <c r="AG66" s="11" t="str">
        <f aca="false">IF(OR(I66="",I66&lt;17,O66=""),"",O66+480)</f>
        <v/>
      </c>
      <c r="AH66" s="11" t="str">
        <f aca="false">IF(OR(I66="",I66&lt;18,O66=""),"",O66+510)</f>
        <v/>
      </c>
      <c r="AI66" s="11" t="str">
        <f aca="false">IF(OR(I66="",I66&lt;19,O66=""),"",O66+540)</f>
        <v/>
      </c>
      <c r="AJ66" s="11" t="str">
        <f aca="false">IF(OR(I66="",I66&lt;20,O66=""),"",O66+570)</f>
        <v/>
      </c>
      <c r="AK66" s="11" t="str">
        <f aca="false">IF(OR(I66="",I66&lt;21,O66=""),"",O66+600)</f>
        <v/>
      </c>
      <c r="AL66" s="11" t="str">
        <f aca="false">IF(OR(I66="",I66&lt;22,O66=""),"",O66+630)</f>
        <v/>
      </c>
      <c r="AM66" s="11" t="str">
        <f aca="false">IF(OR(I66="",I66&lt;23,O66=""),"",O66+660)</f>
        <v/>
      </c>
      <c r="AN66" s="11" t="str">
        <f aca="false">IF(OR(I66="",I66&lt;24,O66=""),"",O66+690)</f>
        <v/>
      </c>
      <c r="AO66" s="7" t="str">
        <f aca="false">IF(J66="","",COUNTIF(Q66:AN66,TRUE())*J66)</f>
        <v/>
      </c>
      <c r="AP66" s="7" t="str">
        <f aca="false">IF(K66="","",K66-AO66)</f>
        <v/>
      </c>
      <c r="AQ66" s="7" t="str">
        <f aca="false">IF(K66="","",K66-F66-IF(N66="",0,N66))</f>
        <v/>
      </c>
    </row>
    <row r="67" customFormat="false" ht="15" hidden="false" customHeight="false" outlineLevel="0" collapsed="false">
      <c r="A67" s="12"/>
      <c r="B67" s="12"/>
      <c r="C67" s="12"/>
      <c r="D67" s="13"/>
      <c r="E67" s="13"/>
      <c r="F67" s="14"/>
      <c r="G67" s="12"/>
      <c r="H67" s="12"/>
      <c r="I67" s="12"/>
      <c r="J67" s="14"/>
      <c r="K67" s="15" t="str">
        <f aca="false">IF(OR(I67="",J67=""),"",I67*J67)</f>
        <v/>
      </c>
      <c r="L67" s="12"/>
      <c r="M67" s="16"/>
      <c r="N67" s="15" t="str">
        <f aca="false">IF(OR(L67="",M67="",K67=""),"",IF(L67="GANANCIA",(K67-F67)*M67,IF(L67="BRUTO",K67*M67,"")))</f>
        <v/>
      </c>
      <c r="O67" s="17" t="str">
        <f aca="false">IF(D67="","",D67)</f>
        <v/>
      </c>
      <c r="P67" s="18" t="str">
        <f aca="false">IF(I67="","",IF(COUNTIF(Q67:AN67,TRUE())&gt;=I67,"PAGADO",IF(COUNTIF(Q67:AN67,TRUE())&gt;0,"PARCIAL","VIGENTE")))</f>
        <v/>
      </c>
      <c r="Q67" s="19" t="str">
        <f aca="false">IF(OR(I67="",I67&lt;1,O67=""),"",O67+0)</f>
        <v/>
      </c>
      <c r="R67" s="19" t="str">
        <f aca="false">IF(OR(I67="",I67&lt;2,O67=""),"",O67+30)</f>
        <v/>
      </c>
      <c r="S67" s="19" t="str">
        <f aca="false">IF(OR(I67="",I67&lt;3,O67=""),"",O67+60)</f>
        <v/>
      </c>
      <c r="T67" s="19" t="str">
        <f aca="false">IF(OR(I67="",I67&lt;4,O67=""),"",O67+90)</f>
        <v/>
      </c>
      <c r="U67" s="19" t="str">
        <f aca="false">IF(OR(I67="",I67&lt;5,O67=""),"",O67+120)</f>
        <v/>
      </c>
      <c r="V67" s="19" t="str">
        <f aca="false">IF(OR(I67="",I67&lt;6,O67=""),"",O67+150)</f>
        <v/>
      </c>
      <c r="W67" s="19" t="str">
        <f aca="false">IF(OR(I67="",I67&lt;7,O67=""),"",O67+180)</f>
        <v/>
      </c>
      <c r="X67" s="19" t="str">
        <f aca="false">IF(OR(I67="",I67&lt;8,O67=""),"",O67+210)</f>
        <v/>
      </c>
      <c r="Y67" s="19" t="str">
        <f aca="false">IF(OR(I67="",I67&lt;9,O67=""),"",O67+240)</f>
        <v/>
      </c>
      <c r="Z67" s="19" t="str">
        <f aca="false">IF(OR(I67="",I67&lt;10,O67=""),"",O67+270)</f>
        <v/>
      </c>
      <c r="AA67" s="19" t="str">
        <f aca="false">IF(OR(I67="",I67&lt;11,O67=""),"",O67+300)</f>
        <v/>
      </c>
      <c r="AB67" s="19" t="str">
        <f aca="false">IF(OR(I67="",I67&lt;12,O67=""),"",O67+330)</f>
        <v/>
      </c>
      <c r="AC67" s="19" t="str">
        <f aca="false">IF(OR(I67="",I67&lt;13,O67=""),"",O67+360)</f>
        <v/>
      </c>
      <c r="AD67" s="19" t="str">
        <f aca="false">IF(OR(I67="",I67&lt;14,O67=""),"",O67+390)</f>
        <v/>
      </c>
      <c r="AE67" s="19" t="str">
        <f aca="false">IF(OR(I67="",I67&lt;15,O67=""),"",O67+420)</f>
        <v/>
      </c>
      <c r="AF67" s="19" t="str">
        <f aca="false">IF(OR(I67="",I67&lt;16,O67=""),"",O67+450)</f>
        <v/>
      </c>
      <c r="AG67" s="19" t="str">
        <f aca="false">IF(OR(I67="",I67&lt;17,O67=""),"",O67+480)</f>
        <v/>
      </c>
      <c r="AH67" s="19" t="str">
        <f aca="false">IF(OR(I67="",I67&lt;18,O67=""),"",O67+510)</f>
        <v/>
      </c>
      <c r="AI67" s="19" t="str">
        <f aca="false">IF(OR(I67="",I67&lt;19,O67=""),"",O67+540)</f>
        <v/>
      </c>
      <c r="AJ67" s="19" t="str">
        <f aca="false">IF(OR(I67="",I67&lt;20,O67=""),"",O67+570)</f>
        <v/>
      </c>
      <c r="AK67" s="19" t="str">
        <f aca="false">IF(OR(I67="",I67&lt;21,O67=""),"",O67+600)</f>
        <v/>
      </c>
      <c r="AL67" s="19" t="str">
        <f aca="false">IF(OR(I67="",I67&lt;22,O67=""),"",O67+630)</f>
        <v/>
      </c>
      <c r="AM67" s="19" t="str">
        <f aca="false">IF(OR(I67="",I67&lt;23,O67=""),"",O67+660)</f>
        <v/>
      </c>
      <c r="AN67" s="19" t="str">
        <f aca="false">IF(OR(I67="",I67&lt;24,O67=""),"",O67+690)</f>
        <v/>
      </c>
      <c r="AO67" s="15" t="str">
        <f aca="false">IF(J67="","",COUNTIF(Q67:AN67,TRUE())*J67)</f>
        <v/>
      </c>
      <c r="AP67" s="15" t="str">
        <f aca="false">IF(K67="","",K67-AO67)</f>
        <v/>
      </c>
      <c r="AQ67" s="15" t="str">
        <f aca="false">IF(K67="","",K67-F67-IF(N67="",0,N67))</f>
        <v/>
      </c>
    </row>
    <row r="68" customFormat="false" ht="15" hidden="false" customHeight="false" outlineLevel="0" collapsed="false">
      <c r="A68" s="4"/>
      <c r="B68" s="4"/>
      <c r="C68" s="4"/>
      <c r="D68" s="5"/>
      <c r="E68" s="5"/>
      <c r="F68" s="6"/>
      <c r="G68" s="4"/>
      <c r="H68" s="4"/>
      <c r="I68" s="4"/>
      <c r="J68" s="6"/>
      <c r="K68" s="7" t="str">
        <f aca="false">IF(OR(I68="",J68=""),"",I68*J68)</f>
        <v/>
      </c>
      <c r="L68" s="4"/>
      <c r="M68" s="8"/>
      <c r="N68" s="7" t="str">
        <f aca="false">IF(OR(L68="",M68="",K68=""),"",IF(L68="GANANCIA",(K68-F68)*M68,IF(L68="BRUTO",K68*M68,"")))</f>
        <v/>
      </c>
      <c r="O68" s="9" t="str">
        <f aca="false">IF(D68="","",D68)</f>
        <v/>
      </c>
      <c r="P68" s="10" t="str">
        <f aca="false">IF(I68="","",IF(COUNTIF(Q68:AN68,TRUE())&gt;=I68,"PAGADO",IF(COUNTIF(Q68:AN68,TRUE())&gt;0,"PARCIAL","VIGENTE")))</f>
        <v/>
      </c>
      <c r="Q68" s="11" t="str">
        <f aca="false">IF(OR(I68="",I68&lt;1,O68=""),"",O68+0)</f>
        <v/>
      </c>
      <c r="R68" s="11" t="str">
        <f aca="false">IF(OR(I68="",I68&lt;2,O68=""),"",O68+30)</f>
        <v/>
      </c>
      <c r="S68" s="11" t="str">
        <f aca="false">IF(OR(I68="",I68&lt;3,O68=""),"",O68+60)</f>
        <v/>
      </c>
      <c r="T68" s="11" t="str">
        <f aca="false">IF(OR(I68="",I68&lt;4,O68=""),"",O68+90)</f>
        <v/>
      </c>
      <c r="U68" s="11" t="str">
        <f aca="false">IF(OR(I68="",I68&lt;5,O68=""),"",O68+120)</f>
        <v/>
      </c>
      <c r="V68" s="11" t="str">
        <f aca="false">IF(OR(I68="",I68&lt;6,O68=""),"",O68+150)</f>
        <v/>
      </c>
      <c r="W68" s="11" t="str">
        <f aca="false">IF(OR(I68="",I68&lt;7,O68=""),"",O68+180)</f>
        <v/>
      </c>
      <c r="X68" s="11" t="str">
        <f aca="false">IF(OR(I68="",I68&lt;8,O68=""),"",O68+210)</f>
        <v/>
      </c>
      <c r="Y68" s="11" t="str">
        <f aca="false">IF(OR(I68="",I68&lt;9,O68=""),"",O68+240)</f>
        <v/>
      </c>
      <c r="Z68" s="11" t="str">
        <f aca="false">IF(OR(I68="",I68&lt;10,O68=""),"",O68+270)</f>
        <v/>
      </c>
      <c r="AA68" s="11" t="str">
        <f aca="false">IF(OR(I68="",I68&lt;11,O68=""),"",O68+300)</f>
        <v/>
      </c>
      <c r="AB68" s="11" t="str">
        <f aca="false">IF(OR(I68="",I68&lt;12,O68=""),"",O68+330)</f>
        <v/>
      </c>
      <c r="AC68" s="11" t="str">
        <f aca="false">IF(OR(I68="",I68&lt;13,O68=""),"",O68+360)</f>
        <v/>
      </c>
      <c r="AD68" s="11" t="str">
        <f aca="false">IF(OR(I68="",I68&lt;14,O68=""),"",O68+390)</f>
        <v/>
      </c>
      <c r="AE68" s="11" t="str">
        <f aca="false">IF(OR(I68="",I68&lt;15,O68=""),"",O68+420)</f>
        <v/>
      </c>
      <c r="AF68" s="11" t="str">
        <f aca="false">IF(OR(I68="",I68&lt;16,O68=""),"",O68+450)</f>
        <v/>
      </c>
      <c r="AG68" s="11" t="str">
        <f aca="false">IF(OR(I68="",I68&lt;17,O68=""),"",O68+480)</f>
        <v/>
      </c>
      <c r="AH68" s="11" t="str">
        <f aca="false">IF(OR(I68="",I68&lt;18,O68=""),"",O68+510)</f>
        <v/>
      </c>
      <c r="AI68" s="11" t="str">
        <f aca="false">IF(OR(I68="",I68&lt;19,O68=""),"",O68+540)</f>
        <v/>
      </c>
      <c r="AJ68" s="11" t="str">
        <f aca="false">IF(OR(I68="",I68&lt;20,O68=""),"",O68+570)</f>
        <v/>
      </c>
      <c r="AK68" s="11" t="str">
        <f aca="false">IF(OR(I68="",I68&lt;21,O68=""),"",O68+600)</f>
        <v/>
      </c>
      <c r="AL68" s="11" t="str">
        <f aca="false">IF(OR(I68="",I68&lt;22,O68=""),"",O68+630)</f>
        <v/>
      </c>
      <c r="AM68" s="11" t="str">
        <f aca="false">IF(OR(I68="",I68&lt;23,O68=""),"",O68+660)</f>
        <v/>
      </c>
      <c r="AN68" s="11" t="str">
        <f aca="false">IF(OR(I68="",I68&lt;24,O68=""),"",O68+690)</f>
        <v/>
      </c>
      <c r="AO68" s="7" t="str">
        <f aca="false">IF(J68="","",COUNTIF(Q68:AN68,TRUE())*J68)</f>
        <v/>
      </c>
      <c r="AP68" s="7" t="str">
        <f aca="false">IF(K68="","",K68-AO68)</f>
        <v/>
      </c>
      <c r="AQ68" s="7" t="str">
        <f aca="false">IF(K68="","",K68-F68-IF(N68="",0,N68))</f>
        <v/>
      </c>
    </row>
    <row r="69" customFormat="false" ht="15" hidden="false" customHeight="false" outlineLevel="0" collapsed="false">
      <c r="A69" s="12"/>
      <c r="B69" s="12"/>
      <c r="C69" s="12"/>
      <c r="D69" s="13"/>
      <c r="E69" s="13"/>
      <c r="F69" s="14"/>
      <c r="G69" s="12"/>
      <c r="H69" s="12"/>
      <c r="I69" s="12"/>
      <c r="J69" s="14"/>
      <c r="K69" s="15" t="str">
        <f aca="false">IF(OR(I69="",J69=""),"",I69*J69)</f>
        <v/>
      </c>
      <c r="L69" s="12"/>
      <c r="M69" s="16"/>
      <c r="N69" s="15" t="str">
        <f aca="false">IF(OR(L69="",M69="",K69=""),"",IF(L69="GANANCIA",(K69-F69)*M69,IF(L69="BRUTO",K69*M69,"")))</f>
        <v/>
      </c>
      <c r="O69" s="17" t="str">
        <f aca="false">IF(D69="","",D69)</f>
        <v/>
      </c>
      <c r="P69" s="18" t="str">
        <f aca="false">IF(I69="","",IF(COUNTIF(Q69:AN69,TRUE())&gt;=I69,"PAGADO",IF(COUNTIF(Q69:AN69,TRUE())&gt;0,"PARCIAL","VIGENTE")))</f>
        <v/>
      </c>
      <c r="Q69" s="19" t="str">
        <f aca="false">IF(OR(I69="",I69&lt;1,O69=""),"",O69+0)</f>
        <v/>
      </c>
      <c r="R69" s="19" t="str">
        <f aca="false">IF(OR(I69="",I69&lt;2,O69=""),"",O69+30)</f>
        <v/>
      </c>
      <c r="S69" s="19" t="str">
        <f aca="false">IF(OR(I69="",I69&lt;3,O69=""),"",O69+60)</f>
        <v/>
      </c>
      <c r="T69" s="19" t="str">
        <f aca="false">IF(OR(I69="",I69&lt;4,O69=""),"",O69+90)</f>
        <v/>
      </c>
      <c r="U69" s="19" t="str">
        <f aca="false">IF(OR(I69="",I69&lt;5,O69=""),"",O69+120)</f>
        <v/>
      </c>
      <c r="V69" s="19" t="str">
        <f aca="false">IF(OR(I69="",I69&lt;6,O69=""),"",O69+150)</f>
        <v/>
      </c>
      <c r="W69" s="19" t="str">
        <f aca="false">IF(OR(I69="",I69&lt;7,O69=""),"",O69+180)</f>
        <v/>
      </c>
      <c r="X69" s="19" t="str">
        <f aca="false">IF(OR(I69="",I69&lt;8,O69=""),"",O69+210)</f>
        <v/>
      </c>
      <c r="Y69" s="19" t="str">
        <f aca="false">IF(OR(I69="",I69&lt;9,O69=""),"",O69+240)</f>
        <v/>
      </c>
      <c r="Z69" s="19" t="str">
        <f aca="false">IF(OR(I69="",I69&lt;10,O69=""),"",O69+270)</f>
        <v/>
      </c>
      <c r="AA69" s="19" t="str">
        <f aca="false">IF(OR(I69="",I69&lt;11,O69=""),"",O69+300)</f>
        <v/>
      </c>
      <c r="AB69" s="19" t="str">
        <f aca="false">IF(OR(I69="",I69&lt;12,O69=""),"",O69+330)</f>
        <v/>
      </c>
      <c r="AC69" s="19" t="str">
        <f aca="false">IF(OR(I69="",I69&lt;13,O69=""),"",O69+360)</f>
        <v/>
      </c>
      <c r="AD69" s="19" t="str">
        <f aca="false">IF(OR(I69="",I69&lt;14,O69=""),"",O69+390)</f>
        <v/>
      </c>
      <c r="AE69" s="19" t="str">
        <f aca="false">IF(OR(I69="",I69&lt;15,O69=""),"",O69+420)</f>
        <v/>
      </c>
      <c r="AF69" s="19" t="str">
        <f aca="false">IF(OR(I69="",I69&lt;16,O69=""),"",O69+450)</f>
        <v/>
      </c>
      <c r="AG69" s="19" t="str">
        <f aca="false">IF(OR(I69="",I69&lt;17,O69=""),"",O69+480)</f>
        <v/>
      </c>
      <c r="AH69" s="19" t="str">
        <f aca="false">IF(OR(I69="",I69&lt;18,O69=""),"",O69+510)</f>
        <v/>
      </c>
      <c r="AI69" s="19" t="str">
        <f aca="false">IF(OR(I69="",I69&lt;19,O69=""),"",O69+540)</f>
        <v/>
      </c>
      <c r="AJ69" s="19" t="str">
        <f aca="false">IF(OR(I69="",I69&lt;20,O69=""),"",O69+570)</f>
        <v/>
      </c>
      <c r="AK69" s="19" t="str">
        <f aca="false">IF(OR(I69="",I69&lt;21,O69=""),"",O69+600)</f>
        <v/>
      </c>
      <c r="AL69" s="19" t="str">
        <f aca="false">IF(OR(I69="",I69&lt;22,O69=""),"",O69+630)</f>
        <v/>
      </c>
      <c r="AM69" s="19" t="str">
        <f aca="false">IF(OR(I69="",I69&lt;23,O69=""),"",O69+660)</f>
        <v/>
      </c>
      <c r="AN69" s="19" t="str">
        <f aca="false">IF(OR(I69="",I69&lt;24,O69=""),"",O69+690)</f>
        <v/>
      </c>
      <c r="AO69" s="15" t="str">
        <f aca="false">IF(J69="","",COUNTIF(Q69:AN69,TRUE())*J69)</f>
        <v/>
      </c>
      <c r="AP69" s="15" t="str">
        <f aca="false">IF(K69="","",K69-AO69)</f>
        <v/>
      </c>
      <c r="AQ69" s="15" t="str">
        <f aca="false">IF(K69="","",K69-F69-IF(N69="",0,N69))</f>
        <v/>
      </c>
    </row>
    <row r="70" customFormat="false" ht="15" hidden="false" customHeight="false" outlineLevel="0" collapsed="false">
      <c r="A70" s="4"/>
      <c r="B70" s="4"/>
      <c r="C70" s="4"/>
      <c r="D70" s="5"/>
      <c r="E70" s="5"/>
      <c r="F70" s="6"/>
      <c r="G70" s="4"/>
      <c r="H70" s="4"/>
      <c r="I70" s="4"/>
      <c r="J70" s="6"/>
      <c r="K70" s="7" t="str">
        <f aca="false">IF(OR(I70="",J70=""),"",I70*J70)</f>
        <v/>
      </c>
      <c r="L70" s="4"/>
      <c r="M70" s="8"/>
      <c r="N70" s="7" t="str">
        <f aca="false">IF(OR(L70="",M70="",K70=""),"",IF(L70="GANANCIA",(K70-F70)*M70,IF(L70="BRUTO",K70*M70,"")))</f>
        <v/>
      </c>
      <c r="O70" s="9" t="str">
        <f aca="false">IF(D70="","",D70)</f>
        <v/>
      </c>
      <c r="P70" s="10" t="str">
        <f aca="false">IF(I70="","",IF(COUNTIF(Q70:AN70,TRUE())&gt;=I70,"PAGADO",IF(COUNTIF(Q70:AN70,TRUE())&gt;0,"PARCIAL","VIGENTE")))</f>
        <v/>
      </c>
      <c r="Q70" s="11" t="str">
        <f aca="false">IF(OR(I70="",I70&lt;1,O70=""),"",O70+0)</f>
        <v/>
      </c>
      <c r="R70" s="11" t="str">
        <f aca="false">IF(OR(I70="",I70&lt;2,O70=""),"",O70+30)</f>
        <v/>
      </c>
      <c r="S70" s="11" t="str">
        <f aca="false">IF(OR(I70="",I70&lt;3,O70=""),"",O70+60)</f>
        <v/>
      </c>
      <c r="T70" s="11" t="str">
        <f aca="false">IF(OR(I70="",I70&lt;4,O70=""),"",O70+90)</f>
        <v/>
      </c>
      <c r="U70" s="11" t="str">
        <f aca="false">IF(OR(I70="",I70&lt;5,O70=""),"",O70+120)</f>
        <v/>
      </c>
      <c r="V70" s="11" t="str">
        <f aca="false">IF(OR(I70="",I70&lt;6,O70=""),"",O70+150)</f>
        <v/>
      </c>
      <c r="W70" s="11" t="str">
        <f aca="false">IF(OR(I70="",I70&lt;7,O70=""),"",O70+180)</f>
        <v/>
      </c>
      <c r="X70" s="11" t="str">
        <f aca="false">IF(OR(I70="",I70&lt;8,O70=""),"",O70+210)</f>
        <v/>
      </c>
      <c r="Y70" s="11" t="str">
        <f aca="false">IF(OR(I70="",I70&lt;9,O70=""),"",O70+240)</f>
        <v/>
      </c>
      <c r="Z70" s="11" t="str">
        <f aca="false">IF(OR(I70="",I70&lt;10,O70=""),"",O70+270)</f>
        <v/>
      </c>
      <c r="AA70" s="11" t="str">
        <f aca="false">IF(OR(I70="",I70&lt;11,O70=""),"",O70+300)</f>
        <v/>
      </c>
      <c r="AB70" s="11" t="str">
        <f aca="false">IF(OR(I70="",I70&lt;12,O70=""),"",O70+330)</f>
        <v/>
      </c>
      <c r="AC70" s="11" t="str">
        <f aca="false">IF(OR(I70="",I70&lt;13,O70=""),"",O70+360)</f>
        <v/>
      </c>
      <c r="AD70" s="11" t="str">
        <f aca="false">IF(OR(I70="",I70&lt;14,O70=""),"",O70+390)</f>
        <v/>
      </c>
      <c r="AE70" s="11" t="str">
        <f aca="false">IF(OR(I70="",I70&lt;15,O70=""),"",O70+420)</f>
        <v/>
      </c>
      <c r="AF70" s="11" t="str">
        <f aca="false">IF(OR(I70="",I70&lt;16,O70=""),"",O70+450)</f>
        <v/>
      </c>
      <c r="AG70" s="11" t="str">
        <f aca="false">IF(OR(I70="",I70&lt;17,O70=""),"",O70+480)</f>
        <v/>
      </c>
      <c r="AH70" s="11" t="str">
        <f aca="false">IF(OR(I70="",I70&lt;18,O70=""),"",O70+510)</f>
        <v/>
      </c>
      <c r="AI70" s="11" t="str">
        <f aca="false">IF(OR(I70="",I70&lt;19,O70=""),"",O70+540)</f>
        <v/>
      </c>
      <c r="AJ70" s="11" t="str">
        <f aca="false">IF(OR(I70="",I70&lt;20,O70=""),"",O70+570)</f>
        <v/>
      </c>
      <c r="AK70" s="11" t="str">
        <f aca="false">IF(OR(I70="",I70&lt;21,O70=""),"",O70+600)</f>
        <v/>
      </c>
      <c r="AL70" s="11" t="str">
        <f aca="false">IF(OR(I70="",I70&lt;22,O70=""),"",O70+630)</f>
        <v/>
      </c>
      <c r="AM70" s="11" t="str">
        <f aca="false">IF(OR(I70="",I70&lt;23,O70=""),"",O70+660)</f>
        <v/>
      </c>
      <c r="AN70" s="11" t="str">
        <f aca="false">IF(OR(I70="",I70&lt;24,O70=""),"",O70+690)</f>
        <v/>
      </c>
      <c r="AO70" s="7" t="str">
        <f aca="false">IF(J70="","",COUNTIF(Q70:AN70,TRUE())*J70)</f>
        <v/>
      </c>
      <c r="AP70" s="7" t="str">
        <f aca="false">IF(K70="","",K70-AO70)</f>
        <v/>
      </c>
      <c r="AQ70" s="7" t="str">
        <f aca="false">IF(K70="","",K70-F70-IF(N70="",0,N70))</f>
        <v/>
      </c>
    </row>
    <row r="71" customFormat="false" ht="15" hidden="false" customHeight="false" outlineLevel="0" collapsed="false">
      <c r="A71" s="12"/>
      <c r="B71" s="12"/>
      <c r="C71" s="12"/>
      <c r="D71" s="13"/>
      <c r="E71" s="13"/>
      <c r="F71" s="14"/>
      <c r="G71" s="12"/>
      <c r="H71" s="12"/>
      <c r="I71" s="12"/>
      <c r="J71" s="14"/>
      <c r="K71" s="15" t="str">
        <f aca="false">IF(OR(I71="",J71=""),"",I71*J71)</f>
        <v/>
      </c>
      <c r="L71" s="12"/>
      <c r="M71" s="16"/>
      <c r="N71" s="15" t="str">
        <f aca="false">IF(OR(L71="",M71="",K71=""),"",IF(L71="GANANCIA",(K71-F71)*M71,IF(L71="BRUTO",K71*M71,"")))</f>
        <v/>
      </c>
      <c r="O71" s="17" t="str">
        <f aca="false">IF(D71="","",D71)</f>
        <v/>
      </c>
      <c r="P71" s="18" t="str">
        <f aca="false">IF(I71="","",IF(COUNTIF(Q71:AN71,TRUE())&gt;=I71,"PAGADO",IF(COUNTIF(Q71:AN71,TRUE())&gt;0,"PARCIAL","VIGENTE")))</f>
        <v/>
      </c>
      <c r="Q71" s="19" t="str">
        <f aca="false">IF(OR(I71="",I71&lt;1,O71=""),"",O71+0)</f>
        <v/>
      </c>
      <c r="R71" s="19" t="str">
        <f aca="false">IF(OR(I71="",I71&lt;2,O71=""),"",O71+30)</f>
        <v/>
      </c>
      <c r="S71" s="19" t="str">
        <f aca="false">IF(OR(I71="",I71&lt;3,O71=""),"",O71+60)</f>
        <v/>
      </c>
      <c r="T71" s="19" t="str">
        <f aca="false">IF(OR(I71="",I71&lt;4,O71=""),"",O71+90)</f>
        <v/>
      </c>
      <c r="U71" s="19" t="str">
        <f aca="false">IF(OR(I71="",I71&lt;5,O71=""),"",O71+120)</f>
        <v/>
      </c>
      <c r="V71" s="19" t="str">
        <f aca="false">IF(OR(I71="",I71&lt;6,O71=""),"",O71+150)</f>
        <v/>
      </c>
      <c r="W71" s="19" t="str">
        <f aca="false">IF(OR(I71="",I71&lt;7,O71=""),"",O71+180)</f>
        <v/>
      </c>
      <c r="X71" s="19" t="str">
        <f aca="false">IF(OR(I71="",I71&lt;8,O71=""),"",O71+210)</f>
        <v/>
      </c>
      <c r="Y71" s="19" t="str">
        <f aca="false">IF(OR(I71="",I71&lt;9,O71=""),"",O71+240)</f>
        <v/>
      </c>
      <c r="Z71" s="19" t="str">
        <f aca="false">IF(OR(I71="",I71&lt;10,O71=""),"",O71+270)</f>
        <v/>
      </c>
      <c r="AA71" s="19" t="str">
        <f aca="false">IF(OR(I71="",I71&lt;11,O71=""),"",O71+300)</f>
        <v/>
      </c>
      <c r="AB71" s="19" t="str">
        <f aca="false">IF(OR(I71="",I71&lt;12,O71=""),"",O71+330)</f>
        <v/>
      </c>
      <c r="AC71" s="19" t="str">
        <f aca="false">IF(OR(I71="",I71&lt;13,O71=""),"",O71+360)</f>
        <v/>
      </c>
      <c r="AD71" s="19" t="str">
        <f aca="false">IF(OR(I71="",I71&lt;14,O71=""),"",O71+390)</f>
        <v/>
      </c>
      <c r="AE71" s="19" t="str">
        <f aca="false">IF(OR(I71="",I71&lt;15,O71=""),"",O71+420)</f>
        <v/>
      </c>
      <c r="AF71" s="19" t="str">
        <f aca="false">IF(OR(I71="",I71&lt;16,O71=""),"",O71+450)</f>
        <v/>
      </c>
      <c r="AG71" s="19" t="str">
        <f aca="false">IF(OR(I71="",I71&lt;17,O71=""),"",O71+480)</f>
        <v/>
      </c>
      <c r="AH71" s="19" t="str">
        <f aca="false">IF(OR(I71="",I71&lt;18,O71=""),"",O71+510)</f>
        <v/>
      </c>
      <c r="AI71" s="19" t="str">
        <f aca="false">IF(OR(I71="",I71&lt;19,O71=""),"",O71+540)</f>
        <v/>
      </c>
      <c r="AJ71" s="19" t="str">
        <f aca="false">IF(OR(I71="",I71&lt;20,O71=""),"",O71+570)</f>
        <v/>
      </c>
      <c r="AK71" s="19" t="str">
        <f aca="false">IF(OR(I71="",I71&lt;21,O71=""),"",O71+600)</f>
        <v/>
      </c>
      <c r="AL71" s="19" t="str">
        <f aca="false">IF(OR(I71="",I71&lt;22,O71=""),"",O71+630)</f>
        <v/>
      </c>
      <c r="AM71" s="19" t="str">
        <f aca="false">IF(OR(I71="",I71&lt;23,O71=""),"",O71+660)</f>
        <v/>
      </c>
      <c r="AN71" s="19" t="str">
        <f aca="false">IF(OR(I71="",I71&lt;24,O71=""),"",O71+690)</f>
        <v/>
      </c>
      <c r="AO71" s="15" t="str">
        <f aca="false">IF(J71="","",COUNTIF(Q71:AN71,TRUE())*J71)</f>
        <v/>
      </c>
      <c r="AP71" s="15" t="str">
        <f aca="false">IF(K71="","",K71-AO71)</f>
        <v/>
      </c>
      <c r="AQ71" s="15" t="str">
        <f aca="false">IF(K71="","",K71-F71-IF(N71="",0,N71))</f>
        <v/>
      </c>
    </row>
    <row r="72" customFormat="false" ht="15" hidden="false" customHeight="false" outlineLevel="0" collapsed="false">
      <c r="A72" s="4"/>
      <c r="B72" s="4"/>
      <c r="C72" s="4"/>
      <c r="D72" s="5"/>
      <c r="E72" s="5"/>
      <c r="F72" s="6"/>
      <c r="G72" s="4"/>
      <c r="H72" s="4"/>
      <c r="I72" s="4"/>
      <c r="J72" s="6"/>
      <c r="K72" s="7" t="str">
        <f aca="false">IF(OR(I72="",J72=""),"",I72*J72)</f>
        <v/>
      </c>
      <c r="L72" s="4"/>
      <c r="M72" s="8"/>
      <c r="N72" s="7" t="str">
        <f aca="false">IF(OR(L72="",M72="",K72=""),"",IF(L72="GANANCIA",(K72-F72)*M72,IF(L72="BRUTO",K72*M72,"")))</f>
        <v/>
      </c>
      <c r="O72" s="9" t="str">
        <f aca="false">IF(D72="","",D72)</f>
        <v/>
      </c>
      <c r="P72" s="10" t="str">
        <f aca="false">IF(I72="","",IF(COUNTIF(Q72:AN72,TRUE())&gt;=I72,"PAGADO",IF(COUNTIF(Q72:AN72,TRUE())&gt;0,"PARCIAL","VIGENTE")))</f>
        <v/>
      </c>
      <c r="Q72" s="11" t="str">
        <f aca="false">IF(OR(I72="",I72&lt;1,O72=""),"",O72+0)</f>
        <v/>
      </c>
      <c r="R72" s="11" t="str">
        <f aca="false">IF(OR(I72="",I72&lt;2,O72=""),"",O72+30)</f>
        <v/>
      </c>
      <c r="S72" s="11" t="str">
        <f aca="false">IF(OR(I72="",I72&lt;3,O72=""),"",O72+60)</f>
        <v/>
      </c>
      <c r="T72" s="11" t="str">
        <f aca="false">IF(OR(I72="",I72&lt;4,O72=""),"",O72+90)</f>
        <v/>
      </c>
      <c r="U72" s="11" t="str">
        <f aca="false">IF(OR(I72="",I72&lt;5,O72=""),"",O72+120)</f>
        <v/>
      </c>
      <c r="V72" s="11" t="str">
        <f aca="false">IF(OR(I72="",I72&lt;6,O72=""),"",O72+150)</f>
        <v/>
      </c>
      <c r="W72" s="11" t="str">
        <f aca="false">IF(OR(I72="",I72&lt;7,O72=""),"",O72+180)</f>
        <v/>
      </c>
      <c r="X72" s="11" t="str">
        <f aca="false">IF(OR(I72="",I72&lt;8,O72=""),"",O72+210)</f>
        <v/>
      </c>
      <c r="Y72" s="11" t="str">
        <f aca="false">IF(OR(I72="",I72&lt;9,O72=""),"",O72+240)</f>
        <v/>
      </c>
      <c r="Z72" s="11" t="str">
        <f aca="false">IF(OR(I72="",I72&lt;10,O72=""),"",O72+270)</f>
        <v/>
      </c>
      <c r="AA72" s="11" t="str">
        <f aca="false">IF(OR(I72="",I72&lt;11,O72=""),"",O72+300)</f>
        <v/>
      </c>
      <c r="AB72" s="11" t="str">
        <f aca="false">IF(OR(I72="",I72&lt;12,O72=""),"",O72+330)</f>
        <v/>
      </c>
      <c r="AC72" s="11" t="str">
        <f aca="false">IF(OR(I72="",I72&lt;13,O72=""),"",O72+360)</f>
        <v/>
      </c>
      <c r="AD72" s="11" t="str">
        <f aca="false">IF(OR(I72="",I72&lt;14,O72=""),"",O72+390)</f>
        <v/>
      </c>
      <c r="AE72" s="11" t="str">
        <f aca="false">IF(OR(I72="",I72&lt;15,O72=""),"",O72+420)</f>
        <v/>
      </c>
      <c r="AF72" s="11" t="str">
        <f aca="false">IF(OR(I72="",I72&lt;16,O72=""),"",O72+450)</f>
        <v/>
      </c>
      <c r="AG72" s="11" t="str">
        <f aca="false">IF(OR(I72="",I72&lt;17,O72=""),"",O72+480)</f>
        <v/>
      </c>
      <c r="AH72" s="11" t="str">
        <f aca="false">IF(OR(I72="",I72&lt;18,O72=""),"",O72+510)</f>
        <v/>
      </c>
      <c r="AI72" s="11" t="str">
        <f aca="false">IF(OR(I72="",I72&lt;19,O72=""),"",O72+540)</f>
        <v/>
      </c>
      <c r="AJ72" s="11" t="str">
        <f aca="false">IF(OR(I72="",I72&lt;20,O72=""),"",O72+570)</f>
        <v/>
      </c>
      <c r="AK72" s="11" t="str">
        <f aca="false">IF(OR(I72="",I72&lt;21,O72=""),"",O72+600)</f>
        <v/>
      </c>
      <c r="AL72" s="11" t="str">
        <f aca="false">IF(OR(I72="",I72&lt;22,O72=""),"",O72+630)</f>
        <v/>
      </c>
      <c r="AM72" s="11" t="str">
        <f aca="false">IF(OR(I72="",I72&lt;23,O72=""),"",O72+660)</f>
        <v/>
      </c>
      <c r="AN72" s="11" t="str">
        <f aca="false">IF(OR(I72="",I72&lt;24,O72=""),"",O72+690)</f>
        <v/>
      </c>
      <c r="AO72" s="7" t="str">
        <f aca="false">IF(J72="","",COUNTIF(Q72:AN72,TRUE())*J72)</f>
        <v/>
      </c>
      <c r="AP72" s="7" t="str">
        <f aca="false">IF(K72="","",K72-AO72)</f>
        <v/>
      </c>
      <c r="AQ72" s="7" t="str">
        <f aca="false">IF(K72="","",K72-F72-IF(N72="",0,N72))</f>
        <v/>
      </c>
    </row>
    <row r="73" customFormat="false" ht="15" hidden="false" customHeight="false" outlineLevel="0" collapsed="false">
      <c r="A73" s="12"/>
      <c r="B73" s="12"/>
      <c r="C73" s="12"/>
      <c r="D73" s="13"/>
      <c r="E73" s="13"/>
      <c r="F73" s="14"/>
      <c r="G73" s="12"/>
      <c r="H73" s="12"/>
      <c r="I73" s="12"/>
      <c r="J73" s="14"/>
      <c r="K73" s="15" t="str">
        <f aca="false">IF(OR(I73="",J73=""),"",I73*J73)</f>
        <v/>
      </c>
      <c r="L73" s="12"/>
      <c r="M73" s="16"/>
      <c r="N73" s="15" t="str">
        <f aca="false">IF(OR(L73="",M73="",K73=""),"",IF(L73="GANANCIA",(K73-F73)*M73,IF(L73="BRUTO",K73*M73,"")))</f>
        <v/>
      </c>
      <c r="O73" s="17" t="str">
        <f aca="false">IF(D73="","",D73)</f>
        <v/>
      </c>
      <c r="P73" s="18" t="str">
        <f aca="false">IF(I73="","",IF(COUNTIF(Q73:AN73,TRUE())&gt;=I73,"PAGADO",IF(COUNTIF(Q73:AN73,TRUE())&gt;0,"PARCIAL","VIGENTE")))</f>
        <v/>
      </c>
      <c r="Q73" s="19" t="str">
        <f aca="false">IF(OR(I73="",I73&lt;1,O73=""),"",O73+0)</f>
        <v/>
      </c>
      <c r="R73" s="19" t="str">
        <f aca="false">IF(OR(I73="",I73&lt;2,O73=""),"",O73+30)</f>
        <v/>
      </c>
      <c r="S73" s="19" t="str">
        <f aca="false">IF(OR(I73="",I73&lt;3,O73=""),"",O73+60)</f>
        <v/>
      </c>
      <c r="T73" s="19" t="str">
        <f aca="false">IF(OR(I73="",I73&lt;4,O73=""),"",O73+90)</f>
        <v/>
      </c>
      <c r="U73" s="19" t="str">
        <f aca="false">IF(OR(I73="",I73&lt;5,O73=""),"",O73+120)</f>
        <v/>
      </c>
      <c r="V73" s="19" t="str">
        <f aca="false">IF(OR(I73="",I73&lt;6,O73=""),"",O73+150)</f>
        <v/>
      </c>
      <c r="W73" s="19" t="str">
        <f aca="false">IF(OR(I73="",I73&lt;7,O73=""),"",O73+180)</f>
        <v/>
      </c>
      <c r="X73" s="19" t="str">
        <f aca="false">IF(OR(I73="",I73&lt;8,O73=""),"",O73+210)</f>
        <v/>
      </c>
      <c r="Y73" s="19" t="str">
        <f aca="false">IF(OR(I73="",I73&lt;9,O73=""),"",O73+240)</f>
        <v/>
      </c>
      <c r="Z73" s="19" t="str">
        <f aca="false">IF(OR(I73="",I73&lt;10,O73=""),"",O73+270)</f>
        <v/>
      </c>
      <c r="AA73" s="19" t="str">
        <f aca="false">IF(OR(I73="",I73&lt;11,O73=""),"",O73+300)</f>
        <v/>
      </c>
      <c r="AB73" s="19" t="str">
        <f aca="false">IF(OR(I73="",I73&lt;12,O73=""),"",O73+330)</f>
        <v/>
      </c>
      <c r="AC73" s="19" t="str">
        <f aca="false">IF(OR(I73="",I73&lt;13,O73=""),"",O73+360)</f>
        <v/>
      </c>
      <c r="AD73" s="19" t="str">
        <f aca="false">IF(OR(I73="",I73&lt;14,O73=""),"",O73+390)</f>
        <v/>
      </c>
      <c r="AE73" s="19" t="str">
        <f aca="false">IF(OR(I73="",I73&lt;15,O73=""),"",O73+420)</f>
        <v/>
      </c>
      <c r="AF73" s="19" t="str">
        <f aca="false">IF(OR(I73="",I73&lt;16,O73=""),"",O73+450)</f>
        <v/>
      </c>
      <c r="AG73" s="19" t="str">
        <f aca="false">IF(OR(I73="",I73&lt;17,O73=""),"",O73+480)</f>
        <v/>
      </c>
      <c r="AH73" s="19" t="str">
        <f aca="false">IF(OR(I73="",I73&lt;18,O73=""),"",O73+510)</f>
        <v/>
      </c>
      <c r="AI73" s="19" t="str">
        <f aca="false">IF(OR(I73="",I73&lt;19,O73=""),"",O73+540)</f>
        <v/>
      </c>
      <c r="AJ73" s="19" t="str">
        <f aca="false">IF(OR(I73="",I73&lt;20,O73=""),"",O73+570)</f>
        <v/>
      </c>
      <c r="AK73" s="19" t="str">
        <f aca="false">IF(OR(I73="",I73&lt;21,O73=""),"",O73+600)</f>
        <v/>
      </c>
      <c r="AL73" s="19" t="str">
        <f aca="false">IF(OR(I73="",I73&lt;22,O73=""),"",O73+630)</f>
        <v/>
      </c>
      <c r="AM73" s="19" t="str">
        <f aca="false">IF(OR(I73="",I73&lt;23,O73=""),"",O73+660)</f>
        <v/>
      </c>
      <c r="AN73" s="19" t="str">
        <f aca="false">IF(OR(I73="",I73&lt;24,O73=""),"",O73+690)</f>
        <v/>
      </c>
      <c r="AO73" s="15" t="str">
        <f aca="false">IF(J73="","",COUNTIF(Q73:AN73,TRUE())*J73)</f>
        <v/>
      </c>
      <c r="AP73" s="15" t="str">
        <f aca="false">IF(K73="","",K73-AO73)</f>
        <v/>
      </c>
      <c r="AQ73" s="15" t="str">
        <f aca="false">IF(K73="","",K73-F73-IF(N73="",0,N73))</f>
        <v/>
      </c>
    </row>
    <row r="74" customFormat="false" ht="15" hidden="false" customHeight="false" outlineLevel="0" collapsed="false">
      <c r="A74" s="4"/>
      <c r="B74" s="4"/>
      <c r="C74" s="4"/>
      <c r="D74" s="5"/>
      <c r="E74" s="5"/>
      <c r="F74" s="6"/>
      <c r="G74" s="4"/>
      <c r="H74" s="4"/>
      <c r="I74" s="4"/>
      <c r="J74" s="6"/>
      <c r="K74" s="7" t="str">
        <f aca="false">IF(OR(I74="",J74=""),"",I74*J74)</f>
        <v/>
      </c>
      <c r="L74" s="4"/>
      <c r="M74" s="8"/>
      <c r="N74" s="7" t="str">
        <f aca="false">IF(OR(L74="",M74="",K74=""),"",IF(L74="GANANCIA",(K74-F74)*M74,IF(L74="BRUTO",K74*M74,"")))</f>
        <v/>
      </c>
      <c r="O74" s="9" t="str">
        <f aca="false">IF(D74="","",D74)</f>
        <v/>
      </c>
      <c r="P74" s="10" t="str">
        <f aca="false">IF(I74="","",IF(COUNTIF(Q74:AN74,TRUE())&gt;=I74,"PAGADO",IF(COUNTIF(Q74:AN74,TRUE())&gt;0,"PARCIAL","VIGENTE")))</f>
        <v/>
      </c>
      <c r="Q74" s="11" t="str">
        <f aca="false">IF(OR(I74="",I74&lt;1,O74=""),"",O74+0)</f>
        <v/>
      </c>
      <c r="R74" s="11" t="str">
        <f aca="false">IF(OR(I74="",I74&lt;2,O74=""),"",O74+30)</f>
        <v/>
      </c>
      <c r="S74" s="11" t="str">
        <f aca="false">IF(OR(I74="",I74&lt;3,O74=""),"",O74+60)</f>
        <v/>
      </c>
      <c r="T74" s="11" t="str">
        <f aca="false">IF(OR(I74="",I74&lt;4,O74=""),"",O74+90)</f>
        <v/>
      </c>
      <c r="U74" s="11" t="str">
        <f aca="false">IF(OR(I74="",I74&lt;5,O74=""),"",O74+120)</f>
        <v/>
      </c>
      <c r="V74" s="11" t="str">
        <f aca="false">IF(OR(I74="",I74&lt;6,O74=""),"",O74+150)</f>
        <v/>
      </c>
      <c r="W74" s="11" t="str">
        <f aca="false">IF(OR(I74="",I74&lt;7,O74=""),"",O74+180)</f>
        <v/>
      </c>
      <c r="X74" s="11" t="str">
        <f aca="false">IF(OR(I74="",I74&lt;8,O74=""),"",O74+210)</f>
        <v/>
      </c>
      <c r="Y74" s="11" t="str">
        <f aca="false">IF(OR(I74="",I74&lt;9,O74=""),"",O74+240)</f>
        <v/>
      </c>
      <c r="Z74" s="11" t="str">
        <f aca="false">IF(OR(I74="",I74&lt;10,O74=""),"",O74+270)</f>
        <v/>
      </c>
      <c r="AA74" s="11" t="str">
        <f aca="false">IF(OR(I74="",I74&lt;11,O74=""),"",O74+300)</f>
        <v/>
      </c>
      <c r="AB74" s="11" t="str">
        <f aca="false">IF(OR(I74="",I74&lt;12,O74=""),"",O74+330)</f>
        <v/>
      </c>
      <c r="AC74" s="11" t="str">
        <f aca="false">IF(OR(I74="",I74&lt;13,O74=""),"",O74+360)</f>
        <v/>
      </c>
      <c r="AD74" s="11" t="str">
        <f aca="false">IF(OR(I74="",I74&lt;14,O74=""),"",O74+390)</f>
        <v/>
      </c>
      <c r="AE74" s="11" t="str">
        <f aca="false">IF(OR(I74="",I74&lt;15,O74=""),"",O74+420)</f>
        <v/>
      </c>
      <c r="AF74" s="11" t="str">
        <f aca="false">IF(OR(I74="",I74&lt;16,O74=""),"",O74+450)</f>
        <v/>
      </c>
      <c r="AG74" s="11" t="str">
        <f aca="false">IF(OR(I74="",I74&lt;17,O74=""),"",O74+480)</f>
        <v/>
      </c>
      <c r="AH74" s="11" t="str">
        <f aca="false">IF(OR(I74="",I74&lt;18,O74=""),"",O74+510)</f>
        <v/>
      </c>
      <c r="AI74" s="11" t="str">
        <f aca="false">IF(OR(I74="",I74&lt;19,O74=""),"",O74+540)</f>
        <v/>
      </c>
      <c r="AJ74" s="11" t="str">
        <f aca="false">IF(OR(I74="",I74&lt;20,O74=""),"",O74+570)</f>
        <v/>
      </c>
      <c r="AK74" s="11" t="str">
        <f aca="false">IF(OR(I74="",I74&lt;21,O74=""),"",O74+600)</f>
        <v/>
      </c>
      <c r="AL74" s="11" t="str">
        <f aca="false">IF(OR(I74="",I74&lt;22,O74=""),"",O74+630)</f>
        <v/>
      </c>
      <c r="AM74" s="11" t="str">
        <f aca="false">IF(OR(I74="",I74&lt;23,O74=""),"",O74+660)</f>
        <v/>
      </c>
      <c r="AN74" s="11" t="str">
        <f aca="false">IF(OR(I74="",I74&lt;24,O74=""),"",O74+690)</f>
        <v/>
      </c>
      <c r="AO74" s="7" t="str">
        <f aca="false">IF(J74="","",COUNTIF(Q74:AN74,TRUE())*J74)</f>
        <v/>
      </c>
      <c r="AP74" s="7" t="str">
        <f aca="false">IF(K74="","",K74-AO74)</f>
        <v/>
      </c>
      <c r="AQ74" s="7" t="str">
        <f aca="false">IF(K74="","",K74-F74-IF(N74="",0,N74))</f>
        <v/>
      </c>
    </row>
    <row r="75" customFormat="false" ht="15" hidden="false" customHeight="false" outlineLevel="0" collapsed="false">
      <c r="A75" s="12"/>
      <c r="B75" s="12"/>
      <c r="C75" s="12"/>
      <c r="D75" s="13"/>
      <c r="E75" s="13"/>
      <c r="F75" s="14"/>
      <c r="G75" s="12"/>
      <c r="H75" s="12"/>
      <c r="I75" s="12"/>
      <c r="J75" s="14"/>
      <c r="K75" s="15" t="str">
        <f aca="false">IF(OR(I75="",J75=""),"",I75*J75)</f>
        <v/>
      </c>
      <c r="L75" s="12"/>
      <c r="M75" s="16"/>
      <c r="N75" s="15" t="str">
        <f aca="false">IF(OR(L75="",M75="",K75=""),"",IF(L75="GANANCIA",(K75-F75)*M75,IF(L75="BRUTO",K75*M75,"")))</f>
        <v/>
      </c>
      <c r="O75" s="17" t="str">
        <f aca="false">IF(D75="","",D75)</f>
        <v/>
      </c>
      <c r="P75" s="18" t="str">
        <f aca="false">IF(I75="","",IF(COUNTIF(Q75:AN75,TRUE())&gt;=I75,"PAGADO",IF(COUNTIF(Q75:AN75,TRUE())&gt;0,"PARCIAL","VIGENTE")))</f>
        <v/>
      </c>
      <c r="Q75" s="19" t="str">
        <f aca="false">IF(OR(I75="",I75&lt;1,O75=""),"",O75+0)</f>
        <v/>
      </c>
      <c r="R75" s="19" t="str">
        <f aca="false">IF(OR(I75="",I75&lt;2,O75=""),"",O75+30)</f>
        <v/>
      </c>
      <c r="S75" s="19" t="str">
        <f aca="false">IF(OR(I75="",I75&lt;3,O75=""),"",O75+60)</f>
        <v/>
      </c>
      <c r="T75" s="19" t="str">
        <f aca="false">IF(OR(I75="",I75&lt;4,O75=""),"",O75+90)</f>
        <v/>
      </c>
      <c r="U75" s="19" t="str">
        <f aca="false">IF(OR(I75="",I75&lt;5,O75=""),"",O75+120)</f>
        <v/>
      </c>
      <c r="V75" s="19" t="str">
        <f aca="false">IF(OR(I75="",I75&lt;6,O75=""),"",O75+150)</f>
        <v/>
      </c>
      <c r="W75" s="19" t="str">
        <f aca="false">IF(OR(I75="",I75&lt;7,O75=""),"",O75+180)</f>
        <v/>
      </c>
      <c r="X75" s="19" t="str">
        <f aca="false">IF(OR(I75="",I75&lt;8,O75=""),"",O75+210)</f>
        <v/>
      </c>
      <c r="Y75" s="19" t="str">
        <f aca="false">IF(OR(I75="",I75&lt;9,O75=""),"",O75+240)</f>
        <v/>
      </c>
      <c r="Z75" s="19" t="str">
        <f aca="false">IF(OR(I75="",I75&lt;10,O75=""),"",O75+270)</f>
        <v/>
      </c>
      <c r="AA75" s="19" t="str">
        <f aca="false">IF(OR(I75="",I75&lt;11,O75=""),"",O75+300)</f>
        <v/>
      </c>
      <c r="AB75" s="19" t="str">
        <f aca="false">IF(OR(I75="",I75&lt;12,O75=""),"",O75+330)</f>
        <v/>
      </c>
      <c r="AC75" s="19" t="str">
        <f aca="false">IF(OR(I75="",I75&lt;13,O75=""),"",O75+360)</f>
        <v/>
      </c>
      <c r="AD75" s="19" t="str">
        <f aca="false">IF(OR(I75="",I75&lt;14,O75=""),"",O75+390)</f>
        <v/>
      </c>
      <c r="AE75" s="19" t="str">
        <f aca="false">IF(OR(I75="",I75&lt;15,O75=""),"",O75+420)</f>
        <v/>
      </c>
      <c r="AF75" s="19" t="str">
        <f aca="false">IF(OR(I75="",I75&lt;16,O75=""),"",O75+450)</f>
        <v/>
      </c>
      <c r="AG75" s="19" t="str">
        <f aca="false">IF(OR(I75="",I75&lt;17,O75=""),"",O75+480)</f>
        <v/>
      </c>
      <c r="AH75" s="19" t="str">
        <f aca="false">IF(OR(I75="",I75&lt;18,O75=""),"",O75+510)</f>
        <v/>
      </c>
      <c r="AI75" s="19" t="str">
        <f aca="false">IF(OR(I75="",I75&lt;19,O75=""),"",O75+540)</f>
        <v/>
      </c>
      <c r="AJ75" s="19" t="str">
        <f aca="false">IF(OR(I75="",I75&lt;20,O75=""),"",O75+570)</f>
        <v/>
      </c>
      <c r="AK75" s="19" t="str">
        <f aca="false">IF(OR(I75="",I75&lt;21,O75=""),"",O75+600)</f>
        <v/>
      </c>
      <c r="AL75" s="19" t="str">
        <f aca="false">IF(OR(I75="",I75&lt;22,O75=""),"",O75+630)</f>
        <v/>
      </c>
      <c r="AM75" s="19" t="str">
        <f aca="false">IF(OR(I75="",I75&lt;23,O75=""),"",O75+660)</f>
        <v/>
      </c>
      <c r="AN75" s="19" t="str">
        <f aca="false">IF(OR(I75="",I75&lt;24,O75=""),"",O75+690)</f>
        <v/>
      </c>
      <c r="AO75" s="15" t="str">
        <f aca="false">IF(J75="","",COUNTIF(Q75:AN75,TRUE())*J75)</f>
        <v/>
      </c>
      <c r="AP75" s="15" t="str">
        <f aca="false">IF(K75="","",K75-AO75)</f>
        <v/>
      </c>
      <c r="AQ75" s="15" t="str">
        <f aca="false">IF(K75="","",K75-F75-IF(N75="",0,N75))</f>
        <v/>
      </c>
    </row>
    <row r="76" customFormat="false" ht="15" hidden="false" customHeight="false" outlineLevel="0" collapsed="false">
      <c r="A76" s="4"/>
      <c r="B76" s="4"/>
      <c r="C76" s="4"/>
      <c r="D76" s="5"/>
      <c r="E76" s="5"/>
      <c r="F76" s="6"/>
      <c r="G76" s="4"/>
      <c r="H76" s="4"/>
      <c r="I76" s="4"/>
      <c r="J76" s="6"/>
      <c r="K76" s="7" t="str">
        <f aca="false">IF(OR(I76="",J76=""),"",I76*J76)</f>
        <v/>
      </c>
      <c r="L76" s="4"/>
      <c r="M76" s="8"/>
      <c r="N76" s="7" t="str">
        <f aca="false">IF(OR(L76="",M76="",K76=""),"",IF(L76="GANANCIA",(K76-F76)*M76,IF(L76="BRUTO",K76*M76,"")))</f>
        <v/>
      </c>
      <c r="O76" s="9" t="str">
        <f aca="false">IF(D76="","",D76)</f>
        <v/>
      </c>
      <c r="P76" s="10" t="str">
        <f aca="false">IF(I76="","",IF(COUNTIF(Q76:AN76,TRUE())&gt;=I76,"PAGADO",IF(COUNTIF(Q76:AN76,TRUE())&gt;0,"PARCIAL","VIGENTE")))</f>
        <v/>
      </c>
      <c r="Q76" s="11" t="str">
        <f aca="false">IF(OR(I76="",I76&lt;1,O76=""),"",O76+0)</f>
        <v/>
      </c>
      <c r="R76" s="11" t="str">
        <f aca="false">IF(OR(I76="",I76&lt;2,O76=""),"",O76+30)</f>
        <v/>
      </c>
      <c r="S76" s="11" t="str">
        <f aca="false">IF(OR(I76="",I76&lt;3,O76=""),"",O76+60)</f>
        <v/>
      </c>
      <c r="T76" s="11" t="str">
        <f aca="false">IF(OR(I76="",I76&lt;4,O76=""),"",O76+90)</f>
        <v/>
      </c>
      <c r="U76" s="11" t="str">
        <f aca="false">IF(OR(I76="",I76&lt;5,O76=""),"",O76+120)</f>
        <v/>
      </c>
      <c r="V76" s="11" t="str">
        <f aca="false">IF(OR(I76="",I76&lt;6,O76=""),"",O76+150)</f>
        <v/>
      </c>
      <c r="W76" s="11" t="str">
        <f aca="false">IF(OR(I76="",I76&lt;7,O76=""),"",O76+180)</f>
        <v/>
      </c>
      <c r="X76" s="11" t="str">
        <f aca="false">IF(OR(I76="",I76&lt;8,O76=""),"",O76+210)</f>
        <v/>
      </c>
      <c r="Y76" s="11" t="str">
        <f aca="false">IF(OR(I76="",I76&lt;9,O76=""),"",O76+240)</f>
        <v/>
      </c>
      <c r="Z76" s="11" t="str">
        <f aca="false">IF(OR(I76="",I76&lt;10,O76=""),"",O76+270)</f>
        <v/>
      </c>
      <c r="AA76" s="11" t="str">
        <f aca="false">IF(OR(I76="",I76&lt;11,O76=""),"",O76+300)</f>
        <v/>
      </c>
      <c r="AB76" s="11" t="str">
        <f aca="false">IF(OR(I76="",I76&lt;12,O76=""),"",O76+330)</f>
        <v/>
      </c>
      <c r="AC76" s="11" t="str">
        <f aca="false">IF(OR(I76="",I76&lt;13,O76=""),"",O76+360)</f>
        <v/>
      </c>
      <c r="AD76" s="11" t="str">
        <f aca="false">IF(OR(I76="",I76&lt;14,O76=""),"",O76+390)</f>
        <v/>
      </c>
      <c r="AE76" s="11" t="str">
        <f aca="false">IF(OR(I76="",I76&lt;15,O76=""),"",O76+420)</f>
        <v/>
      </c>
      <c r="AF76" s="11" t="str">
        <f aca="false">IF(OR(I76="",I76&lt;16,O76=""),"",O76+450)</f>
        <v/>
      </c>
      <c r="AG76" s="11" t="str">
        <f aca="false">IF(OR(I76="",I76&lt;17,O76=""),"",O76+480)</f>
        <v/>
      </c>
      <c r="AH76" s="11" t="str">
        <f aca="false">IF(OR(I76="",I76&lt;18,O76=""),"",O76+510)</f>
        <v/>
      </c>
      <c r="AI76" s="11" t="str">
        <f aca="false">IF(OR(I76="",I76&lt;19,O76=""),"",O76+540)</f>
        <v/>
      </c>
      <c r="AJ76" s="11" t="str">
        <f aca="false">IF(OR(I76="",I76&lt;20,O76=""),"",O76+570)</f>
        <v/>
      </c>
      <c r="AK76" s="11" t="str">
        <f aca="false">IF(OR(I76="",I76&lt;21,O76=""),"",O76+600)</f>
        <v/>
      </c>
      <c r="AL76" s="11" t="str">
        <f aca="false">IF(OR(I76="",I76&lt;22,O76=""),"",O76+630)</f>
        <v/>
      </c>
      <c r="AM76" s="11" t="str">
        <f aca="false">IF(OR(I76="",I76&lt;23,O76=""),"",O76+660)</f>
        <v/>
      </c>
      <c r="AN76" s="11" t="str">
        <f aca="false">IF(OR(I76="",I76&lt;24,O76=""),"",O76+690)</f>
        <v/>
      </c>
      <c r="AO76" s="7" t="str">
        <f aca="false">IF(J76="","",COUNTIF(Q76:AN76,TRUE())*J76)</f>
        <v/>
      </c>
      <c r="AP76" s="7" t="str">
        <f aca="false">IF(K76="","",K76-AO76)</f>
        <v/>
      </c>
      <c r="AQ76" s="7" t="str">
        <f aca="false">IF(K76="","",K76-F76-IF(N76="",0,N76))</f>
        <v/>
      </c>
    </row>
    <row r="77" customFormat="false" ht="15" hidden="false" customHeight="false" outlineLevel="0" collapsed="false">
      <c r="A77" s="12"/>
      <c r="B77" s="12"/>
      <c r="C77" s="12"/>
      <c r="D77" s="13"/>
      <c r="E77" s="13"/>
      <c r="F77" s="14"/>
      <c r="G77" s="12"/>
      <c r="H77" s="12"/>
      <c r="I77" s="12"/>
      <c r="J77" s="14"/>
      <c r="K77" s="15" t="str">
        <f aca="false">IF(OR(I77="",J77=""),"",I77*J77)</f>
        <v/>
      </c>
      <c r="L77" s="12"/>
      <c r="M77" s="16"/>
      <c r="N77" s="15" t="str">
        <f aca="false">IF(OR(L77="",M77="",K77=""),"",IF(L77="GANANCIA",(K77-F77)*M77,IF(L77="BRUTO",K77*M77,"")))</f>
        <v/>
      </c>
      <c r="O77" s="17" t="str">
        <f aca="false">IF(D77="","",D77)</f>
        <v/>
      </c>
      <c r="P77" s="18" t="str">
        <f aca="false">IF(I77="","",IF(COUNTIF(Q77:AN77,TRUE())&gt;=I77,"PAGADO",IF(COUNTIF(Q77:AN77,TRUE())&gt;0,"PARCIAL","VIGENTE")))</f>
        <v/>
      </c>
      <c r="Q77" s="19" t="str">
        <f aca="false">IF(OR(I77="",I77&lt;1,O77=""),"",O77+0)</f>
        <v/>
      </c>
      <c r="R77" s="19" t="str">
        <f aca="false">IF(OR(I77="",I77&lt;2,O77=""),"",O77+30)</f>
        <v/>
      </c>
      <c r="S77" s="19" t="str">
        <f aca="false">IF(OR(I77="",I77&lt;3,O77=""),"",O77+60)</f>
        <v/>
      </c>
      <c r="T77" s="19" t="str">
        <f aca="false">IF(OR(I77="",I77&lt;4,O77=""),"",O77+90)</f>
        <v/>
      </c>
      <c r="U77" s="19" t="str">
        <f aca="false">IF(OR(I77="",I77&lt;5,O77=""),"",O77+120)</f>
        <v/>
      </c>
      <c r="V77" s="19" t="str">
        <f aca="false">IF(OR(I77="",I77&lt;6,O77=""),"",O77+150)</f>
        <v/>
      </c>
      <c r="W77" s="19" t="str">
        <f aca="false">IF(OR(I77="",I77&lt;7,O77=""),"",O77+180)</f>
        <v/>
      </c>
      <c r="X77" s="19" t="str">
        <f aca="false">IF(OR(I77="",I77&lt;8,O77=""),"",O77+210)</f>
        <v/>
      </c>
      <c r="Y77" s="19" t="str">
        <f aca="false">IF(OR(I77="",I77&lt;9,O77=""),"",O77+240)</f>
        <v/>
      </c>
      <c r="Z77" s="19" t="str">
        <f aca="false">IF(OR(I77="",I77&lt;10,O77=""),"",O77+270)</f>
        <v/>
      </c>
      <c r="AA77" s="19" t="str">
        <f aca="false">IF(OR(I77="",I77&lt;11,O77=""),"",O77+300)</f>
        <v/>
      </c>
      <c r="AB77" s="19" t="str">
        <f aca="false">IF(OR(I77="",I77&lt;12,O77=""),"",O77+330)</f>
        <v/>
      </c>
      <c r="AC77" s="19" t="str">
        <f aca="false">IF(OR(I77="",I77&lt;13,O77=""),"",O77+360)</f>
        <v/>
      </c>
      <c r="AD77" s="19" t="str">
        <f aca="false">IF(OR(I77="",I77&lt;14,O77=""),"",O77+390)</f>
        <v/>
      </c>
      <c r="AE77" s="19" t="str">
        <f aca="false">IF(OR(I77="",I77&lt;15,O77=""),"",O77+420)</f>
        <v/>
      </c>
      <c r="AF77" s="19" t="str">
        <f aca="false">IF(OR(I77="",I77&lt;16,O77=""),"",O77+450)</f>
        <v/>
      </c>
      <c r="AG77" s="19" t="str">
        <f aca="false">IF(OR(I77="",I77&lt;17,O77=""),"",O77+480)</f>
        <v/>
      </c>
      <c r="AH77" s="19" t="str">
        <f aca="false">IF(OR(I77="",I77&lt;18,O77=""),"",O77+510)</f>
        <v/>
      </c>
      <c r="AI77" s="19" t="str">
        <f aca="false">IF(OR(I77="",I77&lt;19,O77=""),"",O77+540)</f>
        <v/>
      </c>
      <c r="AJ77" s="19" t="str">
        <f aca="false">IF(OR(I77="",I77&lt;20,O77=""),"",O77+570)</f>
        <v/>
      </c>
      <c r="AK77" s="19" t="str">
        <f aca="false">IF(OR(I77="",I77&lt;21,O77=""),"",O77+600)</f>
        <v/>
      </c>
      <c r="AL77" s="19" t="str">
        <f aca="false">IF(OR(I77="",I77&lt;22,O77=""),"",O77+630)</f>
        <v/>
      </c>
      <c r="AM77" s="19" t="str">
        <f aca="false">IF(OR(I77="",I77&lt;23,O77=""),"",O77+660)</f>
        <v/>
      </c>
      <c r="AN77" s="19" t="str">
        <f aca="false">IF(OR(I77="",I77&lt;24,O77=""),"",O77+690)</f>
        <v/>
      </c>
      <c r="AO77" s="15" t="str">
        <f aca="false">IF(J77="","",COUNTIF(Q77:AN77,TRUE())*J77)</f>
        <v/>
      </c>
      <c r="AP77" s="15" t="str">
        <f aca="false">IF(K77="","",K77-AO77)</f>
        <v/>
      </c>
      <c r="AQ77" s="15" t="str">
        <f aca="false">IF(K77="","",K77-F77-IF(N77="",0,N77))</f>
        <v/>
      </c>
    </row>
    <row r="78" customFormat="false" ht="15" hidden="false" customHeight="false" outlineLevel="0" collapsed="false">
      <c r="A78" s="4"/>
      <c r="B78" s="4"/>
      <c r="C78" s="4"/>
      <c r="D78" s="5"/>
      <c r="E78" s="5"/>
      <c r="F78" s="6"/>
      <c r="G78" s="4"/>
      <c r="H78" s="4"/>
      <c r="I78" s="4"/>
      <c r="J78" s="6"/>
      <c r="K78" s="7" t="str">
        <f aca="false">IF(OR(I78="",J78=""),"",I78*J78)</f>
        <v/>
      </c>
      <c r="L78" s="4"/>
      <c r="M78" s="8"/>
      <c r="N78" s="7" t="str">
        <f aca="false">IF(OR(L78="",M78="",K78=""),"",IF(L78="GANANCIA",(K78-F78)*M78,IF(L78="BRUTO",K78*M78,"")))</f>
        <v/>
      </c>
      <c r="O78" s="9" t="str">
        <f aca="false">IF(D78="","",D78)</f>
        <v/>
      </c>
      <c r="P78" s="10" t="str">
        <f aca="false">IF(I78="","",IF(COUNTIF(Q78:AN78,TRUE())&gt;=I78,"PAGADO",IF(COUNTIF(Q78:AN78,TRUE())&gt;0,"PARCIAL","VIGENTE")))</f>
        <v/>
      </c>
      <c r="Q78" s="11" t="str">
        <f aca="false">IF(OR(I78="",I78&lt;1,O78=""),"",O78+0)</f>
        <v/>
      </c>
      <c r="R78" s="11" t="str">
        <f aca="false">IF(OR(I78="",I78&lt;2,O78=""),"",O78+30)</f>
        <v/>
      </c>
      <c r="S78" s="11" t="str">
        <f aca="false">IF(OR(I78="",I78&lt;3,O78=""),"",O78+60)</f>
        <v/>
      </c>
      <c r="T78" s="11" t="str">
        <f aca="false">IF(OR(I78="",I78&lt;4,O78=""),"",O78+90)</f>
        <v/>
      </c>
      <c r="U78" s="11" t="str">
        <f aca="false">IF(OR(I78="",I78&lt;5,O78=""),"",O78+120)</f>
        <v/>
      </c>
      <c r="V78" s="11" t="str">
        <f aca="false">IF(OR(I78="",I78&lt;6,O78=""),"",O78+150)</f>
        <v/>
      </c>
      <c r="W78" s="11" t="str">
        <f aca="false">IF(OR(I78="",I78&lt;7,O78=""),"",O78+180)</f>
        <v/>
      </c>
      <c r="X78" s="11" t="str">
        <f aca="false">IF(OR(I78="",I78&lt;8,O78=""),"",O78+210)</f>
        <v/>
      </c>
      <c r="Y78" s="11" t="str">
        <f aca="false">IF(OR(I78="",I78&lt;9,O78=""),"",O78+240)</f>
        <v/>
      </c>
      <c r="Z78" s="11" t="str">
        <f aca="false">IF(OR(I78="",I78&lt;10,O78=""),"",O78+270)</f>
        <v/>
      </c>
      <c r="AA78" s="11" t="str">
        <f aca="false">IF(OR(I78="",I78&lt;11,O78=""),"",O78+300)</f>
        <v/>
      </c>
      <c r="AB78" s="11" t="str">
        <f aca="false">IF(OR(I78="",I78&lt;12,O78=""),"",O78+330)</f>
        <v/>
      </c>
      <c r="AC78" s="11" t="str">
        <f aca="false">IF(OR(I78="",I78&lt;13,O78=""),"",O78+360)</f>
        <v/>
      </c>
      <c r="AD78" s="11" t="str">
        <f aca="false">IF(OR(I78="",I78&lt;14,O78=""),"",O78+390)</f>
        <v/>
      </c>
      <c r="AE78" s="11" t="str">
        <f aca="false">IF(OR(I78="",I78&lt;15,O78=""),"",O78+420)</f>
        <v/>
      </c>
      <c r="AF78" s="11" t="str">
        <f aca="false">IF(OR(I78="",I78&lt;16,O78=""),"",O78+450)</f>
        <v/>
      </c>
      <c r="AG78" s="11" t="str">
        <f aca="false">IF(OR(I78="",I78&lt;17,O78=""),"",O78+480)</f>
        <v/>
      </c>
      <c r="AH78" s="11" t="str">
        <f aca="false">IF(OR(I78="",I78&lt;18,O78=""),"",O78+510)</f>
        <v/>
      </c>
      <c r="AI78" s="11" t="str">
        <f aca="false">IF(OR(I78="",I78&lt;19,O78=""),"",O78+540)</f>
        <v/>
      </c>
      <c r="AJ78" s="11" t="str">
        <f aca="false">IF(OR(I78="",I78&lt;20,O78=""),"",O78+570)</f>
        <v/>
      </c>
      <c r="AK78" s="11" t="str">
        <f aca="false">IF(OR(I78="",I78&lt;21,O78=""),"",O78+600)</f>
        <v/>
      </c>
      <c r="AL78" s="11" t="str">
        <f aca="false">IF(OR(I78="",I78&lt;22,O78=""),"",O78+630)</f>
        <v/>
      </c>
      <c r="AM78" s="11" t="str">
        <f aca="false">IF(OR(I78="",I78&lt;23,O78=""),"",O78+660)</f>
        <v/>
      </c>
      <c r="AN78" s="11" t="str">
        <f aca="false">IF(OR(I78="",I78&lt;24,O78=""),"",O78+690)</f>
        <v/>
      </c>
      <c r="AO78" s="7" t="str">
        <f aca="false">IF(J78="","",COUNTIF(Q78:AN78,TRUE())*J78)</f>
        <v/>
      </c>
      <c r="AP78" s="7" t="str">
        <f aca="false">IF(K78="","",K78-AO78)</f>
        <v/>
      </c>
      <c r="AQ78" s="7" t="str">
        <f aca="false">IF(K78="","",K78-F78-IF(N78="",0,N78))</f>
        <v/>
      </c>
    </row>
    <row r="79" customFormat="false" ht="15" hidden="false" customHeight="false" outlineLevel="0" collapsed="false">
      <c r="A79" s="12"/>
      <c r="B79" s="12"/>
      <c r="C79" s="12"/>
      <c r="D79" s="13"/>
      <c r="E79" s="13"/>
      <c r="F79" s="14"/>
      <c r="G79" s="12"/>
      <c r="H79" s="12"/>
      <c r="I79" s="12"/>
      <c r="J79" s="14"/>
      <c r="K79" s="15" t="str">
        <f aca="false">IF(OR(I79="",J79=""),"",I79*J79)</f>
        <v/>
      </c>
      <c r="L79" s="12"/>
      <c r="M79" s="16"/>
      <c r="N79" s="15" t="str">
        <f aca="false">IF(OR(L79="",M79="",K79=""),"",IF(L79="GANANCIA",(K79-F79)*M79,IF(L79="BRUTO",K79*M79,"")))</f>
        <v/>
      </c>
      <c r="O79" s="17" t="str">
        <f aca="false">IF(D79="","",D79)</f>
        <v/>
      </c>
      <c r="P79" s="18" t="str">
        <f aca="false">IF(I79="","",IF(COUNTIF(Q79:AN79,TRUE())&gt;=I79,"PAGADO",IF(COUNTIF(Q79:AN79,TRUE())&gt;0,"PARCIAL","VIGENTE")))</f>
        <v/>
      </c>
      <c r="Q79" s="19" t="str">
        <f aca="false">IF(OR(I79="",I79&lt;1,O79=""),"",O79+0)</f>
        <v/>
      </c>
      <c r="R79" s="19" t="str">
        <f aca="false">IF(OR(I79="",I79&lt;2,O79=""),"",O79+30)</f>
        <v/>
      </c>
      <c r="S79" s="19" t="str">
        <f aca="false">IF(OR(I79="",I79&lt;3,O79=""),"",O79+60)</f>
        <v/>
      </c>
      <c r="T79" s="19" t="str">
        <f aca="false">IF(OR(I79="",I79&lt;4,O79=""),"",O79+90)</f>
        <v/>
      </c>
      <c r="U79" s="19" t="str">
        <f aca="false">IF(OR(I79="",I79&lt;5,O79=""),"",O79+120)</f>
        <v/>
      </c>
      <c r="V79" s="19" t="str">
        <f aca="false">IF(OR(I79="",I79&lt;6,O79=""),"",O79+150)</f>
        <v/>
      </c>
      <c r="W79" s="19" t="str">
        <f aca="false">IF(OR(I79="",I79&lt;7,O79=""),"",O79+180)</f>
        <v/>
      </c>
      <c r="X79" s="19" t="str">
        <f aca="false">IF(OR(I79="",I79&lt;8,O79=""),"",O79+210)</f>
        <v/>
      </c>
      <c r="Y79" s="19" t="str">
        <f aca="false">IF(OR(I79="",I79&lt;9,O79=""),"",O79+240)</f>
        <v/>
      </c>
      <c r="Z79" s="19" t="str">
        <f aca="false">IF(OR(I79="",I79&lt;10,O79=""),"",O79+270)</f>
        <v/>
      </c>
      <c r="AA79" s="19" t="str">
        <f aca="false">IF(OR(I79="",I79&lt;11,O79=""),"",O79+300)</f>
        <v/>
      </c>
      <c r="AB79" s="19" t="str">
        <f aca="false">IF(OR(I79="",I79&lt;12,O79=""),"",O79+330)</f>
        <v/>
      </c>
      <c r="AC79" s="19" t="str">
        <f aca="false">IF(OR(I79="",I79&lt;13,O79=""),"",O79+360)</f>
        <v/>
      </c>
      <c r="AD79" s="19" t="str">
        <f aca="false">IF(OR(I79="",I79&lt;14,O79=""),"",O79+390)</f>
        <v/>
      </c>
      <c r="AE79" s="19" t="str">
        <f aca="false">IF(OR(I79="",I79&lt;15,O79=""),"",O79+420)</f>
        <v/>
      </c>
      <c r="AF79" s="19" t="str">
        <f aca="false">IF(OR(I79="",I79&lt;16,O79=""),"",O79+450)</f>
        <v/>
      </c>
      <c r="AG79" s="19" t="str">
        <f aca="false">IF(OR(I79="",I79&lt;17,O79=""),"",O79+480)</f>
        <v/>
      </c>
      <c r="AH79" s="19" t="str">
        <f aca="false">IF(OR(I79="",I79&lt;18,O79=""),"",O79+510)</f>
        <v/>
      </c>
      <c r="AI79" s="19" t="str">
        <f aca="false">IF(OR(I79="",I79&lt;19,O79=""),"",O79+540)</f>
        <v/>
      </c>
      <c r="AJ79" s="19" t="str">
        <f aca="false">IF(OR(I79="",I79&lt;20,O79=""),"",O79+570)</f>
        <v/>
      </c>
      <c r="AK79" s="19" t="str">
        <f aca="false">IF(OR(I79="",I79&lt;21,O79=""),"",O79+600)</f>
        <v/>
      </c>
      <c r="AL79" s="19" t="str">
        <f aca="false">IF(OR(I79="",I79&lt;22,O79=""),"",O79+630)</f>
        <v/>
      </c>
      <c r="AM79" s="19" t="str">
        <f aca="false">IF(OR(I79="",I79&lt;23,O79=""),"",O79+660)</f>
        <v/>
      </c>
      <c r="AN79" s="19" t="str">
        <f aca="false">IF(OR(I79="",I79&lt;24,O79=""),"",O79+690)</f>
        <v/>
      </c>
      <c r="AO79" s="15" t="str">
        <f aca="false">IF(J79="","",COUNTIF(Q79:AN79,TRUE())*J79)</f>
        <v/>
      </c>
      <c r="AP79" s="15" t="str">
        <f aca="false">IF(K79="","",K79-AO79)</f>
        <v/>
      </c>
      <c r="AQ79" s="15" t="str">
        <f aca="false">IF(K79="","",K79-F79-IF(N79="",0,N79))</f>
        <v/>
      </c>
    </row>
    <row r="80" customFormat="false" ht="15" hidden="false" customHeight="false" outlineLevel="0" collapsed="false">
      <c r="A80" s="4"/>
      <c r="B80" s="4"/>
      <c r="C80" s="4"/>
      <c r="D80" s="5"/>
      <c r="E80" s="5"/>
      <c r="F80" s="6"/>
      <c r="G80" s="4"/>
      <c r="H80" s="4"/>
      <c r="I80" s="4"/>
      <c r="J80" s="6"/>
      <c r="K80" s="7" t="str">
        <f aca="false">IF(OR(I80="",J80=""),"",I80*J80)</f>
        <v/>
      </c>
      <c r="L80" s="4"/>
      <c r="M80" s="8"/>
      <c r="N80" s="7" t="str">
        <f aca="false">IF(OR(L80="",M80="",K80=""),"",IF(L80="GANANCIA",(K80-F80)*M80,IF(L80="BRUTO",K80*M80,"")))</f>
        <v/>
      </c>
      <c r="O80" s="9" t="str">
        <f aca="false">IF(D80="","",D80)</f>
        <v/>
      </c>
      <c r="P80" s="10" t="str">
        <f aca="false">IF(I80="","",IF(COUNTIF(Q80:AN80,TRUE())&gt;=I80,"PAGADO",IF(COUNTIF(Q80:AN80,TRUE())&gt;0,"PARCIAL","VIGENTE")))</f>
        <v/>
      </c>
      <c r="Q80" s="11" t="str">
        <f aca="false">IF(OR(I80="",I80&lt;1,O80=""),"",O80+0)</f>
        <v/>
      </c>
      <c r="R80" s="11" t="str">
        <f aca="false">IF(OR(I80="",I80&lt;2,O80=""),"",O80+30)</f>
        <v/>
      </c>
      <c r="S80" s="11" t="str">
        <f aca="false">IF(OR(I80="",I80&lt;3,O80=""),"",O80+60)</f>
        <v/>
      </c>
      <c r="T80" s="11" t="str">
        <f aca="false">IF(OR(I80="",I80&lt;4,O80=""),"",O80+90)</f>
        <v/>
      </c>
      <c r="U80" s="11" t="str">
        <f aca="false">IF(OR(I80="",I80&lt;5,O80=""),"",O80+120)</f>
        <v/>
      </c>
      <c r="V80" s="11" t="str">
        <f aca="false">IF(OR(I80="",I80&lt;6,O80=""),"",O80+150)</f>
        <v/>
      </c>
      <c r="W80" s="11" t="str">
        <f aca="false">IF(OR(I80="",I80&lt;7,O80=""),"",O80+180)</f>
        <v/>
      </c>
      <c r="X80" s="11" t="str">
        <f aca="false">IF(OR(I80="",I80&lt;8,O80=""),"",O80+210)</f>
        <v/>
      </c>
      <c r="Y80" s="11" t="str">
        <f aca="false">IF(OR(I80="",I80&lt;9,O80=""),"",O80+240)</f>
        <v/>
      </c>
      <c r="Z80" s="11" t="str">
        <f aca="false">IF(OR(I80="",I80&lt;10,O80=""),"",O80+270)</f>
        <v/>
      </c>
      <c r="AA80" s="11" t="str">
        <f aca="false">IF(OR(I80="",I80&lt;11,O80=""),"",O80+300)</f>
        <v/>
      </c>
      <c r="AB80" s="11" t="str">
        <f aca="false">IF(OR(I80="",I80&lt;12,O80=""),"",O80+330)</f>
        <v/>
      </c>
      <c r="AC80" s="11" t="str">
        <f aca="false">IF(OR(I80="",I80&lt;13,O80=""),"",O80+360)</f>
        <v/>
      </c>
      <c r="AD80" s="11" t="str">
        <f aca="false">IF(OR(I80="",I80&lt;14,O80=""),"",O80+390)</f>
        <v/>
      </c>
      <c r="AE80" s="11" t="str">
        <f aca="false">IF(OR(I80="",I80&lt;15,O80=""),"",O80+420)</f>
        <v/>
      </c>
      <c r="AF80" s="11" t="str">
        <f aca="false">IF(OR(I80="",I80&lt;16,O80=""),"",O80+450)</f>
        <v/>
      </c>
      <c r="AG80" s="11" t="str">
        <f aca="false">IF(OR(I80="",I80&lt;17,O80=""),"",O80+480)</f>
        <v/>
      </c>
      <c r="AH80" s="11" t="str">
        <f aca="false">IF(OR(I80="",I80&lt;18,O80=""),"",O80+510)</f>
        <v/>
      </c>
      <c r="AI80" s="11" t="str">
        <f aca="false">IF(OR(I80="",I80&lt;19,O80=""),"",O80+540)</f>
        <v/>
      </c>
      <c r="AJ80" s="11" t="str">
        <f aca="false">IF(OR(I80="",I80&lt;20,O80=""),"",O80+570)</f>
        <v/>
      </c>
      <c r="AK80" s="11" t="str">
        <f aca="false">IF(OR(I80="",I80&lt;21,O80=""),"",O80+600)</f>
        <v/>
      </c>
      <c r="AL80" s="11" t="str">
        <f aca="false">IF(OR(I80="",I80&lt;22,O80=""),"",O80+630)</f>
        <v/>
      </c>
      <c r="AM80" s="11" t="str">
        <f aca="false">IF(OR(I80="",I80&lt;23,O80=""),"",O80+660)</f>
        <v/>
      </c>
      <c r="AN80" s="11" t="str">
        <f aca="false">IF(OR(I80="",I80&lt;24,O80=""),"",O80+690)</f>
        <v/>
      </c>
      <c r="AO80" s="7" t="str">
        <f aca="false">IF(J80="","",COUNTIF(Q80:AN80,TRUE())*J80)</f>
        <v/>
      </c>
      <c r="AP80" s="7" t="str">
        <f aca="false">IF(K80="","",K80-AO80)</f>
        <v/>
      </c>
      <c r="AQ80" s="7" t="str">
        <f aca="false">IF(K80="","",K80-F80-IF(N80="",0,N80))</f>
        <v/>
      </c>
    </row>
    <row r="81" customFormat="false" ht="15" hidden="false" customHeight="false" outlineLevel="0" collapsed="false">
      <c r="A81" s="12"/>
      <c r="B81" s="12"/>
      <c r="C81" s="12"/>
      <c r="D81" s="13"/>
      <c r="E81" s="13"/>
      <c r="F81" s="14"/>
      <c r="G81" s="12"/>
      <c r="H81" s="12"/>
      <c r="I81" s="12"/>
      <c r="J81" s="14"/>
      <c r="K81" s="15" t="str">
        <f aca="false">IF(OR(I81="",J81=""),"",I81*J81)</f>
        <v/>
      </c>
      <c r="L81" s="12"/>
      <c r="M81" s="16"/>
      <c r="N81" s="15" t="str">
        <f aca="false">IF(OR(L81="",M81="",K81=""),"",IF(L81="GANANCIA",(K81-F81)*M81,IF(L81="BRUTO",K81*M81,"")))</f>
        <v/>
      </c>
      <c r="O81" s="17" t="str">
        <f aca="false">IF(D81="","",D81)</f>
        <v/>
      </c>
      <c r="P81" s="18" t="str">
        <f aca="false">IF(I81="","",IF(COUNTIF(Q81:AN81,TRUE())&gt;=I81,"PAGADO",IF(COUNTIF(Q81:AN81,TRUE())&gt;0,"PARCIAL","VIGENTE")))</f>
        <v/>
      </c>
      <c r="Q81" s="19" t="str">
        <f aca="false">IF(OR(I81="",I81&lt;1,O81=""),"",O81+0)</f>
        <v/>
      </c>
      <c r="R81" s="19" t="str">
        <f aca="false">IF(OR(I81="",I81&lt;2,O81=""),"",O81+30)</f>
        <v/>
      </c>
      <c r="S81" s="19" t="str">
        <f aca="false">IF(OR(I81="",I81&lt;3,O81=""),"",O81+60)</f>
        <v/>
      </c>
      <c r="T81" s="19" t="str">
        <f aca="false">IF(OR(I81="",I81&lt;4,O81=""),"",O81+90)</f>
        <v/>
      </c>
      <c r="U81" s="19" t="str">
        <f aca="false">IF(OR(I81="",I81&lt;5,O81=""),"",O81+120)</f>
        <v/>
      </c>
      <c r="V81" s="19" t="str">
        <f aca="false">IF(OR(I81="",I81&lt;6,O81=""),"",O81+150)</f>
        <v/>
      </c>
      <c r="W81" s="19" t="str">
        <f aca="false">IF(OR(I81="",I81&lt;7,O81=""),"",O81+180)</f>
        <v/>
      </c>
      <c r="X81" s="19" t="str">
        <f aca="false">IF(OR(I81="",I81&lt;8,O81=""),"",O81+210)</f>
        <v/>
      </c>
      <c r="Y81" s="19" t="str">
        <f aca="false">IF(OR(I81="",I81&lt;9,O81=""),"",O81+240)</f>
        <v/>
      </c>
      <c r="Z81" s="19" t="str">
        <f aca="false">IF(OR(I81="",I81&lt;10,O81=""),"",O81+270)</f>
        <v/>
      </c>
      <c r="AA81" s="19" t="str">
        <f aca="false">IF(OR(I81="",I81&lt;11,O81=""),"",O81+300)</f>
        <v/>
      </c>
      <c r="AB81" s="19" t="str">
        <f aca="false">IF(OR(I81="",I81&lt;12,O81=""),"",O81+330)</f>
        <v/>
      </c>
      <c r="AC81" s="19" t="str">
        <f aca="false">IF(OR(I81="",I81&lt;13,O81=""),"",O81+360)</f>
        <v/>
      </c>
      <c r="AD81" s="19" t="str">
        <f aca="false">IF(OR(I81="",I81&lt;14,O81=""),"",O81+390)</f>
        <v/>
      </c>
      <c r="AE81" s="19" t="str">
        <f aca="false">IF(OR(I81="",I81&lt;15,O81=""),"",O81+420)</f>
        <v/>
      </c>
      <c r="AF81" s="19" t="str">
        <f aca="false">IF(OR(I81="",I81&lt;16,O81=""),"",O81+450)</f>
        <v/>
      </c>
      <c r="AG81" s="19" t="str">
        <f aca="false">IF(OR(I81="",I81&lt;17,O81=""),"",O81+480)</f>
        <v/>
      </c>
      <c r="AH81" s="19" t="str">
        <f aca="false">IF(OR(I81="",I81&lt;18,O81=""),"",O81+510)</f>
        <v/>
      </c>
      <c r="AI81" s="19" t="str">
        <f aca="false">IF(OR(I81="",I81&lt;19,O81=""),"",O81+540)</f>
        <v/>
      </c>
      <c r="AJ81" s="19" t="str">
        <f aca="false">IF(OR(I81="",I81&lt;20,O81=""),"",O81+570)</f>
        <v/>
      </c>
      <c r="AK81" s="19" t="str">
        <f aca="false">IF(OR(I81="",I81&lt;21,O81=""),"",O81+600)</f>
        <v/>
      </c>
      <c r="AL81" s="19" t="str">
        <f aca="false">IF(OR(I81="",I81&lt;22,O81=""),"",O81+630)</f>
        <v/>
      </c>
      <c r="AM81" s="19" t="str">
        <f aca="false">IF(OR(I81="",I81&lt;23,O81=""),"",O81+660)</f>
        <v/>
      </c>
      <c r="AN81" s="19" t="str">
        <f aca="false">IF(OR(I81="",I81&lt;24,O81=""),"",O81+690)</f>
        <v/>
      </c>
      <c r="AO81" s="15" t="str">
        <f aca="false">IF(J81="","",COUNTIF(Q81:AN81,TRUE())*J81)</f>
        <v/>
      </c>
      <c r="AP81" s="15" t="str">
        <f aca="false">IF(K81="","",K81-AO81)</f>
        <v/>
      </c>
      <c r="AQ81" s="15" t="str">
        <f aca="false">IF(K81="","",K81-F81-IF(N81="",0,N81))</f>
        <v/>
      </c>
    </row>
    <row r="82" customFormat="false" ht="15" hidden="false" customHeight="false" outlineLevel="0" collapsed="false">
      <c r="A82" s="4"/>
      <c r="B82" s="4"/>
      <c r="C82" s="4"/>
      <c r="D82" s="5"/>
      <c r="E82" s="5"/>
      <c r="F82" s="6"/>
      <c r="G82" s="4"/>
      <c r="H82" s="4"/>
      <c r="I82" s="4"/>
      <c r="J82" s="6"/>
      <c r="K82" s="7" t="str">
        <f aca="false">IF(OR(I82="",J82=""),"",I82*J82)</f>
        <v/>
      </c>
      <c r="L82" s="4"/>
      <c r="M82" s="8"/>
      <c r="N82" s="7" t="str">
        <f aca="false">IF(OR(L82="",M82="",K82=""),"",IF(L82="GANANCIA",(K82-F82)*M82,IF(L82="BRUTO",K82*M82,"")))</f>
        <v/>
      </c>
      <c r="O82" s="9" t="str">
        <f aca="false">IF(D82="","",D82)</f>
        <v/>
      </c>
      <c r="P82" s="10" t="str">
        <f aca="false">IF(I82="","",IF(COUNTIF(Q82:AN82,TRUE())&gt;=I82,"PAGADO",IF(COUNTIF(Q82:AN82,TRUE())&gt;0,"PARCIAL","VIGENTE")))</f>
        <v/>
      </c>
      <c r="Q82" s="11" t="str">
        <f aca="false">IF(OR(I82="",I82&lt;1,O82=""),"",O82+0)</f>
        <v/>
      </c>
      <c r="R82" s="11" t="str">
        <f aca="false">IF(OR(I82="",I82&lt;2,O82=""),"",O82+30)</f>
        <v/>
      </c>
      <c r="S82" s="11" t="str">
        <f aca="false">IF(OR(I82="",I82&lt;3,O82=""),"",O82+60)</f>
        <v/>
      </c>
      <c r="T82" s="11" t="str">
        <f aca="false">IF(OR(I82="",I82&lt;4,O82=""),"",O82+90)</f>
        <v/>
      </c>
      <c r="U82" s="11" t="str">
        <f aca="false">IF(OR(I82="",I82&lt;5,O82=""),"",O82+120)</f>
        <v/>
      </c>
      <c r="V82" s="11" t="str">
        <f aca="false">IF(OR(I82="",I82&lt;6,O82=""),"",O82+150)</f>
        <v/>
      </c>
      <c r="W82" s="11" t="str">
        <f aca="false">IF(OR(I82="",I82&lt;7,O82=""),"",O82+180)</f>
        <v/>
      </c>
      <c r="X82" s="11" t="str">
        <f aca="false">IF(OR(I82="",I82&lt;8,O82=""),"",O82+210)</f>
        <v/>
      </c>
      <c r="Y82" s="11" t="str">
        <f aca="false">IF(OR(I82="",I82&lt;9,O82=""),"",O82+240)</f>
        <v/>
      </c>
      <c r="Z82" s="11" t="str">
        <f aca="false">IF(OR(I82="",I82&lt;10,O82=""),"",O82+270)</f>
        <v/>
      </c>
      <c r="AA82" s="11" t="str">
        <f aca="false">IF(OR(I82="",I82&lt;11,O82=""),"",O82+300)</f>
        <v/>
      </c>
      <c r="AB82" s="11" t="str">
        <f aca="false">IF(OR(I82="",I82&lt;12,O82=""),"",O82+330)</f>
        <v/>
      </c>
      <c r="AC82" s="11" t="str">
        <f aca="false">IF(OR(I82="",I82&lt;13,O82=""),"",O82+360)</f>
        <v/>
      </c>
      <c r="AD82" s="11" t="str">
        <f aca="false">IF(OR(I82="",I82&lt;14,O82=""),"",O82+390)</f>
        <v/>
      </c>
      <c r="AE82" s="11" t="str">
        <f aca="false">IF(OR(I82="",I82&lt;15,O82=""),"",O82+420)</f>
        <v/>
      </c>
      <c r="AF82" s="11" t="str">
        <f aca="false">IF(OR(I82="",I82&lt;16,O82=""),"",O82+450)</f>
        <v/>
      </c>
      <c r="AG82" s="11" t="str">
        <f aca="false">IF(OR(I82="",I82&lt;17,O82=""),"",O82+480)</f>
        <v/>
      </c>
      <c r="AH82" s="11" t="str">
        <f aca="false">IF(OR(I82="",I82&lt;18,O82=""),"",O82+510)</f>
        <v/>
      </c>
      <c r="AI82" s="11" t="str">
        <f aca="false">IF(OR(I82="",I82&lt;19,O82=""),"",O82+540)</f>
        <v/>
      </c>
      <c r="AJ82" s="11" t="str">
        <f aca="false">IF(OR(I82="",I82&lt;20,O82=""),"",O82+570)</f>
        <v/>
      </c>
      <c r="AK82" s="11" t="str">
        <f aca="false">IF(OR(I82="",I82&lt;21,O82=""),"",O82+600)</f>
        <v/>
      </c>
      <c r="AL82" s="11" t="str">
        <f aca="false">IF(OR(I82="",I82&lt;22,O82=""),"",O82+630)</f>
        <v/>
      </c>
      <c r="AM82" s="11" t="str">
        <f aca="false">IF(OR(I82="",I82&lt;23,O82=""),"",O82+660)</f>
        <v/>
      </c>
      <c r="AN82" s="11" t="str">
        <f aca="false">IF(OR(I82="",I82&lt;24,O82=""),"",O82+690)</f>
        <v/>
      </c>
      <c r="AO82" s="7" t="str">
        <f aca="false">IF(J82="","",COUNTIF(Q82:AN82,TRUE())*J82)</f>
        <v/>
      </c>
      <c r="AP82" s="7" t="str">
        <f aca="false">IF(K82="","",K82-AO82)</f>
        <v/>
      </c>
      <c r="AQ82" s="7" t="str">
        <f aca="false">IF(K82="","",K82-F82-IF(N82="",0,N82))</f>
        <v/>
      </c>
    </row>
    <row r="83" customFormat="false" ht="15" hidden="false" customHeight="false" outlineLevel="0" collapsed="false">
      <c r="A83" s="12"/>
      <c r="B83" s="12"/>
      <c r="C83" s="12"/>
      <c r="D83" s="13"/>
      <c r="E83" s="13"/>
      <c r="F83" s="14"/>
      <c r="G83" s="12"/>
      <c r="H83" s="12"/>
      <c r="I83" s="12"/>
      <c r="J83" s="14"/>
      <c r="K83" s="15" t="str">
        <f aca="false">IF(OR(I83="",J83=""),"",I83*J83)</f>
        <v/>
      </c>
      <c r="L83" s="12"/>
      <c r="M83" s="16"/>
      <c r="N83" s="15" t="str">
        <f aca="false">IF(OR(L83="",M83="",K83=""),"",IF(L83="GANANCIA",(K83-F83)*M83,IF(L83="BRUTO",K83*M83,"")))</f>
        <v/>
      </c>
      <c r="O83" s="17" t="str">
        <f aca="false">IF(D83="","",D83)</f>
        <v/>
      </c>
      <c r="P83" s="18" t="str">
        <f aca="false">IF(I83="","",IF(COUNTIF(Q83:AN83,TRUE())&gt;=I83,"PAGADO",IF(COUNTIF(Q83:AN83,TRUE())&gt;0,"PARCIAL","VIGENTE")))</f>
        <v/>
      </c>
      <c r="Q83" s="19" t="str">
        <f aca="false">IF(OR(I83="",I83&lt;1,O83=""),"",O83+0)</f>
        <v/>
      </c>
      <c r="R83" s="19" t="str">
        <f aca="false">IF(OR(I83="",I83&lt;2,O83=""),"",O83+30)</f>
        <v/>
      </c>
      <c r="S83" s="19" t="str">
        <f aca="false">IF(OR(I83="",I83&lt;3,O83=""),"",O83+60)</f>
        <v/>
      </c>
      <c r="T83" s="19" t="str">
        <f aca="false">IF(OR(I83="",I83&lt;4,O83=""),"",O83+90)</f>
        <v/>
      </c>
      <c r="U83" s="19" t="str">
        <f aca="false">IF(OR(I83="",I83&lt;5,O83=""),"",O83+120)</f>
        <v/>
      </c>
      <c r="V83" s="19" t="str">
        <f aca="false">IF(OR(I83="",I83&lt;6,O83=""),"",O83+150)</f>
        <v/>
      </c>
      <c r="W83" s="19" t="str">
        <f aca="false">IF(OR(I83="",I83&lt;7,O83=""),"",O83+180)</f>
        <v/>
      </c>
      <c r="X83" s="19" t="str">
        <f aca="false">IF(OR(I83="",I83&lt;8,O83=""),"",O83+210)</f>
        <v/>
      </c>
      <c r="Y83" s="19" t="str">
        <f aca="false">IF(OR(I83="",I83&lt;9,O83=""),"",O83+240)</f>
        <v/>
      </c>
      <c r="Z83" s="19" t="str">
        <f aca="false">IF(OR(I83="",I83&lt;10,O83=""),"",O83+270)</f>
        <v/>
      </c>
      <c r="AA83" s="19" t="str">
        <f aca="false">IF(OR(I83="",I83&lt;11,O83=""),"",O83+300)</f>
        <v/>
      </c>
      <c r="AB83" s="19" t="str">
        <f aca="false">IF(OR(I83="",I83&lt;12,O83=""),"",O83+330)</f>
        <v/>
      </c>
      <c r="AC83" s="19" t="str">
        <f aca="false">IF(OR(I83="",I83&lt;13,O83=""),"",O83+360)</f>
        <v/>
      </c>
      <c r="AD83" s="19" t="str">
        <f aca="false">IF(OR(I83="",I83&lt;14,O83=""),"",O83+390)</f>
        <v/>
      </c>
      <c r="AE83" s="19" t="str">
        <f aca="false">IF(OR(I83="",I83&lt;15,O83=""),"",O83+420)</f>
        <v/>
      </c>
      <c r="AF83" s="19" t="str">
        <f aca="false">IF(OR(I83="",I83&lt;16,O83=""),"",O83+450)</f>
        <v/>
      </c>
      <c r="AG83" s="19" t="str">
        <f aca="false">IF(OR(I83="",I83&lt;17,O83=""),"",O83+480)</f>
        <v/>
      </c>
      <c r="AH83" s="19" t="str">
        <f aca="false">IF(OR(I83="",I83&lt;18,O83=""),"",O83+510)</f>
        <v/>
      </c>
      <c r="AI83" s="19" t="str">
        <f aca="false">IF(OR(I83="",I83&lt;19,O83=""),"",O83+540)</f>
        <v/>
      </c>
      <c r="AJ83" s="19" t="str">
        <f aca="false">IF(OR(I83="",I83&lt;20,O83=""),"",O83+570)</f>
        <v/>
      </c>
      <c r="AK83" s="19" t="str">
        <f aca="false">IF(OR(I83="",I83&lt;21,O83=""),"",O83+600)</f>
        <v/>
      </c>
      <c r="AL83" s="19" t="str">
        <f aca="false">IF(OR(I83="",I83&lt;22,O83=""),"",O83+630)</f>
        <v/>
      </c>
      <c r="AM83" s="19" t="str">
        <f aca="false">IF(OR(I83="",I83&lt;23,O83=""),"",O83+660)</f>
        <v/>
      </c>
      <c r="AN83" s="19" t="str">
        <f aca="false">IF(OR(I83="",I83&lt;24,O83=""),"",O83+690)</f>
        <v/>
      </c>
      <c r="AO83" s="15" t="str">
        <f aca="false">IF(J83="","",COUNTIF(Q83:AN83,TRUE())*J83)</f>
        <v/>
      </c>
      <c r="AP83" s="15" t="str">
        <f aca="false">IF(K83="","",K83-AO83)</f>
        <v/>
      </c>
      <c r="AQ83" s="15" t="str">
        <f aca="false">IF(K83="","",K83-F83-IF(N83="",0,N83))</f>
        <v/>
      </c>
    </row>
    <row r="84" customFormat="false" ht="15" hidden="false" customHeight="false" outlineLevel="0" collapsed="false">
      <c r="A84" s="4"/>
      <c r="B84" s="4"/>
      <c r="C84" s="4"/>
      <c r="D84" s="5"/>
      <c r="E84" s="5"/>
      <c r="F84" s="6"/>
      <c r="G84" s="4"/>
      <c r="H84" s="4"/>
      <c r="I84" s="4"/>
      <c r="J84" s="6"/>
      <c r="K84" s="7" t="str">
        <f aca="false">IF(OR(I84="",J84=""),"",I84*J84)</f>
        <v/>
      </c>
      <c r="L84" s="4"/>
      <c r="M84" s="8"/>
      <c r="N84" s="7" t="str">
        <f aca="false">IF(OR(L84="",M84="",K84=""),"",IF(L84="GANANCIA",(K84-F84)*M84,IF(L84="BRUTO",K84*M84,"")))</f>
        <v/>
      </c>
      <c r="O84" s="9" t="str">
        <f aca="false">IF(D84="","",D84)</f>
        <v/>
      </c>
      <c r="P84" s="10" t="str">
        <f aca="false">IF(I84="","",IF(COUNTIF(Q84:AN84,TRUE())&gt;=I84,"PAGADO",IF(COUNTIF(Q84:AN84,TRUE())&gt;0,"PARCIAL","VIGENTE")))</f>
        <v/>
      </c>
      <c r="Q84" s="11" t="str">
        <f aca="false">IF(OR(I84="",I84&lt;1,O84=""),"",O84+0)</f>
        <v/>
      </c>
      <c r="R84" s="11" t="str">
        <f aca="false">IF(OR(I84="",I84&lt;2,O84=""),"",O84+30)</f>
        <v/>
      </c>
      <c r="S84" s="11" t="str">
        <f aca="false">IF(OR(I84="",I84&lt;3,O84=""),"",O84+60)</f>
        <v/>
      </c>
      <c r="T84" s="11" t="str">
        <f aca="false">IF(OR(I84="",I84&lt;4,O84=""),"",O84+90)</f>
        <v/>
      </c>
      <c r="U84" s="11" t="str">
        <f aca="false">IF(OR(I84="",I84&lt;5,O84=""),"",O84+120)</f>
        <v/>
      </c>
      <c r="V84" s="11" t="str">
        <f aca="false">IF(OR(I84="",I84&lt;6,O84=""),"",O84+150)</f>
        <v/>
      </c>
      <c r="W84" s="11" t="str">
        <f aca="false">IF(OR(I84="",I84&lt;7,O84=""),"",O84+180)</f>
        <v/>
      </c>
      <c r="X84" s="11" t="str">
        <f aca="false">IF(OR(I84="",I84&lt;8,O84=""),"",O84+210)</f>
        <v/>
      </c>
      <c r="Y84" s="11" t="str">
        <f aca="false">IF(OR(I84="",I84&lt;9,O84=""),"",O84+240)</f>
        <v/>
      </c>
      <c r="Z84" s="11" t="str">
        <f aca="false">IF(OR(I84="",I84&lt;10,O84=""),"",O84+270)</f>
        <v/>
      </c>
      <c r="AA84" s="11" t="str">
        <f aca="false">IF(OR(I84="",I84&lt;11,O84=""),"",O84+300)</f>
        <v/>
      </c>
      <c r="AB84" s="11" t="str">
        <f aca="false">IF(OR(I84="",I84&lt;12,O84=""),"",O84+330)</f>
        <v/>
      </c>
      <c r="AC84" s="11" t="str">
        <f aca="false">IF(OR(I84="",I84&lt;13,O84=""),"",O84+360)</f>
        <v/>
      </c>
      <c r="AD84" s="11" t="str">
        <f aca="false">IF(OR(I84="",I84&lt;14,O84=""),"",O84+390)</f>
        <v/>
      </c>
      <c r="AE84" s="11" t="str">
        <f aca="false">IF(OR(I84="",I84&lt;15,O84=""),"",O84+420)</f>
        <v/>
      </c>
      <c r="AF84" s="11" t="str">
        <f aca="false">IF(OR(I84="",I84&lt;16,O84=""),"",O84+450)</f>
        <v/>
      </c>
      <c r="AG84" s="11" t="str">
        <f aca="false">IF(OR(I84="",I84&lt;17,O84=""),"",O84+480)</f>
        <v/>
      </c>
      <c r="AH84" s="11" t="str">
        <f aca="false">IF(OR(I84="",I84&lt;18,O84=""),"",O84+510)</f>
        <v/>
      </c>
      <c r="AI84" s="11" t="str">
        <f aca="false">IF(OR(I84="",I84&lt;19,O84=""),"",O84+540)</f>
        <v/>
      </c>
      <c r="AJ84" s="11" t="str">
        <f aca="false">IF(OR(I84="",I84&lt;20,O84=""),"",O84+570)</f>
        <v/>
      </c>
      <c r="AK84" s="11" t="str">
        <f aca="false">IF(OR(I84="",I84&lt;21,O84=""),"",O84+600)</f>
        <v/>
      </c>
      <c r="AL84" s="11" t="str">
        <f aca="false">IF(OR(I84="",I84&lt;22,O84=""),"",O84+630)</f>
        <v/>
      </c>
      <c r="AM84" s="11" t="str">
        <f aca="false">IF(OR(I84="",I84&lt;23,O84=""),"",O84+660)</f>
        <v/>
      </c>
      <c r="AN84" s="11" t="str">
        <f aca="false">IF(OR(I84="",I84&lt;24,O84=""),"",O84+690)</f>
        <v/>
      </c>
      <c r="AO84" s="7" t="str">
        <f aca="false">IF(J84="","",COUNTIF(Q84:AN84,TRUE())*J84)</f>
        <v/>
      </c>
      <c r="AP84" s="7" t="str">
        <f aca="false">IF(K84="","",K84-AO84)</f>
        <v/>
      </c>
      <c r="AQ84" s="7" t="str">
        <f aca="false">IF(K84="","",K84-F84-IF(N84="",0,N84))</f>
        <v/>
      </c>
    </row>
    <row r="85" customFormat="false" ht="15" hidden="false" customHeight="false" outlineLevel="0" collapsed="false">
      <c r="A85" s="12"/>
      <c r="B85" s="12"/>
      <c r="C85" s="12"/>
      <c r="D85" s="13"/>
      <c r="E85" s="13"/>
      <c r="F85" s="14"/>
      <c r="G85" s="12"/>
      <c r="H85" s="12"/>
      <c r="I85" s="12"/>
      <c r="J85" s="14"/>
      <c r="K85" s="15" t="str">
        <f aca="false">IF(OR(I85="",J85=""),"",I85*J85)</f>
        <v/>
      </c>
      <c r="L85" s="12"/>
      <c r="M85" s="16"/>
      <c r="N85" s="15" t="str">
        <f aca="false">IF(OR(L85="",M85="",K85=""),"",IF(L85="GANANCIA",(K85-F85)*M85,IF(L85="BRUTO",K85*M85,"")))</f>
        <v/>
      </c>
      <c r="O85" s="17" t="str">
        <f aca="false">IF(D85="","",D85)</f>
        <v/>
      </c>
      <c r="P85" s="18" t="str">
        <f aca="false">IF(I85="","",IF(COUNTIF(Q85:AN85,TRUE())&gt;=I85,"PAGADO",IF(COUNTIF(Q85:AN85,TRUE())&gt;0,"PARCIAL","VIGENTE")))</f>
        <v/>
      </c>
      <c r="Q85" s="19" t="str">
        <f aca="false">IF(OR(I85="",I85&lt;1,O85=""),"",O85+0)</f>
        <v/>
      </c>
      <c r="R85" s="19" t="str">
        <f aca="false">IF(OR(I85="",I85&lt;2,O85=""),"",O85+30)</f>
        <v/>
      </c>
      <c r="S85" s="19" t="str">
        <f aca="false">IF(OR(I85="",I85&lt;3,O85=""),"",O85+60)</f>
        <v/>
      </c>
      <c r="T85" s="19" t="str">
        <f aca="false">IF(OR(I85="",I85&lt;4,O85=""),"",O85+90)</f>
        <v/>
      </c>
      <c r="U85" s="19" t="str">
        <f aca="false">IF(OR(I85="",I85&lt;5,O85=""),"",O85+120)</f>
        <v/>
      </c>
      <c r="V85" s="19" t="str">
        <f aca="false">IF(OR(I85="",I85&lt;6,O85=""),"",O85+150)</f>
        <v/>
      </c>
      <c r="W85" s="19" t="str">
        <f aca="false">IF(OR(I85="",I85&lt;7,O85=""),"",O85+180)</f>
        <v/>
      </c>
      <c r="X85" s="19" t="str">
        <f aca="false">IF(OR(I85="",I85&lt;8,O85=""),"",O85+210)</f>
        <v/>
      </c>
      <c r="Y85" s="19" t="str">
        <f aca="false">IF(OR(I85="",I85&lt;9,O85=""),"",O85+240)</f>
        <v/>
      </c>
      <c r="Z85" s="19" t="str">
        <f aca="false">IF(OR(I85="",I85&lt;10,O85=""),"",O85+270)</f>
        <v/>
      </c>
      <c r="AA85" s="19" t="str">
        <f aca="false">IF(OR(I85="",I85&lt;11,O85=""),"",O85+300)</f>
        <v/>
      </c>
      <c r="AB85" s="19" t="str">
        <f aca="false">IF(OR(I85="",I85&lt;12,O85=""),"",O85+330)</f>
        <v/>
      </c>
      <c r="AC85" s="19" t="str">
        <f aca="false">IF(OR(I85="",I85&lt;13,O85=""),"",O85+360)</f>
        <v/>
      </c>
      <c r="AD85" s="19" t="str">
        <f aca="false">IF(OR(I85="",I85&lt;14,O85=""),"",O85+390)</f>
        <v/>
      </c>
      <c r="AE85" s="19" t="str">
        <f aca="false">IF(OR(I85="",I85&lt;15,O85=""),"",O85+420)</f>
        <v/>
      </c>
      <c r="AF85" s="19" t="str">
        <f aca="false">IF(OR(I85="",I85&lt;16,O85=""),"",O85+450)</f>
        <v/>
      </c>
      <c r="AG85" s="19" t="str">
        <f aca="false">IF(OR(I85="",I85&lt;17,O85=""),"",O85+480)</f>
        <v/>
      </c>
      <c r="AH85" s="19" t="str">
        <f aca="false">IF(OR(I85="",I85&lt;18,O85=""),"",O85+510)</f>
        <v/>
      </c>
      <c r="AI85" s="19" t="str">
        <f aca="false">IF(OR(I85="",I85&lt;19,O85=""),"",O85+540)</f>
        <v/>
      </c>
      <c r="AJ85" s="19" t="str">
        <f aca="false">IF(OR(I85="",I85&lt;20,O85=""),"",O85+570)</f>
        <v/>
      </c>
      <c r="AK85" s="19" t="str">
        <f aca="false">IF(OR(I85="",I85&lt;21,O85=""),"",O85+600)</f>
        <v/>
      </c>
      <c r="AL85" s="19" t="str">
        <f aca="false">IF(OR(I85="",I85&lt;22,O85=""),"",O85+630)</f>
        <v/>
      </c>
      <c r="AM85" s="19" t="str">
        <f aca="false">IF(OR(I85="",I85&lt;23,O85=""),"",O85+660)</f>
        <v/>
      </c>
      <c r="AN85" s="19" t="str">
        <f aca="false">IF(OR(I85="",I85&lt;24,O85=""),"",O85+690)</f>
        <v/>
      </c>
      <c r="AO85" s="15" t="str">
        <f aca="false">IF(J85="","",COUNTIF(Q85:AN85,TRUE())*J85)</f>
        <v/>
      </c>
      <c r="AP85" s="15" t="str">
        <f aca="false">IF(K85="","",K85-AO85)</f>
        <v/>
      </c>
      <c r="AQ85" s="15" t="str">
        <f aca="false">IF(K85="","",K85-F85-IF(N85="",0,N85))</f>
        <v/>
      </c>
    </row>
    <row r="86" customFormat="false" ht="15" hidden="false" customHeight="false" outlineLevel="0" collapsed="false">
      <c r="A86" s="4"/>
      <c r="B86" s="4"/>
      <c r="C86" s="4"/>
      <c r="D86" s="5"/>
      <c r="E86" s="5"/>
      <c r="F86" s="6"/>
      <c r="G86" s="4"/>
      <c r="H86" s="4"/>
      <c r="I86" s="4"/>
      <c r="J86" s="6"/>
      <c r="K86" s="7" t="str">
        <f aca="false">IF(OR(I86="",J86=""),"",I86*J86)</f>
        <v/>
      </c>
      <c r="L86" s="4"/>
      <c r="M86" s="8"/>
      <c r="N86" s="7" t="str">
        <f aca="false">IF(OR(L86="",M86="",K86=""),"",IF(L86="GANANCIA",(K86-F86)*M86,IF(L86="BRUTO",K86*M86,"")))</f>
        <v/>
      </c>
      <c r="O86" s="9" t="str">
        <f aca="false">IF(D86="","",D86)</f>
        <v/>
      </c>
      <c r="P86" s="10" t="str">
        <f aca="false">IF(I86="","",IF(COUNTIF(Q86:AN86,TRUE())&gt;=I86,"PAGADO",IF(COUNTIF(Q86:AN86,TRUE())&gt;0,"PARCIAL","VIGENTE")))</f>
        <v/>
      </c>
      <c r="Q86" s="11" t="str">
        <f aca="false">IF(OR(I86="",I86&lt;1,O86=""),"",O86+0)</f>
        <v/>
      </c>
      <c r="R86" s="11" t="str">
        <f aca="false">IF(OR(I86="",I86&lt;2,O86=""),"",O86+30)</f>
        <v/>
      </c>
      <c r="S86" s="11" t="str">
        <f aca="false">IF(OR(I86="",I86&lt;3,O86=""),"",O86+60)</f>
        <v/>
      </c>
      <c r="T86" s="11" t="str">
        <f aca="false">IF(OR(I86="",I86&lt;4,O86=""),"",O86+90)</f>
        <v/>
      </c>
      <c r="U86" s="11" t="str">
        <f aca="false">IF(OR(I86="",I86&lt;5,O86=""),"",O86+120)</f>
        <v/>
      </c>
      <c r="V86" s="11" t="str">
        <f aca="false">IF(OR(I86="",I86&lt;6,O86=""),"",O86+150)</f>
        <v/>
      </c>
      <c r="W86" s="11" t="str">
        <f aca="false">IF(OR(I86="",I86&lt;7,O86=""),"",O86+180)</f>
        <v/>
      </c>
      <c r="X86" s="11" t="str">
        <f aca="false">IF(OR(I86="",I86&lt;8,O86=""),"",O86+210)</f>
        <v/>
      </c>
      <c r="Y86" s="11" t="str">
        <f aca="false">IF(OR(I86="",I86&lt;9,O86=""),"",O86+240)</f>
        <v/>
      </c>
      <c r="Z86" s="11" t="str">
        <f aca="false">IF(OR(I86="",I86&lt;10,O86=""),"",O86+270)</f>
        <v/>
      </c>
      <c r="AA86" s="11" t="str">
        <f aca="false">IF(OR(I86="",I86&lt;11,O86=""),"",O86+300)</f>
        <v/>
      </c>
      <c r="AB86" s="11" t="str">
        <f aca="false">IF(OR(I86="",I86&lt;12,O86=""),"",O86+330)</f>
        <v/>
      </c>
      <c r="AC86" s="11" t="str">
        <f aca="false">IF(OR(I86="",I86&lt;13,O86=""),"",O86+360)</f>
        <v/>
      </c>
      <c r="AD86" s="11" t="str">
        <f aca="false">IF(OR(I86="",I86&lt;14,O86=""),"",O86+390)</f>
        <v/>
      </c>
      <c r="AE86" s="11" t="str">
        <f aca="false">IF(OR(I86="",I86&lt;15,O86=""),"",O86+420)</f>
        <v/>
      </c>
      <c r="AF86" s="11" t="str">
        <f aca="false">IF(OR(I86="",I86&lt;16,O86=""),"",O86+450)</f>
        <v/>
      </c>
      <c r="AG86" s="11" t="str">
        <f aca="false">IF(OR(I86="",I86&lt;17,O86=""),"",O86+480)</f>
        <v/>
      </c>
      <c r="AH86" s="11" t="str">
        <f aca="false">IF(OR(I86="",I86&lt;18,O86=""),"",O86+510)</f>
        <v/>
      </c>
      <c r="AI86" s="11" t="str">
        <f aca="false">IF(OR(I86="",I86&lt;19,O86=""),"",O86+540)</f>
        <v/>
      </c>
      <c r="AJ86" s="11" t="str">
        <f aca="false">IF(OR(I86="",I86&lt;20,O86=""),"",O86+570)</f>
        <v/>
      </c>
      <c r="AK86" s="11" t="str">
        <f aca="false">IF(OR(I86="",I86&lt;21,O86=""),"",O86+600)</f>
        <v/>
      </c>
      <c r="AL86" s="11" t="str">
        <f aca="false">IF(OR(I86="",I86&lt;22,O86=""),"",O86+630)</f>
        <v/>
      </c>
      <c r="AM86" s="11" t="str">
        <f aca="false">IF(OR(I86="",I86&lt;23,O86=""),"",O86+660)</f>
        <v/>
      </c>
      <c r="AN86" s="11" t="str">
        <f aca="false">IF(OR(I86="",I86&lt;24,O86=""),"",O86+690)</f>
        <v/>
      </c>
      <c r="AO86" s="7" t="str">
        <f aca="false">IF(J86="","",COUNTIF(Q86:AN86,TRUE())*J86)</f>
        <v/>
      </c>
      <c r="AP86" s="7" t="str">
        <f aca="false">IF(K86="","",K86-AO86)</f>
        <v/>
      </c>
      <c r="AQ86" s="7" t="str">
        <f aca="false">IF(K86="","",K86-F86-IF(N86="",0,N86))</f>
        <v/>
      </c>
    </row>
    <row r="87" customFormat="false" ht="15" hidden="false" customHeight="false" outlineLevel="0" collapsed="false">
      <c r="A87" s="12"/>
      <c r="B87" s="12"/>
      <c r="C87" s="12"/>
      <c r="D87" s="13"/>
      <c r="E87" s="13"/>
      <c r="F87" s="14"/>
      <c r="G87" s="12"/>
      <c r="H87" s="12"/>
      <c r="I87" s="12"/>
      <c r="J87" s="14"/>
      <c r="K87" s="15" t="str">
        <f aca="false">IF(OR(I87="",J87=""),"",I87*J87)</f>
        <v/>
      </c>
      <c r="L87" s="12"/>
      <c r="M87" s="16"/>
      <c r="N87" s="15" t="str">
        <f aca="false">IF(OR(L87="",M87="",K87=""),"",IF(L87="GANANCIA",(K87-F87)*M87,IF(L87="BRUTO",K87*M87,"")))</f>
        <v/>
      </c>
      <c r="O87" s="17" t="str">
        <f aca="false">IF(D87="","",D87)</f>
        <v/>
      </c>
      <c r="P87" s="18" t="str">
        <f aca="false">IF(I87="","",IF(COUNTIF(Q87:AN87,TRUE())&gt;=I87,"PAGADO",IF(COUNTIF(Q87:AN87,TRUE())&gt;0,"PARCIAL","VIGENTE")))</f>
        <v/>
      </c>
      <c r="Q87" s="19" t="str">
        <f aca="false">IF(OR(I87="",I87&lt;1,O87=""),"",O87+0)</f>
        <v/>
      </c>
      <c r="R87" s="19" t="str">
        <f aca="false">IF(OR(I87="",I87&lt;2,O87=""),"",O87+30)</f>
        <v/>
      </c>
      <c r="S87" s="19" t="str">
        <f aca="false">IF(OR(I87="",I87&lt;3,O87=""),"",O87+60)</f>
        <v/>
      </c>
      <c r="T87" s="19" t="str">
        <f aca="false">IF(OR(I87="",I87&lt;4,O87=""),"",O87+90)</f>
        <v/>
      </c>
      <c r="U87" s="19" t="str">
        <f aca="false">IF(OR(I87="",I87&lt;5,O87=""),"",O87+120)</f>
        <v/>
      </c>
      <c r="V87" s="19" t="str">
        <f aca="false">IF(OR(I87="",I87&lt;6,O87=""),"",O87+150)</f>
        <v/>
      </c>
      <c r="W87" s="19" t="str">
        <f aca="false">IF(OR(I87="",I87&lt;7,O87=""),"",O87+180)</f>
        <v/>
      </c>
      <c r="X87" s="19" t="str">
        <f aca="false">IF(OR(I87="",I87&lt;8,O87=""),"",O87+210)</f>
        <v/>
      </c>
      <c r="Y87" s="19" t="str">
        <f aca="false">IF(OR(I87="",I87&lt;9,O87=""),"",O87+240)</f>
        <v/>
      </c>
      <c r="Z87" s="19" t="str">
        <f aca="false">IF(OR(I87="",I87&lt;10,O87=""),"",O87+270)</f>
        <v/>
      </c>
      <c r="AA87" s="19" t="str">
        <f aca="false">IF(OR(I87="",I87&lt;11,O87=""),"",O87+300)</f>
        <v/>
      </c>
      <c r="AB87" s="19" t="str">
        <f aca="false">IF(OR(I87="",I87&lt;12,O87=""),"",O87+330)</f>
        <v/>
      </c>
      <c r="AC87" s="19" t="str">
        <f aca="false">IF(OR(I87="",I87&lt;13,O87=""),"",O87+360)</f>
        <v/>
      </c>
      <c r="AD87" s="19" t="str">
        <f aca="false">IF(OR(I87="",I87&lt;14,O87=""),"",O87+390)</f>
        <v/>
      </c>
      <c r="AE87" s="19" t="str">
        <f aca="false">IF(OR(I87="",I87&lt;15,O87=""),"",O87+420)</f>
        <v/>
      </c>
      <c r="AF87" s="19" t="str">
        <f aca="false">IF(OR(I87="",I87&lt;16,O87=""),"",O87+450)</f>
        <v/>
      </c>
      <c r="AG87" s="19" t="str">
        <f aca="false">IF(OR(I87="",I87&lt;17,O87=""),"",O87+480)</f>
        <v/>
      </c>
      <c r="AH87" s="19" t="str">
        <f aca="false">IF(OR(I87="",I87&lt;18,O87=""),"",O87+510)</f>
        <v/>
      </c>
      <c r="AI87" s="19" t="str">
        <f aca="false">IF(OR(I87="",I87&lt;19,O87=""),"",O87+540)</f>
        <v/>
      </c>
      <c r="AJ87" s="19" t="str">
        <f aca="false">IF(OR(I87="",I87&lt;20,O87=""),"",O87+570)</f>
        <v/>
      </c>
      <c r="AK87" s="19" t="str">
        <f aca="false">IF(OR(I87="",I87&lt;21,O87=""),"",O87+600)</f>
        <v/>
      </c>
      <c r="AL87" s="19" t="str">
        <f aca="false">IF(OR(I87="",I87&lt;22,O87=""),"",O87+630)</f>
        <v/>
      </c>
      <c r="AM87" s="19" t="str">
        <f aca="false">IF(OR(I87="",I87&lt;23,O87=""),"",O87+660)</f>
        <v/>
      </c>
      <c r="AN87" s="19" t="str">
        <f aca="false">IF(OR(I87="",I87&lt;24,O87=""),"",O87+690)</f>
        <v/>
      </c>
      <c r="AO87" s="15" t="str">
        <f aca="false">IF(J87="","",COUNTIF(Q87:AN87,TRUE())*J87)</f>
        <v/>
      </c>
      <c r="AP87" s="15" t="str">
        <f aca="false">IF(K87="","",K87-AO87)</f>
        <v/>
      </c>
      <c r="AQ87" s="15" t="str">
        <f aca="false">IF(K87="","",K87-F87-IF(N87="",0,N87))</f>
        <v/>
      </c>
    </row>
    <row r="88" customFormat="false" ht="15" hidden="false" customHeight="false" outlineLevel="0" collapsed="false">
      <c r="A88" s="4"/>
      <c r="B88" s="4"/>
      <c r="C88" s="4"/>
      <c r="D88" s="5"/>
      <c r="E88" s="5"/>
      <c r="F88" s="6"/>
      <c r="G88" s="4"/>
      <c r="H88" s="4"/>
      <c r="I88" s="4"/>
      <c r="J88" s="6"/>
      <c r="K88" s="7" t="str">
        <f aca="false">IF(OR(I88="",J88=""),"",I88*J88)</f>
        <v/>
      </c>
      <c r="L88" s="4"/>
      <c r="M88" s="8"/>
      <c r="N88" s="7" t="str">
        <f aca="false">IF(OR(L88="",M88="",K88=""),"",IF(L88="GANANCIA",(K88-F88)*M88,IF(L88="BRUTO",K88*M88,"")))</f>
        <v/>
      </c>
      <c r="O88" s="9" t="str">
        <f aca="false">IF(D88="","",D88)</f>
        <v/>
      </c>
      <c r="P88" s="10" t="str">
        <f aca="false">IF(I88="","",IF(COUNTIF(Q88:AN88,TRUE())&gt;=I88,"PAGADO",IF(COUNTIF(Q88:AN88,TRUE())&gt;0,"PARCIAL","VIGENTE")))</f>
        <v/>
      </c>
      <c r="Q88" s="11" t="str">
        <f aca="false">IF(OR(I88="",I88&lt;1,O88=""),"",O88+0)</f>
        <v/>
      </c>
      <c r="R88" s="11" t="str">
        <f aca="false">IF(OR(I88="",I88&lt;2,O88=""),"",O88+30)</f>
        <v/>
      </c>
      <c r="S88" s="11" t="str">
        <f aca="false">IF(OR(I88="",I88&lt;3,O88=""),"",O88+60)</f>
        <v/>
      </c>
      <c r="T88" s="11" t="str">
        <f aca="false">IF(OR(I88="",I88&lt;4,O88=""),"",O88+90)</f>
        <v/>
      </c>
      <c r="U88" s="11" t="str">
        <f aca="false">IF(OR(I88="",I88&lt;5,O88=""),"",O88+120)</f>
        <v/>
      </c>
      <c r="V88" s="11" t="str">
        <f aca="false">IF(OR(I88="",I88&lt;6,O88=""),"",O88+150)</f>
        <v/>
      </c>
      <c r="W88" s="11" t="str">
        <f aca="false">IF(OR(I88="",I88&lt;7,O88=""),"",O88+180)</f>
        <v/>
      </c>
      <c r="X88" s="11" t="str">
        <f aca="false">IF(OR(I88="",I88&lt;8,O88=""),"",O88+210)</f>
        <v/>
      </c>
      <c r="Y88" s="11" t="str">
        <f aca="false">IF(OR(I88="",I88&lt;9,O88=""),"",O88+240)</f>
        <v/>
      </c>
      <c r="Z88" s="11" t="str">
        <f aca="false">IF(OR(I88="",I88&lt;10,O88=""),"",O88+270)</f>
        <v/>
      </c>
      <c r="AA88" s="11" t="str">
        <f aca="false">IF(OR(I88="",I88&lt;11,O88=""),"",O88+300)</f>
        <v/>
      </c>
      <c r="AB88" s="11" t="str">
        <f aca="false">IF(OR(I88="",I88&lt;12,O88=""),"",O88+330)</f>
        <v/>
      </c>
      <c r="AC88" s="11" t="str">
        <f aca="false">IF(OR(I88="",I88&lt;13,O88=""),"",O88+360)</f>
        <v/>
      </c>
      <c r="AD88" s="11" t="str">
        <f aca="false">IF(OR(I88="",I88&lt;14,O88=""),"",O88+390)</f>
        <v/>
      </c>
      <c r="AE88" s="11" t="str">
        <f aca="false">IF(OR(I88="",I88&lt;15,O88=""),"",O88+420)</f>
        <v/>
      </c>
      <c r="AF88" s="11" t="str">
        <f aca="false">IF(OR(I88="",I88&lt;16,O88=""),"",O88+450)</f>
        <v/>
      </c>
      <c r="AG88" s="11" t="str">
        <f aca="false">IF(OR(I88="",I88&lt;17,O88=""),"",O88+480)</f>
        <v/>
      </c>
      <c r="AH88" s="11" t="str">
        <f aca="false">IF(OR(I88="",I88&lt;18,O88=""),"",O88+510)</f>
        <v/>
      </c>
      <c r="AI88" s="11" t="str">
        <f aca="false">IF(OR(I88="",I88&lt;19,O88=""),"",O88+540)</f>
        <v/>
      </c>
      <c r="AJ88" s="11" t="str">
        <f aca="false">IF(OR(I88="",I88&lt;20,O88=""),"",O88+570)</f>
        <v/>
      </c>
      <c r="AK88" s="11" t="str">
        <f aca="false">IF(OR(I88="",I88&lt;21,O88=""),"",O88+600)</f>
        <v/>
      </c>
      <c r="AL88" s="11" t="str">
        <f aca="false">IF(OR(I88="",I88&lt;22,O88=""),"",O88+630)</f>
        <v/>
      </c>
      <c r="AM88" s="11" t="str">
        <f aca="false">IF(OR(I88="",I88&lt;23,O88=""),"",O88+660)</f>
        <v/>
      </c>
      <c r="AN88" s="11" t="str">
        <f aca="false">IF(OR(I88="",I88&lt;24,O88=""),"",O88+690)</f>
        <v/>
      </c>
      <c r="AO88" s="7" t="str">
        <f aca="false">IF(J88="","",COUNTIF(Q88:AN88,TRUE())*J88)</f>
        <v/>
      </c>
      <c r="AP88" s="7" t="str">
        <f aca="false">IF(K88="","",K88-AO88)</f>
        <v/>
      </c>
      <c r="AQ88" s="7" t="str">
        <f aca="false">IF(K88="","",K88-F88-IF(N88="",0,N88))</f>
        <v/>
      </c>
    </row>
    <row r="89" customFormat="false" ht="15" hidden="false" customHeight="false" outlineLevel="0" collapsed="false">
      <c r="A89" s="12"/>
      <c r="B89" s="12"/>
      <c r="C89" s="12"/>
      <c r="D89" s="13"/>
      <c r="E89" s="13"/>
      <c r="F89" s="14"/>
      <c r="G89" s="12"/>
      <c r="H89" s="12"/>
      <c r="I89" s="12"/>
      <c r="J89" s="14"/>
      <c r="K89" s="15" t="str">
        <f aca="false">IF(OR(I89="",J89=""),"",I89*J89)</f>
        <v/>
      </c>
      <c r="L89" s="12"/>
      <c r="M89" s="16"/>
      <c r="N89" s="15" t="str">
        <f aca="false">IF(OR(L89="",M89="",K89=""),"",IF(L89="GANANCIA",(K89-F89)*M89,IF(L89="BRUTO",K89*M89,"")))</f>
        <v/>
      </c>
      <c r="O89" s="17" t="str">
        <f aca="false">IF(D89="","",D89)</f>
        <v/>
      </c>
      <c r="P89" s="18" t="str">
        <f aca="false">IF(I89="","",IF(COUNTIF(Q89:AN89,TRUE())&gt;=I89,"PAGADO",IF(COUNTIF(Q89:AN89,TRUE())&gt;0,"PARCIAL","VIGENTE")))</f>
        <v/>
      </c>
      <c r="Q89" s="19" t="str">
        <f aca="false">IF(OR(I89="",I89&lt;1,O89=""),"",O89+0)</f>
        <v/>
      </c>
      <c r="R89" s="19" t="str">
        <f aca="false">IF(OR(I89="",I89&lt;2,O89=""),"",O89+30)</f>
        <v/>
      </c>
      <c r="S89" s="19" t="str">
        <f aca="false">IF(OR(I89="",I89&lt;3,O89=""),"",O89+60)</f>
        <v/>
      </c>
      <c r="T89" s="19" t="str">
        <f aca="false">IF(OR(I89="",I89&lt;4,O89=""),"",O89+90)</f>
        <v/>
      </c>
      <c r="U89" s="19" t="str">
        <f aca="false">IF(OR(I89="",I89&lt;5,O89=""),"",O89+120)</f>
        <v/>
      </c>
      <c r="V89" s="19" t="str">
        <f aca="false">IF(OR(I89="",I89&lt;6,O89=""),"",O89+150)</f>
        <v/>
      </c>
      <c r="W89" s="19" t="str">
        <f aca="false">IF(OR(I89="",I89&lt;7,O89=""),"",O89+180)</f>
        <v/>
      </c>
      <c r="X89" s="19" t="str">
        <f aca="false">IF(OR(I89="",I89&lt;8,O89=""),"",O89+210)</f>
        <v/>
      </c>
      <c r="Y89" s="19" t="str">
        <f aca="false">IF(OR(I89="",I89&lt;9,O89=""),"",O89+240)</f>
        <v/>
      </c>
      <c r="Z89" s="19" t="str">
        <f aca="false">IF(OR(I89="",I89&lt;10,O89=""),"",O89+270)</f>
        <v/>
      </c>
      <c r="AA89" s="19" t="str">
        <f aca="false">IF(OR(I89="",I89&lt;11,O89=""),"",O89+300)</f>
        <v/>
      </c>
      <c r="AB89" s="19" t="str">
        <f aca="false">IF(OR(I89="",I89&lt;12,O89=""),"",O89+330)</f>
        <v/>
      </c>
      <c r="AC89" s="19" t="str">
        <f aca="false">IF(OR(I89="",I89&lt;13,O89=""),"",O89+360)</f>
        <v/>
      </c>
      <c r="AD89" s="19" t="str">
        <f aca="false">IF(OR(I89="",I89&lt;14,O89=""),"",O89+390)</f>
        <v/>
      </c>
      <c r="AE89" s="19" t="str">
        <f aca="false">IF(OR(I89="",I89&lt;15,O89=""),"",O89+420)</f>
        <v/>
      </c>
      <c r="AF89" s="19" t="str">
        <f aca="false">IF(OR(I89="",I89&lt;16,O89=""),"",O89+450)</f>
        <v/>
      </c>
      <c r="AG89" s="19" t="str">
        <f aca="false">IF(OR(I89="",I89&lt;17,O89=""),"",O89+480)</f>
        <v/>
      </c>
      <c r="AH89" s="19" t="str">
        <f aca="false">IF(OR(I89="",I89&lt;18,O89=""),"",O89+510)</f>
        <v/>
      </c>
      <c r="AI89" s="19" t="str">
        <f aca="false">IF(OR(I89="",I89&lt;19,O89=""),"",O89+540)</f>
        <v/>
      </c>
      <c r="AJ89" s="19" t="str">
        <f aca="false">IF(OR(I89="",I89&lt;20,O89=""),"",O89+570)</f>
        <v/>
      </c>
      <c r="AK89" s="19" t="str">
        <f aca="false">IF(OR(I89="",I89&lt;21,O89=""),"",O89+600)</f>
        <v/>
      </c>
      <c r="AL89" s="19" t="str">
        <f aca="false">IF(OR(I89="",I89&lt;22,O89=""),"",O89+630)</f>
        <v/>
      </c>
      <c r="AM89" s="19" t="str">
        <f aca="false">IF(OR(I89="",I89&lt;23,O89=""),"",O89+660)</f>
        <v/>
      </c>
      <c r="AN89" s="19" t="str">
        <f aca="false">IF(OR(I89="",I89&lt;24,O89=""),"",O89+690)</f>
        <v/>
      </c>
      <c r="AO89" s="15" t="str">
        <f aca="false">IF(J89="","",COUNTIF(Q89:AN89,TRUE())*J89)</f>
        <v/>
      </c>
      <c r="AP89" s="15" t="str">
        <f aca="false">IF(K89="","",K89-AO89)</f>
        <v/>
      </c>
      <c r="AQ89" s="15" t="str">
        <f aca="false">IF(K89="","",K89-F89-IF(N89="",0,N89))</f>
        <v/>
      </c>
    </row>
    <row r="90" customFormat="false" ht="15" hidden="false" customHeight="false" outlineLevel="0" collapsed="false">
      <c r="A90" s="4"/>
      <c r="B90" s="4"/>
      <c r="C90" s="4"/>
      <c r="D90" s="5"/>
      <c r="E90" s="5"/>
      <c r="F90" s="6"/>
      <c r="G90" s="4"/>
      <c r="H90" s="4"/>
      <c r="I90" s="4"/>
      <c r="J90" s="6"/>
      <c r="K90" s="7" t="str">
        <f aca="false">IF(OR(I90="",J90=""),"",I90*J90)</f>
        <v/>
      </c>
      <c r="L90" s="4"/>
      <c r="M90" s="8"/>
      <c r="N90" s="7" t="str">
        <f aca="false">IF(OR(L90="",M90="",K90=""),"",IF(L90="GANANCIA",(K90-F90)*M90,IF(L90="BRUTO",K90*M90,"")))</f>
        <v/>
      </c>
      <c r="O90" s="9" t="str">
        <f aca="false">IF(D90="","",D90)</f>
        <v/>
      </c>
      <c r="P90" s="10" t="str">
        <f aca="false">IF(I90="","",IF(COUNTIF(Q90:AN90,TRUE())&gt;=I90,"PAGADO",IF(COUNTIF(Q90:AN90,TRUE())&gt;0,"PARCIAL","VIGENTE")))</f>
        <v/>
      </c>
      <c r="Q90" s="11" t="str">
        <f aca="false">IF(OR(I90="",I90&lt;1,O90=""),"",O90+0)</f>
        <v/>
      </c>
      <c r="R90" s="11" t="str">
        <f aca="false">IF(OR(I90="",I90&lt;2,O90=""),"",O90+30)</f>
        <v/>
      </c>
      <c r="S90" s="11" t="str">
        <f aca="false">IF(OR(I90="",I90&lt;3,O90=""),"",O90+60)</f>
        <v/>
      </c>
      <c r="T90" s="11" t="str">
        <f aca="false">IF(OR(I90="",I90&lt;4,O90=""),"",O90+90)</f>
        <v/>
      </c>
      <c r="U90" s="11" t="str">
        <f aca="false">IF(OR(I90="",I90&lt;5,O90=""),"",O90+120)</f>
        <v/>
      </c>
      <c r="V90" s="11" t="str">
        <f aca="false">IF(OR(I90="",I90&lt;6,O90=""),"",O90+150)</f>
        <v/>
      </c>
      <c r="W90" s="11" t="str">
        <f aca="false">IF(OR(I90="",I90&lt;7,O90=""),"",O90+180)</f>
        <v/>
      </c>
      <c r="X90" s="11" t="str">
        <f aca="false">IF(OR(I90="",I90&lt;8,O90=""),"",O90+210)</f>
        <v/>
      </c>
      <c r="Y90" s="11" t="str">
        <f aca="false">IF(OR(I90="",I90&lt;9,O90=""),"",O90+240)</f>
        <v/>
      </c>
      <c r="Z90" s="11" t="str">
        <f aca="false">IF(OR(I90="",I90&lt;10,O90=""),"",O90+270)</f>
        <v/>
      </c>
      <c r="AA90" s="11" t="str">
        <f aca="false">IF(OR(I90="",I90&lt;11,O90=""),"",O90+300)</f>
        <v/>
      </c>
      <c r="AB90" s="11" t="str">
        <f aca="false">IF(OR(I90="",I90&lt;12,O90=""),"",O90+330)</f>
        <v/>
      </c>
      <c r="AC90" s="11" t="str">
        <f aca="false">IF(OR(I90="",I90&lt;13,O90=""),"",O90+360)</f>
        <v/>
      </c>
      <c r="AD90" s="11" t="str">
        <f aca="false">IF(OR(I90="",I90&lt;14,O90=""),"",O90+390)</f>
        <v/>
      </c>
      <c r="AE90" s="11" t="str">
        <f aca="false">IF(OR(I90="",I90&lt;15,O90=""),"",O90+420)</f>
        <v/>
      </c>
      <c r="AF90" s="11" t="str">
        <f aca="false">IF(OR(I90="",I90&lt;16,O90=""),"",O90+450)</f>
        <v/>
      </c>
      <c r="AG90" s="11" t="str">
        <f aca="false">IF(OR(I90="",I90&lt;17,O90=""),"",O90+480)</f>
        <v/>
      </c>
      <c r="AH90" s="11" t="str">
        <f aca="false">IF(OR(I90="",I90&lt;18,O90=""),"",O90+510)</f>
        <v/>
      </c>
      <c r="AI90" s="11" t="str">
        <f aca="false">IF(OR(I90="",I90&lt;19,O90=""),"",O90+540)</f>
        <v/>
      </c>
      <c r="AJ90" s="11" t="str">
        <f aca="false">IF(OR(I90="",I90&lt;20,O90=""),"",O90+570)</f>
        <v/>
      </c>
      <c r="AK90" s="11" t="str">
        <f aca="false">IF(OR(I90="",I90&lt;21,O90=""),"",O90+600)</f>
        <v/>
      </c>
      <c r="AL90" s="11" t="str">
        <f aca="false">IF(OR(I90="",I90&lt;22,O90=""),"",O90+630)</f>
        <v/>
      </c>
      <c r="AM90" s="11" t="str">
        <f aca="false">IF(OR(I90="",I90&lt;23,O90=""),"",O90+660)</f>
        <v/>
      </c>
      <c r="AN90" s="11" t="str">
        <f aca="false">IF(OR(I90="",I90&lt;24,O90=""),"",O90+690)</f>
        <v/>
      </c>
      <c r="AO90" s="7" t="str">
        <f aca="false">IF(J90="","",COUNTIF(Q90:AN90,TRUE())*J90)</f>
        <v/>
      </c>
      <c r="AP90" s="7" t="str">
        <f aca="false">IF(K90="","",K90-AO90)</f>
        <v/>
      </c>
      <c r="AQ90" s="7" t="str">
        <f aca="false">IF(K90="","",K90-F90-IF(N90="",0,N90))</f>
        <v/>
      </c>
    </row>
    <row r="91" customFormat="false" ht="15" hidden="false" customHeight="false" outlineLevel="0" collapsed="false">
      <c r="A91" s="12"/>
      <c r="B91" s="12"/>
      <c r="C91" s="12"/>
      <c r="D91" s="13"/>
      <c r="E91" s="13"/>
      <c r="F91" s="14"/>
      <c r="G91" s="12"/>
      <c r="H91" s="12"/>
      <c r="I91" s="12"/>
      <c r="J91" s="14"/>
      <c r="K91" s="15" t="str">
        <f aca="false">IF(OR(I91="",J91=""),"",I91*J91)</f>
        <v/>
      </c>
      <c r="L91" s="12"/>
      <c r="M91" s="16"/>
      <c r="N91" s="15" t="str">
        <f aca="false">IF(OR(L91="",M91="",K91=""),"",IF(L91="GANANCIA",(K91-F91)*M91,IF(L91="BRUTO",K91*M91,"")))</f>
        <v/>
      </c>
      <c r="O91" s="17" t="str">
        <f aca="false">IF(D91="","",D91)</f>
        <v/>
      </c>
      <c r="P91" s="18" t="str">
        <f aca="false">IF(I91="","",IF(COUNTIF(Q91:AN91,TRUE())&gt;=I91,"PAGADO",IF(COUNTIF(Q91:AN91,TRUE())&gt;0,"PARCIAL","VIGENTE")))</f>
        <v/>
      </c>
      <c r="Q91" s="19" t="str">
        <f aca="false">IF(OR(I91="",I91&lt;1,O91=""),"",O91+0)</f>
        <v/>
      </c>
      <c r="R91" s="19" t="str">
        <f aca="false">IF(OR(I91="",I91&lt;2,O91=""),"",O91+30)</f>
        <v/>
      </c>
      <c r="S91" s="19" t="str">
        <f aca="false">IF(OR(I91="",I91&lt;3,O91=""),"",O91+60)</f>
        <v/>
      </c>
      <c r="T91" s="19" t="str">
        <f aca="false">IF(OR(I91="",I91&lt;4,O91=""),"",O91+90)</f>
        <v/>
      </c>
      <c r="U91" s="19" t="str">
        <f aca="false">IF(OR(I91="",I91&lt;5,O91=""),"",O91+120)</f>
        <v/>
      </c>
      <c r="V91" s="19" t="str">
        <f aca="false">IF(OR(I91="",I91&lt;6,O91=""),"",O91+150)</f>
        <v/>
      </c>
      <c r="W91" s="19" t="str">
        <f aca="false">IF(OR(I91="",I91&lt;7,O91=""),"",O91+180)</f>
        <v/>
      </c>
      <c r="X91" s="19" t="str">
        <f aca="false">IF(OR(I91="",I91&lt;8,O91=""),"",O91+210)</f>
        <v/>
      </c>
      <c r="Y91" s="19" t="str">
        <f aca="false">IF(OR(I91="",I91&lt;9,O91=""),"",O91+240)</f>
        <v/>
      </c>
      <c r="Z91" s="19" t="str">
        <f aca="false">IF(OR(I91="",I91&lt;10,O91=""),"",O91+270)</f>
        <v/>
      </c>
      <c r="AA91" s="19" t="str">
        <f aca="false">IF(OR(I91="",I91&lt;11,O91=""),"",O91+300)</f>
        <v/>
      </c>
      <c r="AB91" s="19" t="str">
        <f aca="false">IF(OR(I91="",I91&lt;12,O91=""),"",O91+330)</f>
        <v/>
      </c>
      <c r="AC91" s="19" t="str">
        <f aca="false">IF(OR(I91="",I91&lt;13,O91=""),"",O91+360)</f>
        <v/>
      </c>
      <c r="AD91" s="19" t="str">
        <f aca="false">IF(OR(I91="",I91&lt;14,O91=""),"",O91+390)</f>
        <v/>
      </c>
      <c r="AE91" s="19" t="str">
        <f aca="false">IF(OR(I91="",I91&lt;15,O91=""),"",O91+420)</f>
        <v/>
      </c>
      <c r="AF91" s="19" t="str">
        <f aca="false">IF(OR(I91="",I91&lt;16,O91=""),"",O91+450)</f>
        <v/>
      </c>
      <c r="AG91" s="19" t="str">
        <f aca="false">IF(OR(I91="",I91&lt;17,O91=""),"",O91+480)</f>
        <v/>
      </c>
      <c r="AH91" s="19" t="str">
        <f aca="false">IF(OR(I91="",I91&lt;18,O91=""),"",O91+510)</f>
        <v/>
      </c>
      <c r="AI91" s="19" t="str">
        <f aca="false">IF(OR(I91="",I91&lt;19,O91=""),"",O91+540)</f>
        <v/>
      </c>
      <c r="AJ91" s="19" t="str">
        <f aca="false">IF(OR(I91="",I91&lt;20,O91=""),"",O91+570)</f>
        <v/>
      </c>
      <c r="AK91" s="19" t="str">
        <f aca="false">IF(OR(I91="",I91&lt;21,O91=""),"",O91+600)</f>
        <v/>
      </c>
      <c r="AL91" s="19" t="str">
        <f aca="false">IF(OR(I91="",I91&lt;22,O91=""),"",O91+630)</f>
        <v/>
      </c>
      <c r="AM91" s="19" t="str">
        <f aca="false">IF(OR(I91="",I91&lt;23,O91=""),"",O91+660)</f>
        <v/>
      </c>
      <c r="AN91" s="19" t="str">
        <f aca="false">IF(OR(I91="",I91&lt;24,O91=""),"",O91+690)</f>
        <v/>
      </c>
      <c r="AO91" s="15" t="str">
        <f aca="false">IF(J91="","",COUNTIF(Q91:AN91,TRUE())*J91)</f>
        <v/>
      </c>
      <c r="AP91" s="15" t="str">
        <f aca="false">IF(K91="","",K91-AO91)</f>
        <v/>
      </c>
      <c r="AQ91" s="15" t="str">
        <f aca="false">IF(K91="","",K91-F91-IF(N91="",0,N91))</f>
        <v/>
      </c>
    </row>
    <row r="92" customFormat="false" ht="15" hidden="false" customHeight="false" outlineLevel="0" collapsed="false">
      <c r="A92" s="4"/>
      <c r="B92" s="4"/>
      <c r="C92" s="4"/>
      <c r="D92" s="5"/>
      <c r="E92" s="5"/>
      <c r="F92" s="6"/>
      <c r="G92" s="4"/>
      <c r="H92" s="4"/>
      <c r="I92" s="4"/>
      <c r="J92" s="6"/>
      <c r="K92" s="7" t="str">
        <f aca="false">IF(OR(I92="",J92=""),"",I92*J92)</f>
        <v/>
      </c>
      <c r="L92" s="4"/>
      <c r="M92" s="8"/>
      <c r="N92" s="7" t="str">
        <f aca="false">IF(OR(L92="",M92="",K92=""),"",IF(L92="GANANCIA",(K92-F92)*M92,IF(L92="BRUTO",K92*M92,"")))</f>
        <v/>
      </c>
      <c r="O92" s="9" t="str">
        <f aca="false">IF(D92="","",D92)</f>
        <v/>
      </c>
      <c r="P92" s="10" t="str">
        <f aca="false">IF(I92="","",IF(COUNTIF(Q92:AN92,TRUE())&gt;=I92,"PAGADO",IF(COUNTIF(Q92:AN92,TRUE())&gt;0,"PARCIAL","VIGENTE")))</f>
        <v/>
      </c>
      <c r="Q92" s="11" t="str">
        <f aca="false">IF(OR(I92="",I92&lt;1,O92=""),"",O92+0)</f>
        <v/>
      </c>
      <c r="R92" s="11" t="str">
        <f aca="false">IF(OR(I92="",I92&lt;2,O92=""),"",O92+30)</f>
        <v/>
      </c>
      <c r="S92" s="11" t="str">
        <f aca="false">IF(OR(I92="",I92&lt;3,O92=""),"",O92+60)</f>
        <v/>
      </c>
      <c r="T92" s="11" t="str">
        <f aca="false">IF(OR(I92="",I92&lt;4,O92=""),"",O92+90)</f>
        <v/>
      </c>
      <c r="U92" s="11" t="str">
        <f aca="false">IF(OR(I92="",I92&lt;5,O92=""),"",O92+120)</f>
        <v/>
      </c>
      <c r="V92" s="11" t="str">
        <f aca="false">IF(OR(I92="",I92&lt;6,O92=""),"",O92+150)</f>
        <v/>
      </c>
      <c r="W92" s="11" t="str">
        <f aca="false">IF(OR(I92="",I92&lt;7,O92=""),"",O92+180)</f>
        <v/>
      </c>
      <c r="X92" s="11" t="str">
        <f aca="false">IF(OR(I92="",I92&lt;8,O92=""),"",O92+210)</f>
        <v/>
      </c>
      <c r="Y92" s="11" t="str">
        <f aca="false">IF(OR(I92="",I92&lt;9,O92=""),"",O92+240)</f>
        <v/>
      </c>
      <c r="Z92" s="11" t="str">
        <f aca="false">IF(OR(I92="",I92&lt;10,O92=""),"",O92+270)</f>
        <v/>
      </c>
      <c r="AA92" s="11" t="str">
        <f aca="false">IF(OR(I92="",I92&lt;11,O92=""),"",O92+300)</f>
        <v/>
      </c>
      <c r="AB92" s="11" t="str">
        <f aca="false">IF(OR(I92="",I92&lt;12,O92=""),"",O92+330)</f>
        <v/>
      </c>
      <c r="AC92" s="11" t="str">
        <f aca="false">IF(OR(I92="",I92&lt;13,O92=""),"",O92+360)</f>
        <v/>
      </c>
      <c r="AD92" s="11" t="str">
        <f aca="false">IF(OR(I92="",I92&lt;14,O92=""),"",O92+390)</f>
        <v/>
      </c>
      <c r="AE92" s="11" t="str">
        <f aca="false">IF(OR(I92="",I92&lt;15,O92=""),"",O92+420)</f>
        <v/>
      </c>
      <c r="AF92" s="11" t="str">
        <f aca="false">IF(OR(I92="",I92&lt;16,O92=""),"",O92+450)</f>
        <v/>
      </c>
      <c r="AG92" s="11" t="str">
        <f aca="false">IF(OR(I92="",I92&lt;17,O92=""),"",O92+480)</f>
        <v/>
      </c>
      <c r="AH92" s="11" t="str">
        <f aca="false">IF(OR(I92="",I92&lt;18,O92=""),"",O92+510)</f>
        <v/>
      </c>
      <c r="AI92" s="11" t="str">
        <f aca="false">IF(OR(I92="",I92&lt;19,O92=""),"",O92+540)</f>
        <v/>
      </c>
      <c r="AJ92" s="11" t="str">
        <f aca="false">IF(OR(I92="",I92&lt;20,O92=""),"",O92+570)</f>
        <v/>
      </c>
      <c r="AK92" s="11" t="str">
        <f aca="false">IF(OR(I92="",I92&lt;21,O92=""),"",O92+600)</f>
        <v/>
      </c>
      <c r="AL92" s="11" t="str">
        <f aca="false">IF(OR(I92="",I92&lt;22,O92=""),"",O92+630)</f>
        <v/>
      </c>
      <c r="AM92" s="11" t="str">
        <f aca="false">IF(OR(I92="",I92&lt;23,O92=""),"",O92+660)</f>
        <v/>
      </c>
      <c r="AN92" s="11" t="str">
        <f aca="false">IF(OR(I92="",I92&lt;24,O92=""),"",O92+690)</f>
        <v/>
      </c>
      <c r="AO92" s="7" t="str">
        <f aca="false">IF(J92="","",COUNTIF(Q92:AN92,TRUE())*J92)</f>
        <v/>
      </c>
      <c r="AP92" s="7" t="str">
        <f aca="false">IF(K92="","",K92-AO92)</f>
        <v/>
      </c>
      <c r="AQ92" s="7" t="str">
        <f aca="false">IF(K92="","",K92-F92-IF(N92="",0,N92))</f>
        <v/>
      </c>
    </row>
    <row r="93" customFormat="false" ht="15" hidden="false" customHeight="false" outlineLevel="0" collapsed="false">
      <c r="A93" s="12"/>
      <c r="B93" s="12"/>
      <c r="C93" s="12"/>
      <c r="D93" s="13"/>
      <c r="E93" s="13"/>
      <c r="F93" s="14"/>
      <c r="G93" s="12"/>
      <c r="H93" s="12"/>
      <c r="I93" s="12"/>
      <c r="J93" s="14"/>
      <c r="K93" s="15" t="str">
        <f aca="false">IF(OR(I93="",J93=""),"",I93*J93)</f>
        <v/>
      </c>
      <c r="L93" s="12"/>
      <c r="M93" s="16"/>
      <c r="N93" s="15" t="str">
        <f aca="false">IF(OR(L93="",M93="",K93=""),"",IF(L93="GANANCIA",(K93-F93)*M93,IF(L93="BRUTO",K93*M93,"")))</f>
        <v/>
      </c>
      <c r="O93" s="17" t="str">
        <f aca="false">IF(D93="","",D93)</f>
        <v/>
      </c>
      <c r="P93" s="18" t="str">
        <f aca="false">IF(I93="","",IF(COUNTIF(Q93:AN93,TRUE())&gt;=I93,"PAGADO",IF(COUNTIF(Q93:AN93,TRUE())&gt;0,"PARCIAL","VIGENTE")))</f>
        <v/>
      </c>
      <c r="Q93" s="19" t="str">
        <f aca="false">IF(OR(I93="",I93&lt;1,O93=""),"",O93+0)</f>
        <v/>
      </c>
      <c r="R93" s="19" t="str">
        <f aca="false">IF(OR(I93="",I93&lt;2,O93=""),"",O93+30)</f>
        <v/>
      </c>
      <c r="S93" s="19" t="str">
        <f aca="false">IF(OR(I93="",I93&lt;3,O93=""),"",O93+60)</f>
        <v/>
      </c>
      <c r="T93" s="19" t="str">
        <f aca="false">IF(OR(I93="",I93&lt;4,O93=""),"",O93+90)</f>
        <v/>
      </c>
      <c r="U93" s="19" t="str">
        <f aca="false">IF(OR(I93="",I93&lt;5,O93=""),"",O93+120)</f>
        <v/>
      </c>
      <c r="V93" s="19" t="str">
        <f aca="false">IF(OR(I93="",I93&lt;6,O93=""),"",O93+150)</f>
        <v/>
      </c>
      <c r="W93" s="19" t="str">
        <f aca="false">IF(OR(I93="",I93&lt;7,O93=""),"",O93+180)</f>
        <v/>
      </c>
      <c r="X93" s="19" t="str">
        <f aca="false">IF(OR(I93="",I93&lt;8,O93=""),"",O93+210)</f>
        <v/>
      </c>
      <c r="Y93" s="19" t="str">
        <f aca="false">IF(OR(I93="",I93&lt;9,O93=""),"",O93+240)</f>
        <v/>
      </c>
      <c r="Z93" s="19" t="str">
        <f aca="false">IF(OR(I93="",I93&lt;10,O93=""),"",O93+270)</f>
        <v/>
      </c>
      <c r="AA93" s="19" t="str">
        <f aca="false">IF(OR(I93="",I93&lt;11,O93=""),"",O93+300)</f>
        <v/>
      </c>
      <c r="AB93" s="19" t="str">
        <f aca="false">IF(OR(I93="",I93&lt;12,O93=""),"",O93+330)</f>
        <v/>
      </c>
      <c r="AC93" s="19" t="str">
        <f aca="false">IF(OR(I93="",I93&lt;13,O93=""),"",O93+360)</f>
        <v/>
      </c>
      <c r="AD93" s="19" t="str">
        <f aca="false">IF(OR(I93="",I93&lt;14,O93=""),"",O93+390)</f>
        <v/>
      </c>
      <c r="AE93" s="19" t="str">
        <f aca="false">IF(OR(I93="",I93&lt;15,O93=""),"",O93+420)</f>
        <v/>
      </c>
      <c r="AF93" s="19" t="str">
        <f aca="false">IF(OR(I93="",I93&lt;16,O93=""),"",O93+450)</f>
        <v/>
      </c>
      <c r="AG93" s="19" t="str">
        <f aca="false">IF(OR(I93="",I93&lt;17,O93=""),"",O93+480)</f>
        <v/>
      </c>
      <c r="AH93" s="19" t="str">
        <f aca="false">IF(OR(I93="",I93&lt;18,O93=""),"",O93+510)</f>
        <v/>
      </c>
      <c r="AI93" s="19" t="str">
        <f aca="false">IF(OR(I93="",I93&lt;19,O93=""),"",O93+540)</f>
        <v/>
      </c>
      <c r="AJ93" s="19" t="str">
        <f aca="false">IF(OR(I93="",I93&lt;20,O93=""),"",O93+570)</f>
        <v/>
      </c>
      <c r="AK93" s="19" t="str">
        <f aca="false">IF(OR(I93="",I93&lt;21,O93=""),"",O93+600)</f>
        <v/>
      </c>
      <c r="AL93" s="19" t="str">
        <f aca="false">IF(OR(I93="",I93&lt;22,O93=""),"",O93+630)</f>
        <v/>
      </c>
      <c r="AM93" s="19" t="str">
        <f aca="false">IF(OR(I93="",I93&lt;23,O93=""),"",O93+660)</f>
        <v/>
      </c>
      <c r="AN93" s="19" t="str">
        <f aca="false">IF(OR(I93="",I93&lt;24,O93=""),"",O93+690)</f>
        <v/>
      </c>
      <c r="AO93" s="15" t="str">
        <f aca="false">IF(J93="","",COUNTIF(Q93:AN93,TRUE())*J93)</f>
        <v/>
      </c>
      <c r="AP93" s="15" t="str">
        <f aca="false">IF(K93="","",K93-AO93)</f>
        <v/>
      </c>
      <c r="AQ93" s="15" t="str">
        <f aca="false">IF(K93="","",K93-F93-IF(N93="",0,N93))</f>
        <v/>
      </c>
    </row>
    <row r="94" customFormat="false" ht="15" hidden="false" customHeight="false" outlineLevel="0" collapsed="false">
      <c r="A94" s="4"/>
      <c r="B94" s="4"/>
      <c r="C94" s="4"/>
      <c r="D94" s="5"/>
      <c r="E94" s="5"/>
      <c r="F94" s="6"/>
      <c r="G94" s="4"/>
      <c r="H94" s="4"/>
      <c r="I94" s="4"/>
      <c r="J94" s="6"/>
      <c r="K94" s="7" t="str">
        <f aca="false">IF(OR(I94="",J94=""),"",I94*J94)</f>
        <v/>
      </c>
      <c r="L94" s="4"/>
      <c r="M94" s="8"/>
      <c r="N94" s="7" t="str">
        <f aca="false">IF(OR(L94="",M94="",K94=""),"",IF(L94="GANANCIA",(K94-F94)*M94,IF(L94="BRUTO",K94*M94,"")))</f>
        <v/>
      </c>
      <c r="O94" s="9" t="str">
        <f aca="false">IF(D94="","",D94)</f>
        <v/>
      </c>
      <c r="P94" s="10" t="str">
        <f aca="false">IF(I94="","",IF(COUNTIF(Q94:AN94,TRUE())&gt;=I94,"PAGADO",IF(COUNTIF(Q94:AN94,TRUE())&gt;0,"PARCIAL","VIGENTE")))</f>
        <v/>
      </c>
      <c r="Q94" s="11" t="str">
        <f aca="false">IF(OR(I94="",I94&lt;1,O94=""),"",O94+0)</f>
        <v/>
      </c>
      <c r="R94" s="11" t="str">
        <f aca="false">IF(OR(I94="",I94&lt;2,O94=""),"",O94+30)</f>
        <v/>
      </c>
      <c r="S94" s="11" t="str">
        <f aca="false">IF(OR(I94="",I94&lt;3,O94=""),"",O94+60)</f>
        <v/>
      </c>
      <c r="T94" s="11" t="str">
        <f aca="false">IF(OR(I94="",I94&lt;4,O94=""),"",O94+90)</f>
        <v/>
      </c>
      <c r="U94" s="11" t="str">
        <f aca="false">IF(OR(I94="",I94&lt;5,O94=""),"",O94+120)</f>
        <v/>
      </c>
      <c r="V94" s="11" t="str">
        <f aca="false">IF(OR(I94="",I94&lt;6,O94=""),"",O94+150)</f>
        <v/>
      </c>
      <c r="W94" s="11" t="str">
        <f aca="false">IF(OR(I94="",I94&lt;7,O94=""),"",O94+180)</f>
        <v/>
      </c>
      <c r="X94" s="11" t="str">
        <f aca="false">IF(OR(I94="",I94&lt;8,O94=""),"",O94+210)</f>
        <v/>
      </c>
      <c r="Y94" s="11" t="str">
        <f aca="false">IF(OR(I94="",I94&lt;9,O94=""),"",O94+240)</f>
        <v/>
      </c>
      <c r="Z94" s="11" t="str">
        <f aca="false">IF(OR(I94="",I94&lt;10,O94=""),"",O94+270)</f>
        <v/>
      </c>
      <c r="AA94" s="11" t="str">
        <f aca="false">IF(OR(I94="",I94&lt;11,O94=""),"",O94+300)</f>
        <v/>
      </c>
      <c r="AB94" s="11" t="str">
        <f aca="false">IF(OR(I94="",I94&lt;12,O94=""),"",O94+330)</f>
        <v/>
      </c>
      <c r="AC94" s="11" t="str">
        <f aca="false">IF(OR(I94="",I94&lt;13,O94=""),"",O94+360)</f>
        <v/>
      </c>
      <c r="AD94" s="11" t="str">
        <f aca="false">IF(OR(I94="",I94&lt;14,O94=""),"",O94+390)</f>
        <v/>
      </c>
      <c r="AE94" s="11" t="str">
        <f aca="false">IF(OR(I94="",I94&lt;15,O94=""),"",O94+420)</f>
        <v/>
      </c>
      <c r="AF94" s="11" t="str">
        <f aca="false">IF(OR(I94="",I94&lt;16,O94=""),"",O94+450)</f>
        <v/>
      </c>
      <c r="AG94" s="11" t="str">
        <f aca="false">IF(OR(I94="",I94&lt;17,O94=""),"",O94+480)</f>
        <v/>
      </c>
      <c r="AH94" s="11" t="str">
        <f aca="false">IF(OR(I94="",I94&lt;18,O94=""),"",O94+510)</f>
        <v/>
      </c>
      <c r="AI94" s="11" t="str">
        <f aca="false">IF(OR(I94="",I94&lt;19,O94=""),"",O94+540)</f>
        <v/>
      </c>
      <c r="AJ94" s="11" t="str">
        <f aca="false">IF(OR(I94="",I94&lt;20,O94=""),"",O94+570)</f>
        <v/>
      </c>
      <c r="AK94" s="11" t="str">
        <f aca="false">IF(OR(I94="",I94&lt;21,O94=""),"",O94+600)</f>
        <v/>
      </c>
      <c r="AL94" s="11" t="str">
        <f aca="false">IF(OR(I94="",I94&lt;22,O94=""),"",O94+630)</f>
        <v/>
      </c>
      <c r="AM94" s="11" t="str">
        <f aca="false">IF(OR(I94="",I94&lt;23,O94=""),"",O94+660)</f>
        <v/>
      </c>
      <c r="AN94" s="11" t="str">
        <f aca="false">IF(OR(I94="",I94&lt;24,O94=""),"",O94+690)</f>
        <v/>
      </c>
      <c r="AO94" s="7" t="str">
        <f aca="false">IF(J94="","",COUNTIF(Q94:AN94,TRUE())*J94)</f>
        <v/>
      </c>
      <c r="AP94" s="7" t="str">
        <f aca="false">IF(K94="","",K94-AO94)</f>
        <v/>
      </c>
      <c r="AQ94" s="7" t="str">
        <f aca="false">IF(K94="","",K94-F94-IF(N94="",0,N94))</f>
        <v/>
      </c>
    </row>
    <row r="95" customFormat="false" ht="15" hidden="false" customHeight="false" outlineLevel="0" collapsed="false">
      <c r="A95" s="12"/>
      <c r="B95" s="12"/>
      <c r="C95" s="12"/>
      <c r="D95" s="13"/>
      <c r="E95" s="13"/>
      <c r="F95" s="14"/>
      <c r="G95" s="12"/>
      <c r="H95" s="12"/>
      <c r="I95" s="12"/>
      <c r="J95" s="14"/>
      <c r="K95" s="15" t="str">
        <f aca="false">IF(OR(I95="",J95=""),"",I95*J95)</f>
        <v/>
      </c>
      <c r="L95" s="12"/>
      <c r="M95" s="16"/>
      <c r="N95" s="15" t="str">
        <f aca="false">IF(OR(L95="",M95="",K95=""),"",IF(L95="GANANCIA",(K95-F95)*M95,IF(L95="BRUTO",K95*M95,"")))</f>
        <v/>
      </c>
      <c r="O95" s="17" t="str">
        <f aca="false">IF(D95="","",D95)</f>
        <v/>
      </c>
      <c r="P95" s="18" t="str">
        <f aca="false">IF(I95="","",IF(COUNTIF(Q95:AN95,TRUE())&gt;=I95,"PAGADO",IF(COUNTIF(Q95:AN95,TRUE())&gt;0,"PARCIAL","VIGENTE")))</f>
        <v/>
      </c>
      <c r="Q95" s="19" t="str">
        <f aca="false">IF(OR(I95="",I95&lt;1,O95=""),"",O95+0)</f>
        <v/>
      </c>
      <c r="R95" s="19" t="str">
        <f aca="false">IF(OR(I95="",I95&lt;2,O95=""),"",O95+30)</f>
        <v/>
      </c>
      <c r="S95" s="19" t="str">
        <f aca="false">IF(OR(I95="",I95&lt;3,O95=""),"",O95+60)</f>
        <v/>
      </c>
      <c r="T95" s="19" t="str">
        <f aca="false">IF(OR(I95="",I95&lt;4,O95=""),"",O95+90)</f>
        <v/>
      </c>
      <c r="U95" s="19" t="str">
        <f aca="false">IF(OR(I95="",I95&lt;5,O95=""),"",O95+120)</f>
        <v/>
      </c>
      <c r="V95" s="19" t="str">
        <f aca="false">IF(OR(I95="",I95&lt;6,O95=""),"",O95+150)</f>
        <v/>
      </c>
      <c r="W95" s="19" t="str">
        <f aca="false">IF(OR(I95="",I95&lt;7,O95=""),"",O95+180)</f>
        <v/>
      </c>
      <c r="X95" s="19" t="str">
        <f aca="false">IF(OR(I95="",I95&lt;8,O95=""),"",O95+210)</f>
        <v/>
      </c>
      <c r="Y95" s="19" t="str">
        <f aca="false">IF(OR(I95="",I95&lt;9,O95=""),"",O95+240)</f>
        <v/>
      </c>
      <c r="Z95" s="19" t="str">
        <f aca="false">IF(OR(I95="",I95&lt;10,O95=""),"",O95+270)</f>
        <v/>
      </c>
      <c r="AA95" s="19" t="str">
        <f aca="false">IF(OR(I95="",I95&lt;11,O95=""),"",O95+300)</f>
        <v/>
      </c>
      <c r="AB95" s="19" t="str">
        <f aca="false">IF(OR(I95="",I95&lt;12,O95=""),"",O95+330)</f>
        <v/>
      </c>
      <c r="AC95" s="19" t="str">
        <f aca="false">IF(OR(I95="",I95&lt;13,O95=""),"",O95+360)</f>
        <v/>
      </c>
      <c r="AD95" s="19" t="str">
        <f aca="false">IF(OR(I95="",I95&lt;14,O95=""),"",O95+390)</f>
        <v/>
      </c>
      <c r="AE95" s="19" t="str">
        <f aca="false">IF(OR(I95="",I95&lt;15,O95=""),"",O95+420)</f>
        <v/>
      </c>
      <c r="AF95" s="19" t="str">
        <f aca="false">IF(OR(I95="",I95&lt;16,O95=""),"",O95+450)</f>
        <v/>
      </c>
      <c r="AG95" s="19" t="str">
        <f aca="false">IF(OR(I95="",I95&lt;17,O95=""),"",O95+480)</f>
        <v/>
      </c>
      <c r="AH95" s="19" t="str">
        <f aca="false">IF(OR(I95="",I95&lt;18,O95=""),"",O95+510)</f>
        <v/>
      </c>
      <c r="AI95" s="19" t="str">
        <f aca="false">IF(OR(I95="",I95&lt;19,O95=""),"",O95+540)</f>
        <v/>
      </c>
      <c r="AJ95" s="19" t="str">
        <f aca="false">IF(OR(I95="",I95&lt;20,O95=""),"",O95+570)</f>
        <v/>
      </c>
      <c r="AK95" s="19" t="str">
        <f aca="false">IF(OR(I95="",I95&lt;21,O95=""),"",O95+600)</f>
        <v/>
      </c>
      <c r="AL95" s="19" t="str">
        <f aca="false">IF(OR(I95="",I95&lt;22,O95=""),"",O95+630)</f>
        <v/>
      </c>
      <c r="AM95" s="19" t="str">
        <f aca="false">IF(OR(I95="",I95&lt;23,O95=""),"",O95+660)</f>
        <v/>
      </c>
      <c r="AN95" s="19" t="str">
        <f aca="false">IF(OR(I95="",I95&lt;24,O95=""),"",O95+690)</f>
        <v/>
      </c>
      <c r="AO95" s="15" t="str">
        <f aca="false">IF(J95="","",COUNTIF(Q95:AN95,TRUE())*J95)</f>
        <v/>
      </c>
      <c r="AP95" s="15" t="str">
        <f aca="false">IF(K95="","",K95-AO95)</f>
        <v/>
      </c>
      <c r="AQ95" s="15" t="str">
        <f aca="false">IF(K95="","",K95-F95-IF(N95="",0,N95))</f>
        <v/>
      </c>
    </row>
    <row r="96" customFormat="false" ht="15" hidden="false" customHeight="false" outlineLevel="0" collapsed="false">
      <c r="A96" s="4"/>
      <c r="B96" s="4"/>
      <c r="C96" s="4"/>
      <c r="D96" s="5"/>
      <c r="E96" s="5"/>
      <c r="F96" s="6"/>
      <c r="G96" s="4"/>
      <c r="H96" s="4"/>
      <c r="I96" s="4"/>
      <c r="J96" s="6"/>
      <c r="K96" s="7" t="str">
        <f aca="false">IF(OR(I96="",J96=""),"",I96*J96)</f>
        <v/>
      </c>
      <c r="L96" s="4"/>
      <c r="M96" s="8"/>
      <c r="N96" s="7" t="str">
        <f aca="false">IF(OR(L96="",M96="",K96=""),"",IF(L96="GANANCIA",(K96-F96)*M96,IF(L96="BRUTO",K96*M96,"")))</f>
        <v/>
      </c>
      <c r="O96" s="9" t="str">
        <f aca="false">IF(D96="","",D96)</f>
        <v/>
      </c>
      <c r="P96" s="10" t="str">
        <f aca="false">IF(I96="","",IF(COUNTIF(Q96:AN96,TRUE())&gt;=I96,"PAGADO",IF(COUNTIF(Q96:AN96,TRUE())&gt;0,"PARCIAL","VIGENTE")))</f>
        <v/>
      </c>
      <c r="Q96" s="11" t="str">
        <f aca="false">IF(OR(I96="",I96&lt;1,O96=""),"",O96+0)</f>
        <v/>
      </c>
      <c r="R96" s="11" t="str">
        <f aca="false">IF(OR(I96="",I96&lt;2,O96=""),"",O96+30)</f>
        <v/>
      </c>
      <c r="S96" s="11" t="str">
        <f aca="false">IF(OR(I96="",I96&lt;3,O96=""),"",O96+60)</f>
        <v/>
      </c>
      <c r="T96" s="11" t="str">
        <f aca="false">IF(OR(I96="",I96&lt;4,O96=""),"",O96+90)</f>
        <v/>
      </c>
      <c r="U96" s="11" t="str">
        <f aca="false">IF(OR(I96="",I96&lt;5,O96=""),"",O96+120)</f>
        <v/>
      </c>
      <c r="V96" s="11" t="str">
        <f aca="false">IF(OR(I96="",I96&lt;6,O96=""),"",O96+150)</f>
        <v/>
      </c>
      <c r="W96" s="11" t="str">
        <f aca="false">IF(OR(I96="",I96&lt;7,O96=""),"",O96+180)</f>
        <v/>
      </c>
      <c r="X96" s="11" t="str">
        <f aca="false">IF(OR(I96="",I96&lt;8,O96=""),"",O96+210)</f>
        <v/>
      </c>
      <c r="Y96" s="11" t="str">
        <f aca="false">IF(OR(I96="",I96&lt;9,O96=""),"",O96+240)</f>
        <v/>
      </c>
      <c r="Z96" s="11" t="str">
        <f aca="false">IF(OR(I96="",I96&lt;10,O96=""),"",O96+270)</f>
        <v/>
      </c>
      <c r="AA96" s="11" t="str">
        <f aca="false">IF(OR(I96="",I96&lt;11,O96=""),"",O96+300)</f>
        <v/>
      </c>
      <c r="AB96" s="11" t="str">
        <f aca="false">IF(OR(I96="",I96&lt;12,O96=""),"",O96+330)</f>
        <v/>
      </c>
      <c r="AC96" s="11" t="str">
        <f aca="false">IF(OR(I96="",I96&lt;13,O96=""),"",O96+360)</f>
        <v/>
      </c>
      <c r="AD96" s="11" t="str">
        <f aca="false">IF(OR(I96="",I96&lt;14,O96=""),"",O96+390)</f>
        <v/>
      </c>
      <c r="AE96" s="11" t="str">
        <f aca="false">IF(OR(I96="",I96&lt;15,O96=""),"",O96+420)</f>
        <v/>
      </c>
      <c r="AF96" s="11" t="str">
        <f aca="false">IF(OR(I96="",I96&lt;16,O96=""),"",O96+450)</f>
        <v/>
      </c>
      <c r="AG96" s="11" t="str">
        <f aca="false">IF(OR(I96="",I96&lt;17,O96=""),"",O96+480)</f>
        <v/>
      </c>
      <c r="AH96" s="11" t="str">
        <f aca="false">IF(OR(I96="",I96&lt;18,O96=""),"",O96+510)</f>
        <v/>
      </c>
      <c r="AI96" s="11" t="str">
        <f aca="false">IF(OR(I96="",I96&lt;19,O96=""),"",O96+540)</f>
        <v/>
      </c>
      <c r="AJ96" s="11" t="str">
        <f aca="false">IF(OR(I96="",I96&lt;20,O96=""),"",O96+570)</f>
        <v/>
      </c>
      <c r="AK96" s="11" t="str">
        <f aca="false">IF(OR(I96="",I96&lt;21,O96=""),"",O96+600)</f>
        <v/>
      </c>
      <c r="AL96" s="11" t="str">
        <f aca="false">IF(OR(I96="",I96&lt;22,O96=""),"",O96+630)</f>
        <v/>
      </c>
      <c r="AM96" s="11" t="str">
        <f aca="false">IF(OR(I96="",I96&lt;23,O96=""),"",O96+660)</f>
        <v/>
      </c>
      <c r="AN96" s="11" t="str">
        <f aca="false">IF(OR(I96="",I96&lt;24,O96=""),"",O96+690)</f>
        <v/>
      </c>
      <c r="AO96" s="7" t="str">
        <f aca="false">IF(J96="","",COUNTIF(Q96:AN96,TRUE())*J96)</f>
        <v/>
      </c>
      <c r="AP96" s="7" t="str">
        <f aca="false">IF(K96="","",K96-AO96)</f>
        <v/>
      </c>
      <c r="AQ96" s="7" t="str">
        <f aca="false">IF(K96="","",K96-F96-IF(N96="",0,N96))</f>
        <v/>
      </c>
    </row>
    <row r="97" customFormat="false" ht="15" hidden="false" customHeight="false" outlineLevel="0" collapsed="false">
      <c r="A97" s="12"/>
      <c r="B97" s="12"/>
      <c r="C97" s="12"/>
      <c r="D97" s="13"/>
      <c r="E97" s="13"/>
      <c r="F97" s="14"/>
      <c r="G97" s="12"/>
      <c r="H97" s="12"/>
      <c r="I97" s="12"/>
      <c r="J97" s="14"/>
      <c r="K97" s="15" t="str">
        <f aca="false">IF(OR(I97="",J97=""),"",I97*J97)</f>
        <v/>
      </c>
      <c r="L97" s="12"/>
      <c r="M97" s="16"/>
      <c r="N97" s="15" t="str">
        <f aca="false">IF(OR(L97="",M97="",K97=""),"",IF(L97="GANANCIA",(K97-F97)*M97,IF(L97="BRUTO",K97*M97,"")))</f>
        <v/>
      </c>
      <c r="O97" s="17" t="str">
        <f aca="false">IF(D97="","",D97)</f>
        <v/>
      </c>
      <c r="P97" s="18" t="str">
        <f aca="false">IF(I97="","",IF(COUNTIF(Q97:AN97,TRUE())&gt;=I97,"PAGADO",IF(COUNTIF(Q97:AN97,TRUE())&gt;0,"PARCIAL","VIGENTE")))</f>
        <v/>
      </c>
      <c r="Q97" s="19" t="str">
        <f aca="false">IF(OR(I97="",I97&lt;1,O97=""),"",O97+0)</f>
        <v/>
      </c>
      <c r="R97" s="19" t="str">
        <f aca="false">IF(OR(I97="",I97&lt;2,O97=""),"",O97+30)</f>
        <v/>
      </c>
      <c r="S97" s="19" t="str">
        <f aca="false">IF(OR(I97="",I97&lt;3,O97=""),"",O97+60)</f>
        <v/>
      </c>
      <c r="T97" s="19" t="str">
        <f aca="false">IF(OR(I97="",I97&lt;4,O97=""),"",O97+90)</f>
        <v/>
      </c>
      <c r="U97" s="19" t="str">
        <f aca="false">IF(OR(I97="",I97&lt;5,O97=""),"",O97+120)</f>
        <v/>
      </c>
      <c r="V97" s="19" t="str">
        <f aca="false">IF(OR(I97="",I97&lt;6,O97=""),"",O97+150)</f>
        <v/>
      </c>
      <c r="W97" s="19" t="str">
        <f aca="false">IF(OR(I97="",I97&lt;7,O97=""),"",O97+180)</f>
        <v/>
      </c>
      <c r="X97" s="19" t="str">
        <f aca="false">IF(OR(I97="",I97&lt;8,O97=""),"",O97+210)</f>
        <v/>
      </c>
      <c r="Y97" s="19" t="str">
        <f aca="false">IF(OR(I97="",I97&lt;9,O97=""),"",O97+240)</f>
        <v/>
      </c>
      <c r="Z97" s="19" t="str">
        <f aca="false">IF(OR(I97="",I97&lt;10,O97=""),"",O97+270)</f>
        <v/>
      </c>
      <c r="AA97" s="19" t="str">
        <f aca="false">IF(OR(I97="",I97&lt;11,O97=""),"",O97+300)</f>
        <v/>
      </c>
      <c r="AB97" s="19" t="str">
        <f aca="false">IF(OR(I97="",I97&lt;12,O97=""),"",O97+330)</f>
        <v/>
      </c>
      <c r="AC97" s="19" t="str">
        <f aca="false">IF(OR(I97="",I97&lt;13,O97=""),"",O97+360)</f>
        <v/>
      </c>
      <c r="AD97" s="19" t="str">
        <f aca="false">IF(OR(I97="",I97&lt;14,O97=""),"",O97+390)</f>
        <v/>
      </c>
      <c r="AE97" s="19" t="str">
        <f aca="false">IF(OR(I97="",I97&lt;15,O97=""),"",O97+420)</f>
        <v/>
      </c>
      <c r="AF97" s="19" t="str">
        <f aca="false">IF(OR(I97="",I97&lt;16,O97=""),"",O97+450)</f>
        <v/>
      </c>
      <c r="AG97" s="19" t="str">
        <f aca="false">IF(OR(I97="",I97&lt;17,O97=""),"",O97+480)</f>
        <v/>
      </c>
      <c r="AH97" s="19" t="str">
        <f aca="false">IF(OR(I97="",I97&lt;18,O97=""),"",O97+510)</f>
        <v/>
      </c>
      <c r="AI97" s="19" t="str">
        <f aca="false">IF(OR(I97="",I97&lt;19,O97=""),"",O97+540)</f>
        <v/>
      </c>
      <c r="AJ97" s="19" t="str">
        <f aca="false">IF(OR(I97="",I97&lt;20,O97=""),"",O97+570)</f>
        <v/>
      </c>
      <c r="AK97" s="19" t="str">
        <f aca="false">IF(OR(I97="",I97&lt;21,O97=""),"",O97+600)</f>
        <v/>
      </c>
      <c r="AL97" s="19" t="str">
        <f aca="false">IF(OR(I97="",I97&lt;22,O97=""),"",O97+630)</f>
        <v/>
      </c>
      <c r="AM97" s="19" t="str">
        <f aca="false">IF(OR(I97="",I97&lt;23,O97=""),"",O97+660)</f>
        <v/>
      </c>
      <c r="AN97" s="19" t="str">
        <f aca="false">IF(OR(I97="",I97&lt;24,O97=""),"",O97+690)</f>
        <v/>
      </c>
      <c r="AO97" s="15" t="str">
        <f aca="false">IF(J97="","",COUNTIF(Q97:AN97,TRUE())*J97)</f>
        <v/>
      </c>
      <c r="AP97" s="15" t="str">
        <f aca="false">IF(K97="","",K97-AO97)</f>
        <v/>
      </c>
      <c r="AQ97" s="15" t="str">
        <f aca="false">IF(K97="","",K97-F97-IF(N97="",0,N97))</f>
        <v/>
      </c>
    </row>
    <row r="98" customFormat="false" ht="15" hidden="false" customHeight="false" outlineLevel="0" collapsed="false">
      <c r="A98" s="4"/>
      <c r="B98" s="4"/>
      <c r="C98" s="4"/>
      <c r="D98" s="5"/>
      <c r="E98" s="5"/>
      <c r="F98" s="6"/>
      <c r="G98" s="4"/>
      <c r="H98" s="4"/>
      <c r="I98" s="4"/>
      <c r="J98" s="6"/>
      <c r="K98" s="7" t="str">
        <f aca="false">IF(OR(I98="",J98=""),"",I98*J98)</f>
        <v/>
      </c>
      <c r="L98" s="4"/>
      <c r="M98" s="8"/>
      <c r="N98" s="7" t="str">
        <f aca="false">IF(OR(L98="",M98="",K98=""),"",IF(L98="GANANCIA",(K98-F98)*M98,IF(L98="BRUTO",K98*M98,"")))</f>
        <v/>
      </c>
      <c r="O98" s="9" t="str">
        <f aca="false">IF(D98="","",D98)</f>
        <v/>
      </c>
      <c r="P98" s="10" t="str">
        <f aca="false">IF(I98="","",IF(COUNTIF(Q98:AN98,TRUE())&gt;=I98,"PAGADO",IF(COUNTIF(Q98:AN98,TRUE())&gt;0,"PARCIAL","VIGENTE")))</f>
        <v/>
      </c>
      <c r="Q98" s="11" t="str">
        <f aca="false">IF(OR(I98="",I98&lt;1,O98=""),"",O98+0)</f>
        <v/>
      </c>
      <c r="R98" s="11" t="str">
        <f aca="false">IF(OR(I98="",I98&lt;2,O98=""),"",O98+30)</f>
        <v/>
      </c>
      <c r="S98" s="11" t="str">
        <f aca="false">IF(OR(I98="",I98&lt;3,O98=""),"",O98+60)</f>
        <v/>
      </c>
      <c r="T98" s="11" t="str">
        <f aca="false">IF(OR(I98="",I98&lt;4,O98=""),"",O98+90)</f>
        <v/>
      </c>
      <c r="U98" s="11" t="str">
        <f aca="false">IF(OR(I98="",I98&lt;5,O98=""),"",O98+120)</f>
        <v/>
      </c>
      <c r="V98" s="11" t="str">
        <f aca="false">IF(OR(I98="",I98&lt;6,O98=""),"",O98+150)</f>
        <v/>
      </c>
      <c r="W98" s="11" t="str">
        <f aca="false">IF(OR(I98="",I98&lt;7,O98=""),"",O98+180)</f>
        <v/>
      </c>
      <c r="X98" s="11" t="str">
        <f aca="false">IF(OR(I98="",I98&lt;8,O98=""),"",O98+210)</f>
        <v/>
      </c>
      <c r="Y98" s="11" t="str">
        <f aca="false">IF(OR(I98="",I98&lt;9,O98=""),"",O98+240)</f>
        <v/>
      </c>
      <c r="Z98" s="11" t="str">
        <f aca="false">IF(OR(I98="",I98&lt;10,O98=""),"",O98+270)</f>
        <v/>
      </c>
      <c r="AA98" s="11" t="str">
        <f aca="false">IF(OR(I98="",I98&lt;11,O98=""),"",O98+300)</f>
        <v/>
      </c>
      <c r="AB98" s="11" t="str">
        <f aca="false">IF(OR(I98="",I98&lt;12,O98=""),"",O98+330)</f>
        <v/>
      </c>
      <c r="AC98" s="11" t="str">
        <f aca="false">IF(OR(I98="",I98&lt;13,O98=""),"",O98+360)</f>
        <v/>
      </c>
      <c r="AD98" s="11" t="str">
        <f aca="false">IF(OR(I98="",I98&lt;14,O98=""),"",O98+390)</f>
        <v/>
      </c>
      <c r="AE98" s="11" t="str">
        <f aca="false">IF(OR(I98="",I98&lt;15,O98=""),"",O98+420)</f>
        <v/>
      </c>
      <c r="AF98" s="11" t="str">
        <f aca="false">IF(OR(I98="",I98&lt;16,O98=""),"",O98+450)</f>
        <v/>
      </c>
      <c r="AG98" s="11" t="str">
        <f aca="false">IF(OR(I98="",I98&lt;17,O98=""),"",O98+480)</f>
        <v/>
      </c>
      <c r="AH98" s="11" t="str">
        <f aca="false">IF(OR(I98="",I98&lt;18,O98=""),"",O98+510)</f>
        <v/>
      </c>
      <c r="AI98" s="11" t="str">
        <f aca="false">IF(OR(I98="",I98&lt;19,O98=""),"",O98+540)</f>
        <v/>
      </c>
      <c r="AJ98" s="11" t="str">
        <f aca="false">IF(OR(I98="",I98&lt;20,O98=""),"",O98+570)</f>
        <v/>
      </c>
      <c r="AK98" s="11" t="str">
        <f aca="false">IF(OR(I98="",I98&lt;21,O98=""),"",O98+600)</f>
        <v/>
      </c>
      <c r="AL98" s="11" t="str">
        <f aca="false">IF(OR(I98="",I98&lt;22,O98=""),"",O98+630)</f>
        <v/>
      </c>
      <c r="AM98" s="11" t="str">
        <f aca="false">IF(OR(I98="",I98&lt;23,O98=""),"",O98+660)</f>
        <v/>
      </c>
      <c r="AN98" s="11" t="str">
        <f aca="false">IF(OR(I98="",I98&lt;24,O98=""),"",O98+690)</f>
        <v/>
      </c>
      <c r="AO98" s="7" t="str">
        <f aca="false">IF(J98="","",COUNTIF(Q98:AN98,TRUE())*J98)</f>
        <v/>
      </c>
      <c r="AP98" s="7" t="str">
        <f aca="false">IF(K98="","",K98-AO98)</f>
        <v/>
      </c>
      <c r="AQ98" s="7" t="str">
        <f aca="false">IF(K98="","",K98-F98-IF(N98="",0,N98))</f>
        <v/>
      </c>
    </row>
    <row r="99" customFormat="false" ht="15" hidden="false" customHeight="false" outlineLevel="0" collapsed="false">
      <c r="A99" s="12"/>
      <c r="B99" s="12"/>
      <c r="C99" s="12"/>
      <c r="D99" s="13"/>
      <c r="E99" s="13"/>
      <c r="F99" s="14"/>
      <c r="G99" s="12"/>
      <c r="H99" s="12"/>
      <c r="I99" s="12"/>
      <c r="J99" s="14"/>
      <c r="K99" s="15" t="str">
        <f aca="false">IF(OR(I99="",J99=""),"",I99*J99)</f>
        <v/>
      </c>
      <c r="L99" s="12"/>
      <c r="M99" s="16"/>
      <c r="N99" s="15" t="str">
        <f aca="false">IF(OR(L99="",M99="",K99=""),"",IF(L99="GANANCIA",(K99-F99)*M99,IF(L99="BRUTO",K99*M99,"")))</f>
        <v/>
      </c>
      <c r="O99" s="17" t="str">
        <f aca="false">IF(D99="","",D99)</f>
        <v/>
      </c>
      <c r="P99" s="18" t="str">
        <f aca="false">IF(I99="","",IF(COUNTIF(Q99:AN99,TRUE())&gt;=I99,"PAGADO",IF(COUNTIF(Q99:AN99,TRUE())&gt;0,"PARCIAL","VIGENTE")))</f>
        <v/>
      </c>
      <c r="Q99" s="19" t="str">
        <f aca="false">IF(OR(I99="",I99&lt;1,O99=""),"",O99+0)</f>
        <v/>
      </c>
      <c r="R99" s="19" t="str">
        <f aca="false">IF(OR(I99="",I99&lt;2,O99=""),"",O99+30)</f>
        <v/>
      </c>
      <c r="S99" s="19" t="str">
        <f aca="false">IF(OR(I99="",I99&lt;3,O99=""),"",O99+60)</f>
        <v/>
      </c>
      <c r="T99" s="19" t="str">
        <f aca="false">IF(OR(I99="",I99&lt;4,O99=""),"",O99+90)</f>
        <v/>
      </c>
      <c r="U99" s="19" t="str">
        <f aca="false">IF(OR(I99="",I99&lt;5,O99=""),"",O99+120)</f>
        <v/>
      </c>
      <c r="V99" s="19" t="str">
        <f aca="false">IF(OR(I99="",I99&lt;6,O99=""),"",O99+150)</f>
        <v/>
      </c>
      <c r="W99" s="19" t="str">
        <f aca="false">IF(OR(I99="",I99&lt;7,O99=""),"",O99+180)</f>
        <v/>
      </c>
      <c r="X99" s="19" t="str">
        <f aca="false">IF(OR(I99="",I99&lt;8,O99=""),"",O99+210)</f>
        <v/>
      </c>
      <c r="Y99" s="19" t="str">
        <f aca="false">IF(OR(I99="",I99&lt;9,O99=""),"",O99+240)</f>
        <v/>
      </c>
      <c r="Z99" s="19" t="str">
        <f aca="false">IF(OR(I99="",I99&lt;10,O99=""),"",O99+270)</f>
        <v/>
      </c>
      <c r="AA99" s="19" t="str">
        <f aca="false">IF(OR(I99="",I99&lt;11,O99=""),"",O99+300)</f>
        <v/>
      </c>
      <c r="AB99" s="19" t="str">
        <f aca="false">IF(OR(I99="",I99&lt;12,O99=""),"",O99+330)</f>
        <v/>
      </c>
      <c r="AC99" s="19" t="str">
        <f aca="false">IF(OR(I99="",I99&lt;13,O99=""),"",O99+360)</f>
        <v/>
      </c>
      <c r="AD99" s="19" t="str">
        <f aca="false">IF(OR(I99="",I99&lt;14,O99=""),"",O99+390)</f>
        <v/>
      </c>
      <c r="AE99" s="19" t="str">
        <f aca="false">IF(OR(I99="",I99&lt;15,O99=""),"",O99+420)</f>
        <v/>
      </c>
      <c r="AF99" s="19" t="str">
        <f aca="false">IF(OR(I99="",I99&lt;16,O99=""),"",O99+450)</f>
        <v/>
      </c>
      <c r="AG99" s="19" t="str">
        <f aca="false">IF(OR(I99="",I99&lt;17,O99=""),"",O99+480)</f>
        <v/>
      </c>
      <c r="AH99" s="19" t="str">
        <f aca="false">IF(OR(I99="",I99&lt;18,O99=""),"",O99+510)</f>
        <v/>
      </c>
      <c r="AI99" s="19" t="str">
        <f aca="false">IF(OR(I99="",I99&lt;19,O99=""),"",O99+540)</f>
        <v/>
      </c>
      <c r="AJ99" s="19" t="str">
        <f aca="false">IF(OR(I99="",I99&lt;20,O99=""),"",O99+570)</f>
        <v/>
      </c>
      <c r="AK99" s="19" t="str">
        <f aca="false">IF(OR(I99="",I99&lt;21,O99=""),"",O99+600)</f>
        <v/>
      </c>
      <c r="AL99" s="19" t="str">
        <f aca="false">IF(OR(I99="",I99&lt;22,O99=""),"",O99+630)</f>
        <v/>
      </c>
      <c r="AM99" s="19" t="str">
        <f aca="false">IF(OR(I99="",I99&lt;23,O99=""),"",O99+660)</f>
        <v/>
      </c>
      <c r="AN99" s="19" t="str">
        <f aca="false">IF(OR(I99="",I99&lt;24,O99=""),"",O99+690)</f>
        <v/>
      </c>
      <c r="AO99" s="15" t="str">
        <f aca="false">IF(J99="","",COUNTIF(Q99:AN99,TRUE())*J99)</f>
        <v/>
      </c>
      <c r="AP99" s="15" t="str">
        <f aca="false">IF(K99="","",K99-AO99)</f>
        <v/>
      </c>
      <c r="AQ99" s="15" t="str">
        <f aca="false">IF(K99="","",K99-F99-IF(N99="",0,N99))</f>
        <v/>
      </c>
    </row>
    <row r="100" customFormat="false" ht="15" hidden="false" customHeight="false" outlineLevel="0" collapsed="false">
      <c r="A100" s="4"/>
      <c r="B100" s="4"/>
      <c r="C100" s="4"/>
      <c r="D100" s="5"/>
      <c r="E100" s="5"/>
      <c r="F100" s="6"/>
      <c r="G100" s="4"/>
      <c r="H100" s="4"/>
      <c r="I100" s="4"/>
      <c r="J100" s="6"/>
      <c r="K100" s="7" t="str">
        <f aca="false">IF(OR(I100="",J100=""),"",I100*J100)</f>
        <v/>
      </c>
      <c r="L100" s="4"/>
      <c r="M100" s="8"/>
      <c r="N100" s="7" t="str">
        <f aca="false">IF(OR(L100="",M100="",K100=""),"",IF(L100="GANANCIA",(K100-F100)*M100,IF(L100="BRUTO",K100*M100,"")))</f>
        <v/>
      </c>
      <c r="O100" s="9" t="str">
        <f aca="false">IF(D100="","",D100)</f>
        <v/>
      </c>
      <c r="P100" s="10" t="str">
        <f aca="false">IF(I100="","",IF(COUNTIF(Q100:AN100,TRUE())&gt;=I100,"PAGADO",IF(COUNTIF(Q100:AN100,TRUE())&gt;0,"PARCIAL","VIGENTE")))</f>
        <v/>
      </c>
      <c r="Q100" s="11" t="str">
        <f aca="false">IF(OR(I100="",I100&lt;1,O100=""),"",O100+0)</f>
        <v/>
      </c>
      <c r="R100" s="11" t="str">
        <f aca="false">IF(OR(I100="",I100&lt;2,O100=""),"",O100+30)</f>
        <v/>
      </c>
      <c r="S100" s="11" t="str">
        <f aca="false">IF(OR(I100="",I100&lt;3,O100=""),"",O100+60)</f>
        <v/>
      </c>
      <c r="T100" s="11" t="str">
        <f aca="false">IF(OR(I100="",I100&lt;4,O100=""),"",O100+90)</f>
        <v/>
      </c>
      <c r="U100" s="11" t="str">
        <f aca="false">IF(OR(I100="",I100&lt;5,O100=""),"",O100+120)</f>
        <v/>
      </c>
      <c r="V100" s="11" t="str">
        <f aca="false">IF(OR(I100="",I100&lt;6,O100=""),"",O100+150)</f>
        <v/>
      </c>
      <c r="W100" s="11" t="str">
        <f aca="false">IF(OR(I100="",I100&lt;7,O100=""),"",O100+180)</f>
        <v/>
      </c>
      <c r="X100" s="11" t="str">
        <f aca="false">IF(OR(I100="",I100&lt;8,O100=""),"",O100+210)</f>
        <v/>
      </c>
      <c r="Y100" s="11" t="str">
        <f aca="false">IF(OR(I100="",I100&lt;9,O100=""),"",O100+240)</f>
        <v/>
      </c>
      <c r="Z100" s="11" t="str">
        <f aca="false">IF(OR(I100="",I100&lt;10,O100=""),"",O100+270)</f>
        <v/>
      </c>
      <c r="AA100" s="11" t="str">
        <f aca="false">IF(OR(I100="",I100&lt;11,O100=""),"",O100+300)</f>
        <v/>
      </c>
      <c r="AB100" s="11" t="str">
        <f aca="false">IF(OR(I100="",I100&lt;12,O100=""),"",O100+330)</f>
        <v/>
      </c>
      <c r="AC100" s="11" t="str">
        <f aca="false">IF(OR(I100="",I100&lt;13,O100=""),"",O100+360)</f>
        <v/>
      </c>
      <c r="AD100" s="11" t="str">
        <f aca="false">IF(OR(I100="",I100&lt;14,O100=""),"",O100+390)</f>
        <v/>
      </c>
      <c r="AE100" s="11" t="str">
        <f aca="false">IF(OR(I100="",I100&lt;15,O100=""),"",O100+420)</f>
        <v/>
      </c>
      <c r="AF100" s="11" t="str">
        <f aca="false">IF(OR(I100="",I100&lt;16,O100=""),"",O100+450)</f>
        <v/>
      </c>
      <c r="AG100" s="11" t="str">
        <f aca="false">IF(OR(I100="",I100&lt;17,O100=""),"",O100+480)</f>
        <v/>
      </c>
      <c r="AH100" s="11" t="str">
        <f aca="false">IF(OR(I100="",I100&lt;18,O100=""),"",O100+510)</f>
        <v/>
      </c>
      <c r="AI100" s="11" t="str">
        <f aca="false">IF(OR(I100="",I100&lt;19,O100=""),"",O100+540)</f>
        <v/>
      </c>
      <c r="AJ100" s="11" t="str">
        <f aca="false">IF(OR(I100="",I100&lt;20,O100=""),"",O100+570)</f>
        <v/>
      </c>
      <c r="AK100" s="11" t="str">
        <f aca="false">IF(OR(I100="",I100&lt;21,O100=""),"",O100+600)</f>
        <v/>
      </c>
      <c r="AL100" s="11" t="str">
        <f aca="false">IF(OR(I100="",I100&lt;22,O100=""),"",O100+630)</f>
        <v/>
      </c>
      <c r="AM100" s="11" t="str">
        <f aca="false">IF(OR(I100="",I100&lt;23,O100=""),"",O100+660)</f>
        <v/>
      </c>
      <c r="AN100" s="11" t="str">
        <f aca="false">IF(OR(I100="",I100&lt;24,O100=""),"",O100+690)</f>
        <v/>
      </c>
      <c r="AO100" s="7" t="str">
        <f aca="false">IF(J100="","",COUNTIF(Q100:AN100,TRUE())*J100)</f>
        <v/>
      </c>
      <c r="AP100" s="7" t="str">
        <f aca="false">IF(K100="","",K100-AO100)</f>
        <v/>
      </c>
      <c r="AQ100" s="7" t="str">
        <f aca="false">IF(K100="","",K100-F100-IF(N100="",0,N100))</f>
        <v/>
      </c>
    </row>
    <row r="101" customFormat="false" ht="15" hidden="false" customHeight="false" outlineLevel="0" collapsed="false">
      <c r="A101" s="12"/>
      <c r="B101" s="12"/>
      <c r="C101" s="12"/>
      <c r="D101" s="13"/>
      <c r="E101" s="13"/>
      <c r="F101" s="14"/>
      <c r="G101" s="12"/>
      <c r="H101" s="12"/>
      <c r="I101" s="12"/>
      <c r="J101" s="14"/>
      <c r="K101" s="15" t="str">
        <f aca="false">IF(OR(I101="",J101=""),"",I101*J101)</f>
        <v/>
      </c>
      <c r="L101" s="12"/>
      <c r="M101" s="16"/>
      <c r="N101" s="15" t="str">
        <f aca="false">IF(OR(L101="",M101="",K101=""),"",IF(L101="GANANCIA",(K101-F101)*M101,IF(L101="BRUTO",K101*M101,"")))</f>
        <v/>
      </c>
      <c r="O101" s="17" t="str">
        <f aca="false">IF(D101="","",D101)</f>
        <v/>
      </c>
      <c r="P101" s="18" t="str">
        <f aca="false">IF(I101="","",IF(COUNTIF(Q101:AN101,TRUE())&gt;=I101,"PAGADO",IF(COUNTIF(Q101:AN101,TRUE())&gt;0,"PARCIAL","VIGENTE")))</f>
        <v/>
      </c>
      <c r="Q101" s="19" t="str">
        <f aca="false">IF(OR(I101="",I101&lt;1,O101=""),"",O101+0)</f>
        <v/>
      </c>
      <c r="R101" s="19" t="str">
        <f aca="false">IF(OR(I101="",I101&lt;2,O101=""),"",O101+30)</f>
        <v/>
      </c>
      <c r="S101" s="19" t="str">
        <f aca="false">IF(OR(I101="",I101&lt;3,O101=""),"",O101+60)</f>
        <v/>
      </c>
      <c r="T101" s="19" t="str">
        <f aca="false">IF(OR(I101="",I101&lt;4,O101=""),"",O101+90)</f>
        <v/>
      </c>
      <c r="U101" s="19" t="str">
        <f aca="false">IF(OR(I101="",I101&lt;5,O101=""),"",O101+120)</f>
        <v/>
      </c>
      <c r="V101" s="19" t="str">
        <f aca="false">IF(OR(I101="",I101&lt;6,O101=""),"",O101+150)</f>
        <v/>
      </c>
      <c r="W101" s="19" t="str">
        <f aca="false">IF(OR(I101="",I101&lt;7,O101=""),"",O101+180)</f>
        <v/>
      </c>
      <c r="X101" s="19" t="str">
        <f aca="false">IF(OR(I101="",I101&lt;8,O101=""),"",O101+210)</f>
        <v/>
      </c>
      <c r="Y101" s="19" t="str">
        <f aca="false">IF(OR(I101="",I101&lt;9,O101=""),"",O101+240)</f>
        <v/>
      </c>
      <c r="Z101" s="19" t="str">
        <f aca="false">IF(OR(I101="",I101&lt;10,O101=""),"",O101+270)</f>
        <v/>
      </c>
      <c r="AA101" s="19" t="str">
        <f aca="false">IF(OR(I101="",I101&lt;11,O101=""),"",O101+300)</f>
        <v/>
      </c>
      <c r="AB101" s="19" t="str">
        <f aca="false">IF(OR(I101="",I101&lt;12,O101=""),"",O101+330)</f>
        <v/>
      </c>
      <c r="AC101" s="19" t="str">
        <f aca="false">IF(OR(I101="",I101&lt;13,O101=""),"",O101+360)</f>
        <v/>
      </c>
      <c r="AD101" s="19" t="str">
        <f aca="false">IF(OR(I101="",I101&lt;14,O101=""),"",O101+390)</f>
        <v/>
      </c>
      <c r="AE101" s="19" t="str">
        <f aca="false">IF(OR(I101="",I101&lt;15,O101=""),"",O101+420)</f>
        <v/>
      </c>
      <c r="AF101" s="19" t="str">
        <f aca="false">IF(OR(I101="",I101&lt;16,O101=""),"",O101+450)</f>
        <v/>
      </c>
      <c r="AG101" s="19" t="str">
        <f aca="false">IF(OR(I101="",I101&lt;17,O101=""),"",O101+480)</f>
        <v/>
      </c>
      <c r="AH101" s="19" t="str">
        <f aca="false">IF(OR(I101="",I101&lt;18,O101=""),"",O101+510)</f>
        <v/>
      </c>
      <c r="AI101" s="19" t="str">
        <f aca="false">IF(OR(I101="",I101&lt;19,O101=""),"",O101+540)</f>
        <v/>
      </c>
      <c r="AJ101" s="19" t="str">
        <f aca="false">IF(OR(I101="",I101&lt;20,O101=""),"",O101+570)</f>
        <v/>
      </c>
      <c r="AK101" s="19" t="str">
        <f aca="false">IF(OR(I101="",I101&lt;21,O101=""),"",O101+600)</f>
        <v/>
      </c>
      <c r="AL101" s="19" t="str">
        <f aca="false">IF(OR(I101="",I101&lt;22,O101=""),"",O101+630)</f>
        <v/>
      </c>
      <c r="AM101" s="19" t="str">
        <f aca="false">IF(OR(I101="",I101&lt;23,O101=""),"",O101+660)</f>
        <v/>
      </c>
      <c r="AN101" s="19" t="str">
        <f aca="false">IF(OR(I101="",I101&lt;24,O101=""),"",O101+690)</f>
        <v/>
      </c>
      <c r="AO101" s="15" t="str">
        <f aca="false">IF(J101="","",COUNTIF(Q101:AN101,TRUE())*J101)</f>
        <v/>
      </c>
      <c r="AP101" s="15" t="str">
        <f aca="false">IF(K101="","",K101-AO101)</f>
        <v/>
      </c>
      <c r="AQ101" s="15" t="str">
        <f aca="false">IF(K101="","",K101-F101-IF(N101="",0,N101))</f>
        <v/>
      </c>
    </row>
    <row r="102" customFormat="false" ht="15" hidden="false" customHeight="false" outlineLevel="0" collapsed="false">
      <c r="A102" s="4"/>
      <c r="B102" s="4"/>
      <c r="C102" s="4"/>
      <c r="D102" s="5"/>
      <c r="E102" s="5"/>
      <c r="F102" s="6"/>
      <c r="G102" s="4"/>
      <c r="H102" s="4"/>
      <c r="I102" s="4"/>
      <c r="J102" s="6"/>
      <c r="K102" s="7" t="str">
        <f aca="false">IF(OR(I102="",J102=""),"",I102*J102)</f>
        <v/>
      </c>
      <c r="L102" s="4"/>
      <c r="M102" s="8"/>
      <c r="N102" s="7" t="str">
        <f aca="false">IF(OR(L102="",M102="",K102=""),"",IF(L102="GANANCIA",(K102-F102)*M102,IF(L102="BRUTO",K102*M102,"")))</f>
        <v/>
      </c>
      <c r="O102" s="9" t="str">
        <f aca="false">IF(D102="","",D102)</f>
        <v/>
      </c>
      <c r="P102" s="10" t="str">
        <f aca="false">IF(I102="","",IF(COUNTIF(Q102:AN102,TRUE())&gt;=I102,"PAGADO",IF(COUNTIF(Q102:AN102,TRUE())&gt;0,"PARCIAL","VIGENTE")))</f>
        <v/>
      </c>
      <c r="Q102" s="11" t="str">
        <f aca="false">IF(OR(I102="",I102&lt;1,O102=""),"",O102+0)</f>
        <v/>
      </c>
      <c r="R102" s="11" t="str">
        <f aca="false">IF(OR(I102="",I102&lt;2,O102=""),"",O102+30)</f>
        <v/>
      </c>
      <c r="S102" s="11" t="str">
        <f aca="false">IF(OR(I102="",I102&lt;3,O102=""),"",O102+60)</f>
        <v/>
      </c>
      <c r="T102" s="11" t="str">
        <f aca="false">IF(OR(I102="",I102&lt;4,O102=""),"",O102+90)</f>
        <v/>
      </c>
      <c r="U102" s="11" t="str">
        <f aca="false">IF(OR(I102="",I102&lt;5,O102=""),"",O102+120)</f>
        <v/>
      </c>
      <c r="V102" s="11" t="str">
        <f aca="false">IF(OR(I102="",I102&lt;6,O102=""),"",O102+150)</f>
        <v/>
      </c>
      <c r="W102" s="11" t="str">
        <f aca="false">IF(OR(I102="",I102&lt;7,O102=""),"",O102+180)</f>
        <v/>
      </c>
      <c r="X102" s="11" t="str">
        <f aca="false">IF(OR(I102="",I102&lt;8,O102=""),"",O102+210)</f>
        <v/>
      </c>
      <c r="Y102" s="11" t="str">
        <f aca="false">IF(OR(I102="",I102&lt;9,O102=""),"",O102+240)</f>
        <v/>
      </c>
      <c r="Z102" s="11" t="str">
        <f aca="false">IF(OR(I102="",I102&lt;10,O102=""),"",O102+270)</f>
        <v/>
      </c>
      <c r="AA102" s="11" t="str">
        <f aca="false">IF(OR(I102="",I102&lt;11,O102=""),"",O102+300)</f>
        <v/>
      </c>
      <c r="AB102" s="11" t="str">
        <f aca="false">IF(OR(I102="",I102&lt;12,O102=""),"",O102+330)</f>
        <v/>
      </c>
      <c r="AC102" s="11" t="str">
        <f aca="false">IF(OR(I102="",I102&lt;13,O102=""),"",O102+360)</f>
        <v/>
      </c>
      <c r="AD102" s="11" t="str">
        <f aca="false">IF(OR(I102="",I102&lt;14,O102=""),"",O102+390)</f>
        <v/>
      </c>
      <c r="AE102" s="11" t="str">
        <f aca="false">IF(OR(I102="",I102&lt;15,O102=""),"",O102+420)</f>
        <v/>
      </c>
      <c r="AF102" s="11" t="str">
        <f aca="false">IF(OR(I102="",I102&lt;16,O102=""),"",O102+450)</f>
        <v/>
      </c>
      <c r="AG102" s="11" t="str">
        <f aca="false">IF(OR(I102="",I102&lt;17,O102=""),"",O102+480)</f>
        <v/>
      </c>
      <c r="AH102" s="11" t="str">
        <f aca="false">IF(OR(I102="",I102&lt;18,O102=""),"",O102+510)</f>
        <v/>
      </c>
      <c r="AI102" s="11" t="str">
        <f aca="false">IF(OR(I102="",I102&lt;19,O102=""),"",O102+540)</f>
        <v/>
      </c>
      <c r="AJ102" s="11" t="str">
        <f aca="false">IF(OR(I102="",I102&lt;20,O102=""),"",O102+570)</f>
        <v/>
      </c>
      <c r="AK102" s="11" t="str">
        <f aca="false">IF(OR(I102="",I102&lt;21,O102=""),"",O102+600)</f>
        <v/>
      </c>
      <c r="AL102" s="11" t="str">
        <f aca="false">IF(OR(I102="",I102&lt;22,O102=""),"",O102+630)</f>
        <v/>
      </c>
      <c r="AM102" s="11" t="str">
        <f aca="false">IF(OR(I102="",I102&lt;23,O102=""),"",O102+660)</f>
        <v/>
      </c>
      <c r="AN102" s="11" t="str">
        <f aca="false">IF(OR(I102="",I102&lt;24,O102=""),"",O102+690)</f>
        <v/>
      </c>
      <c r="AO102" s="7" t="str">
        <f aca="false">IF(J102="","",COUNTIF(Q102:AN102,TRUE())*J102)</f>
        <v/>
      </c>
      <c r="AP102" s="7" t="str">
        <f aca="false">IF(K102="","",K102-AO102)</f>
        <v/>
      </c>
      <c r="AQ102" s="7" t="str">
        <f aca="false">IF(K102="","",K102-F102-IF(N102="",0,N102))</f>
        <v/>
      </c>
    </row>
    <row r="103" customFormat="false" ht="15" hidden="false" customHeight="false" outlineLevel="0" collapsed="false">
      <c r="A103" s="12"/>
      <c r="B103" s="12"/>
      <c r="C103" s="12"/>
      <c r="D103" s="13"/>
      <c r="E103" s="13"/>
      <c r="F103" s="14"/>
      <c r="G103" s="12"/>
      <c r="H103" s="12"/>
      <c r="I103" s="12"/>
      <c r="J103" s="14"/>
      <c r="K103" s="15" t="str">
        <f aca="false">IF(OR(I103="",J103=""),"",I103*J103)</f>
        <v/>
      </c>
      <c r="L103" s="12"/>
      <c r="M103" s="16"/>
      <c r="N103" s="15" t="str">
        <f aca="false">IF(OR(L103="",M103="",K103=""),"",IF(L103="GANANCIA",(K103-F103)*M103,IF(L103="BRUTO",K103*M103,"")))</f>
        <v/>
      </c>
      <c r="O103" s="17" t="str">
        <f aca="false">IF(D103="","",D103)</f>
        <v/>
      </c>
      <c r="P103" s="18" t="str">
        <f aca="false">IF(I103="","",IF(COUNTIF(Q103:AN103,TRUE())&gt;=I103,"PAGADO",IF(COUNTIF(Q103:AN103,TRUE())&gt;0,"PARCIAL","VIGENTE")))</f>
        <v/>
      </c>
      <c r="Q103" s="19" t="str">
        <f aca="false">IF(OR(I103="",I103&lt;1,O103=""),"",O103+0)</f>
        <v/>
      </c>
      <c r="R103" s="19" t="str">
        <f aca="false">IF(OR(I103="",I103&lt;2,O103=""),"",O103+30)</f>
        <v/>
      </c>
      <c r="S103" s="19" t="str">
        <f aca="false">IF(OR(I103="",I103&lt;3,O103=""),"",O103+60)</f>
        <v/>
      </c>
      <c r="T103" s="19" t="str">
        <f aca="false">IF(OR(I103="",I103&lt;4,O103=""),"",O103+90)</f>
        <v/>
      </c>
      <c r="U103" s="19" t="str">
        <f aca="false">IF(OR(I103="",I103&lt;5,O103=""),"",O103+120)</f>
        <v/>
      </c>
      <c r="V103" s="19" t="str">
        <f aca="false">IF(OR(I103="",I103&lt;6,O103=""),"",O103+150)</f>
        <v/>
      </c>
      <c r="W103" s="19" t="str">
        <f aca="false">IF(OR(I103="",I103&lt;7,O103=""),"",O103+180)</f>
        <v/>
      </c>
      <c r="X103" s="19" t="str">
        <f aca="false">IF(OR(I103="",I103&lt;8,O103=""),"",O103+210)</f>
        <v/>
      </c>
      <c r="Y103" s="19" t="str">
        <f aca="false">IF(OR(I103="",I103&lt;9,O103=""),"",O103+240)</f>
        <v/>
      </c>
      <c r="Z103" s="19" t="str">
        <f aca="false">IF(OR(I103="",I103&lt;10,O103=""),"",O103+270)</f>
        <v/>
      </c>
      <c r="AA103" s="19" t="str">
        <f aca="false">IF(OR(I103="",I103&lt;11,O103=""),"",O103+300)</f>
        <v/>
      </c>
      <c r="AB103" s="19" t="str">
        <f aca="false">IF(OR(I103="",I103&lt;12,O103=""),"",O103+330)</f>
        <v/>
      </c>
      <c r="AC103" s="19" t="str">
        <f aca="false">IF(OR(I103="",I103&lt;13,O103=""),"",O103+360)</f>
        <v/>
      </c>
      <c r="AD103" s="19" t="str">
        <f aca="false">IF(OR(I103="",I103&lt;14,O103=""),"",O103+390)</f>
        <v/>
      </c>
      <c r="AE103" s="19" t="str">
        <f aca="false">IF(OR(I103="",I103&lt;15,O103=""),"",O103+420)</f>
        <v/>
      </c>
      <c r="AF103" s="19" t="str">
        <f aca="false">IF(OR(I103="",I103&lt;16,O103=""),"",O103+450)</f>
        <v/>
      </c>
      <c r="AG103" s="19" t="str">
        <f aca="false">IF(OR(I103="",I103&lt;17,O103=""),"",O103+480)</f>
        <v/>
      </c>
      <c r="AH103" s="19" t="str">
        <f aca="false">IF(OR(I103="",I103&lt;18,O103=""),"",O103+510)</f>
        <v/>
      </c>
      <c r="AI103" s="19" t="str">
        <f aca="false">IF(OR(I103="",I103&lt;19,O103=""),"",O103+540)</f>
        <v/>
      </c>
      <c r="AJ103" s="19" t="str">
        <f aca="false">IF(OR(I103="",I103&lt;20,O103=""),"",O103+570)</f>
        <v/>
      </c>
      <c r="AK103" s="19" t="str">
        <f aca="false">IF(OR(I103="",I103&lt;21,O103=""),"",O103+600)</f>
        <v/>
      </c>
      <c r="AL103" s="19" t="str">
        <f aca="false">IF(OR(I103="",I103&lt;22,O103=""),"",O103+630)</f>
        <v/>
      </c>
      <c r="AM103" s="19" t="str">
        <f aca="false">IF(OR(I103="",I103&lt;23,O103=""),"",O103+660)</f>
        <v/>
      </c>
      <c r="AN103" s="19" t="str">
        <f aca="false">IF(OR(I103="",I103&lt;24,O103=""),"",O103+690)</f>
        <v/>
      </c>
      <c r="AO103" s="15" t="str">
        <f aca="false">IF(J103="","",COUNTIF(Q103:AN103,TRUE())*J103)</f>
        <v/>
      </c>
      <c r="AP103" s="15" t="str">
        <f aca="false">IF(K103="","",K103-AO103)</f>
        <v/>
      </c>
      <c r="AQ103" s="15" t="str">
        <f aca="false">IF(K103="","",K103-F103-IF(N103="",0,N103))</f>
        <v/>
      </c>
    </row>
    <row r="104" customFormat="false" ht="15" hidden="false" customHeight="false" outlineLevel="0" collapsed="false">
      <c r="A104" s="4"/>
      <c r="B104" s="4"/>
      <c r="C104" s="4"/>
      <c r="D104" s="5"/>
      <c r="E104" s="5"/>
      <c r="F104" s="6"/>
      <c r="G104" s="4"/>
      <c r="H104" s="4"/>
      <c r="I104" s="4"/>
      <c r="J104" s="6"/>
      <c r="K104" s="7" t="str">
        <f aca="false">IF(OR(I104="",J104=""),"",I104*J104)</f>
        <v/>
      </c>
      <c r="L104" s="4"/>
      <c r="M104" s="8"/>
      <c r="N104" s="7" t="str">
        <f aca="false">IF(OR(L104="",M104="",K104=""),"",IF(L104="GANANCIA",(K104-F104)*M104,IF(L104="BRUTO",K104*M104,"")))</f>
        <v/>
      </c>
      <c r="O104" s="9" t="str">
        <f aca="false">IF(D104="","",D104)</f>
        <v/>
      </c>
      <c r="P104" s="10" t="str">
        <f aca="false">IF(I104="","",IF(COUNTIF(Q104:AN104,TRUE())&gt;=I104,"PAGADO",IF(COUNTIF(Q104:AN104,TRUE())&gt;0,"PARCIAL","VIGENTE")))</f>
        <v/>
      </c>
      <c r="Q104" s="11" t="str">
        <f aca="false">IF(OR(I104="",I104&lt;1,O104=""),"",O104+0)</f>
        <v/>
      </c>
      <c r="R104" s="11" t="str">
        <f aca="false">IF(OR(I104="",I104&lt;2,O104=""),"",O104+30)</f>
        <v/>
      </c>
      <c r="S104" s="11" t="str">
        <f aca="false">IF(OR(I104="",I104&lt;3,O104=""),"",O104+60)</f>
        <v/>
      </c>
      <c r="T104" s="11" t="str">
        <f aca="false">IF(OR(I104="",I104&lt;4,O104=""),"",O104+90)</f>
        <v/>
      </c>
      <c r="U104" s="11" t="str">
        <f aca="false">IF(OR(I104="",I104&lt;5,O104=""),"",O104+120)</f>
        <v/>
      </c>
      <c r="V104" s="11" t="str">
        <f aca="false">IF(OR(I104="",I104&lt;6,O104=""),"",O104+150)</f>
        <v/>
      </c>
      <c r="W104" s="11" t="str">
        <f aca="false">IF(OR(I104="",I104&lt;7,O104=""),"",O104+180)</f>
        <v/>
      </c>
      <c r="X104" s="11" t="str">
        <f aca="false">IF(OR(I104="",I104&lt;8,O104=""),"",O104+210)</f>
        <v/>
      </c>
      <c r="Y104" s="11" t="str">
        <f aca="false">IF(OR(I104="",I104&lt;9,O104=""),"",O104+240)</f>
        <v/>
      </c>
      <c r="Z104" s="11" t="str">
        <f aca="false">IF(OR(I104="",I104&lt;10,O104=""),"",O104+270)</f>
        <v/>
      </c>
      <c r="AA104" s="11" t="str">
        <f aca="false">IF(OR(I104="",I104&lt;11,O104=""),"",O104+300)</f>
        <v/>
      </c>
      <c r="AB104" s="11" t="str">
        <f aca="false">IF(OR(I104="",I104&lt;12,O104=""),"",O104+330)</f>
        <v/>
      </c>
      <c r="AC104" s="11" t="str">
        <f aca="false">IF(OR(I104="",I104&lt;13,O104=""),"",O104+360)</f>
        <v/>
      </c>
      <c r="AD104" s="11" t="str">
        <f aca="false">IF(OR(I104="",I104&lt;14,O104=""),"",O104+390)</f>
        <v/>
      </c>
      <c r="AE104" s="11" t="str">
        <f aca="false">IF(OR(I104="",I104&lt;15,O104=""),"",O104+420)</f>
        <v/>
      </c>
      <c r="AF104" s="11" t="str">
        <f aca="false">IF(OR(I104="",I104&lt;16,O104=""),"",O104+450)</f>
        <v/>
      </c>
      <c r="AG104" s="11" t="str">
        <f aca="false">IF(OR(I104="",I104&lt;17,O104=""),"",O104+480)</f>
        <v/>
      </c>
      <c r="AH104" s="11" t="str">
        <f aca="false">IF(OR(I104="",I104&lt;18,O104=""),"",O104+510)</f>
        <v/>
      </c>
      <c r="AI104" s="11" t="str">
        <f aca="false">IF(OR(I104="",I104&lt;19,O104=""),"",O104+540)</f>
        <v/>
      </c>
      <c r="AJ104" s="11" t="str">
        <f aca="false">IF(OR(I104="",I104&lt;20,O104=""),"",O104+570)</f>
        <v/>
      </c>
      <c r="AK104" s="11" t="str">
        <f aca="false">IF(OR(I104="",I104&lt;21,O104=""),"",O104+600)</f>
        <v/>
      </c>
      <c r="AL104" s="11" t="str">
        <f aca="false">IF(OR(I104="",I104&lt;22,O104=""),"",O104+630)</f>
        <v/>
      </c>
      <c r="AM104" s="11" t="str">
        <f aca="false">IF(OR(I104="",I104&lt;23,O104=""),"",O104+660)</f>
        <v/>
      </c>
      <c r="AN104" s="11" t="str">
        <f aca="false">IF(OR(I104="",I104&lt;24,O104=""),"",O104+690)</f>
        <v/>
      </c>
      <c r="AO104" s="7" t="str">
        <f aca="false">IF(J104="","",COUNTIF(Q104:AN104,TRUE())*J104)</f>
        <v/>
      </c>
      <c r="AP104" s="7" t="str">
        <f aca="false">IF(K104="","",K104-AO104)</f>
        <v/>
      </c>
      <c r="AQ104" s="7" t="str">
        <f aca="false">IF(K104="","",K104-F104-IF(N104="",0,N104))</f>
        <v/>
      </c>
    </row>
    <row r="105" customFormat="false" ht="15" hidden="false" customHeight="false" outlineLevel="0" collapsed="false">
      <c r="A105" s="12"/>
      <c r="B105" s="12"/>
      <c r="C105" s="12"/>
      <c r="D105" s="13"/>
      <c r="E105" s="13"/>
      <c r="F105" s="14"/>
      <c r="G105" s="12"/>
      <c r="H105" s="12"/>
      <c r="I105" s="12"/>
      <c r="J105" s="14"/>
      <c r="K105" s="15" t="str">
        <f aca="false">IF(OR(I105="",J105=""),"",I105*J105)</f>
        <v/>
      </c>
      <c r="L105" s="12"/>
      <c r="M105" s="16"/>
      <c r="N105" s="15" t="str">
        <f aca="false">IF(OR(L105="",M105="",K105=""),"",IF(L105="GANANCIA",(K105-F105)*M105,IF(L105="BRUTO",K105*M105,"")))</f>
        <v/>
      </c>
      <c r="O105" s="17" t="str">
        <f aca="false">IF(D105="","",D105)</f>
        <v/>
      </c>
      <c r="P105" s="18" t="str">
        <f aca="false">IF(I105="","",IF(COUNTIF(Q105:AN105,TRUE())&gt;=I105,"PAGADO",IF(COUNTIF(Q105:AN105,TRUE())&gt;0,"PARCIAL","VIGENTE")))</f>
        <v/>
      </c>
      <c r="Q105" s="19" t="str">
        <f aca="false">IF(OR(I105="",I105&lt;1,O105=""),"",O105+0)</f>
        <v/>
      </c>
      <c r="R105" s="19" t="str">
        <f aca="false">IF(OR(I105="",I105&lt;2,O105=""),"",O105+30)</f>
        <v/>
      </c>
      <c r="S105" s="19" t="str">
        <f aca="false">IF(OR(I105="",I105&lt;3,O105=""),"",O105+60)</f>
        <v/>
      </c>
      <c r="T105" s="19" t="str">
        <f aca="false">IF(OR(I105="",I105&lt;4,O105=""),"",O105+90)</f>
        <v/>
      </c>
      <c r="U105" s="19" t="str">
        <f aca="false">IF(OR(I105="",I105&lt;5,O105=""),"",O105+120)</f>
        <v/>
      </c>
      <c r="V105" s="19" t="str">
        <f aca="false">IF(OR(I105="",I105&lt;6,O105=""),"",O105+150)</f>
        <v/>
      </c>
      <c r="W105" s="19" t="str">
        <f aca="false">IF(OR(I105="",I105&lt;7,O105=""),"",O105+180)</f>
        <v/>
      </c>
      <c r="X105" s="19" t="str">
        <f aca="false">IF(OR(I105="",I105&lt;8,O105=""),"",O105+210)</f>
        <v/>
      </c>
      <c r="Y105" s="19" t="str">
        <f aca="false">IF(OR(I105="",I105&lt;9,O105=""),"",O105+240)</f>
        <v/>
      </c>
      <c r="Z105" s="19" t="str">
        <f aca="false">IF(OR(I105="",I105&lt;10,O105=""),"",O105+270)</f>
        <v/>
      </c>
      <c r="AA105" s="19" t="str">
        <f aca="false">IF(OR(I105="",I105&lt;11,O105=""),"",O105+300)</f>
        <v/>
      </c>
      <c r="AB105" s="19" t="str">
        <f aca="false">IF(OR(I105="",I105&lt;12,O105=""),"",O105+330)</f>
        <v/>
      </c>
      <c r="AC105" s="19" t="str">
        <f aca="false">IF(OR(I105="",I105&lt;13,O105=""),"",O105+360)</f>
        <v/>
      </c>
      <c r="AD105" s="19" t="str">
        <f aca="false">IF(OR(I105="",I105&lt;14,O105=""),"",O105+390)</f>
        <v/>
      </c>
      <c r="AE105" s="19" t="str">
        <f aca="false">IF(OR(I105="",I105&lt;15,O105=""),"",O105+420)</f>
        <v/>
      </c>
      <c r="AF105" s="19" t="str">
        <f aca="false">IF(OR(I105="",I105&lt;16,O105=""),"",O105+450)</f>
        <v/>
      </c>
      <c r="AG105" s="19" t="str">
        <f aca="false">IF(OR(I105="",I105&lt;17,O105=""),"",O105+480)</f>
        <v/>
      </c>
      <c r="AH105" s="19" t="str">
        <f aca="false">IF(OR(I105="",I105&lt;18,O105=""),"",O105+510)</f>
        <v/>
      </c>
      <c r="AI105" s="19" t="str">
        <f aca="false">IF(OR(I105="",I105&lt;19,O105=""),"",O105+540)</f>
        <v/>
      </c>
      <c r="AJ105" s="19" t="str">
        <f aca="false">IF(OR(I105="",I105&lt;20,O105=""),"",O105+570)</f>
        <v/>
      </c>
      <c r="AK105" s="19" t="str">
        <f aca="false">IF(OR(I105="",I105&lt;21,O105=""),"",O105+600)</f>
        <v/>
      </c>
      <c r="AL105" s="19" t="str">
        <f aca="false">IF(OR(I105="",I105&lt;22,O105=""),"",O105+630)</f>
        <v/>
      </c>
      <c r="AM105" s="19" t="str">
        <f aca="false">IF(OR(I105="",I105&lt;23,O105=""),"",O105+660)</f>
        <v/>
      </c>
      <c r="AN105" s="19" t="str">
        <f aca="false">IF(OR(I105="",I105&lt;24,O105=""),"",O105+690)</f>
        <v/>
      </c>
      <c r="AO105" s="15" t="str">
        <f aca="false">IF(J105="","",COUNTIF(Q105:AN105,TRUE())*J105)</f>
        <v/>
      </c>
      <c r="AP105" s="15" t="str">
        <f aca="false">IF(K105="","",K105-AO105)</f>
        <v/>
      </c>
      <c r="AQ105" s="15" t="str">
        <f aca="false">IF(K105="","",K105-F105-IF(N105="",0,N105))</f>
        <v/>
      </c>
    </row>
    <row r="106" customFormat="false" ht="15" hidden="false" customHeight="false" outlineLevel="0" collapsed="false">
      <c r="A106" s="4"/>
      <c r="B106" s="4"/>
      <c r="C106" s="4"/>
      <c r="D106" s="5"/>
      <c r="E106" s="5"/>
      <c r="F106" s="6"/>
      <c r="G106" s="4"/>
      <c r="H106" s="4"/>
      <c r="I106" s="4"/>
      <c r="J106" s="6"/>
      <c r="K106" s="7" t="str">
        <f aca="false">IF(OR(I106="",J106=""),"",I106*J106)</f>
        <v/>
      </c>
      <c r="L106" s="4"/>
      <c r="M106" s="8"/>
      <c r="N106" s="7" t="str">
        <f aca="false">IF(OR(L106="",M106="",K106=""),"",IF(L106="GANANCIA",(K106-F106)*M106,IF(L106="BRUTO",K106*M106,"")))</f>
        <v/>
      </c>
      <c r="O106" s="9" t="str">
        <f aca="false">IF(D106="","",D106)</f>
        <v/>
      </c>
      <c r="P106" s="10" t="str">
        <f aca="false">IF(I106="","",IF(COUNTIF(Q106:AN106,TRUE())&gt;=I106,"PAGADO",IF(COUNTIF(Q106:AN106,TRUE())&gt;0,"PARCIAL","VIGENTE")))</f>
        <v/>
      </c>
      <c r="Q106" s="11" t="str">
        <f aca="false">IF(OR(I106="",I106&lt;1,O106=""),"",O106+0)</f>
        <v/>
      </c>
      <c r="R106" s="11" t="str">
        <f aca="false">IF(OR(I106="",I106&lt;2,O106=""),"",O106+30)</f>
        <v/>
      </c>
      <c r="S106" s="11" t="str">
        <f aca="false">IF(OR(I106="",I106&lt;3,O106=""),"",O106+60)</f>
        <v/>
      </c>
      <c r="T106" s="11" t="str">
        <f aca="false">IF(OR(I106="",I106&lt;4,O106=""),"",O106+90)</f>
        <v/>
      </c>
      <c r="U106" s="11" t="str">
        <f aca="false">IF(OR(I106="",I106&lt;5,O106=""),"",O106+120)</f>
        <v/>
      </c>
      <c r="V106" s="11" t="str">
        <f aca="false">IF(OR(I106="",I106&lt;6,O106=""),"",O106+150)</f>
        <v/>
      </c>
      <c r="W106" s="11" t="str">
        <f aca="false">IF(OR(I106="",I106&lt;7,O106=""),"",O106+180)</f>
        <v/>
      </c>
      <c r="X106" s="11" t="str">
        <f aca="false">IF(OR(I106="",I106&lt;8,O106=""),"",O106+210)</f>
        <v/>
      </c>
      <c r="Y106" s="11" t="str">
        <f aca="false">IF(OR(I106="",I106&lt;9,O106=""),"",O106+240)</f>
        <v/>
      </c>
      <c r="Z106" s="11" t="str">
        <f aca="false">IF(OR(I106="",I106&lt;10,O106=""),"",O106+270)</f>
        <v/>
      </c>
      <c r="AA106" s="11" t="str">
        <f aca="false">IF(OR(I106="",I106&lt;11,O106=""),"",O106+300)</f>
        <v/>
      </c>
      <c r="AB106" s="11" t="str">
        <f aca="false">IF(OR(I106="",I106&lt;12,O106=""),"",O106+330)</f>
        <v/>
      </c>
      <c r="AC106" s="11" t="str">
        <f aca="false">IF(OR(I106="",I106&lt;13,O106=""),"",O106+360)</f>
        <v/>
      </c>
      <c r="AD106" s="11" t="str">
        <f aca="false">IF(OR(I106="",I106&lt;14,O106=""),"",O106+390)</f>
        <v/>
      </c>
      <c r="AE106" s="11" t="str">
        <f aca="false">IF(OR(I106="",I106&lt;15,O106=""),"",O106+420)</f>
        <v/>
      </c>
      <c r="AF106" s="11" t="str">
        <f aca="false">IF(OR(I106="",I106&lt;16,O106=""),"",O106+450)</f>
        <v/>
      </c>
      <c r="AG106" s="11" t="str">
        <f aca="false">IF(OR(I106="",I106&lt;17,O106=""),"",O106+480)</f>
        <v/>
      </c>
      <c r="AH106" s="11" t="str">
        <f aca="false">IF(OR(I106="",I106&lt;18,O106=""),"",O106+510)</f>
        <v/>
      </c>
      <c r="AI106" s="11" t="str">
        <f aca="false">IF(OR(I106="",I106&lt;19,O106=""),"",O106+540)</f>
        <v/>
      </c>
      <c r="AJ106" s="11" t="str">
        <f aca="false">IF(OR(I106="",I106&lt;20,O106=""),"",O106+570)</f>
        <v/>
      </c>
      <c r="AK106" s="11" t="str">
        <f aca="false">IF(OR(I106="",I106&lt;21,O106=""),"",O106+600)</f>
        <v/>
      </c>
      <c r="AL106" s="11" t="str">
        <f aca="false">IF(OR(I106="",I106&lt;22,O106=""),"",O106+630)</f>
        <v/>
      </c>
      <c r="AM106" s="11" t="str">
        <f aca="false">IF(OR(I106="",I106&lt;23,O106=""),"",O106+660)</f>
        <v/>
      </c>
      <c r="AN106" s="11" t="str">
        <f aca="false">IF(OR(I106="",I106&lt;24,O106=""),"",O106+690)</f>
        <v/>
      </c>
      <c r="AO106" s="7" t="str">
        <f aca="false">IF(J106="","",COUNTIF(Q106:AN106,TRUE())*J106)</f>
        <v/>
      </c>
      <c r="AP106" s="7" t="str">
        <f aca="false">IF(K106="","",K106-AO106)</f>
        <v/>
      </c>
      <c r="AQ106" s="7" t="str">
        <f aca="false">IF(K106="","",K106-F106-IF(N106="",0,N106))</f>
        <v/>
      </c>
    </row>
    <row r="107" customFormat="false" ht="15" hidden="false" customHeight="false" outlineLevel="0" collapsed="false">
      <c r="A107" s="12"/>
      <c r="B107" s="12"/>
      <c r="C107" s="12"/>
      <c r="D107" s="13"/>
      <c r="E107" s="13"/>
      <c r="F107" s="14"/>
      <c r="G107" s="12"/>
      <c r="H107" s="12"/>
      <c r="I107" s="12"/>
      <c r="J107" s="14"/>
      <c r="K107" s="15" t="str">
        <f aca="false">IF(OR(I107="",J107=""),"",I107*J107)</f>
        <v/>
      </c>
      <c r="L107" s="12"/>
      <c r="M107" s="16"/>
      <c r="N107" s="15" t="str">
        <f aca="false">IF(OR(L107="",M107="",K107=""),"",IF(L107="GANANCIA",(K107-F107)*M107,IF(L107="BRUTO",K107*M107,"")))</f>
        <v/>
      </c>
      <c r="O107" s="17" t="str">
        <f aca="false">IF(D107="","",D107)</f>
        <v/>
      </c>
      <c r="P107" s="18" t="str">
        <f aca="false">IF(I107="","",IF(COUNTIF(Q107:AN107,TRUE())&gt;=I107,"PAGADO",IF(COUNTIF(Q107:AN107,TRUE())&gt;0,"PARCIAL","VIGENTE")))</f>
        <v/>
      </c>
      <c r="Q107" s="19" t="str">
        <f aca="false">IF(OR(I107="",I107&lt;1,O107=""),"",O107+0)</f>
        <v/>
      </c>
      <c r="R107" s="19" t="str">
        <f aca="false">IF(OR(I107="",I107&lt;2,O107=""),"",O107+30)</f>
        <v/>
      </c>
      <c r="S107" s="19" t="str">
        <f aca="false">IF(OR(I107="",I107&lt;3,O107=""),"",O107+60)</f>
        <v/>
      </c>
      <c r="T107" s="19" t="str">
        <f aca="false">IF(OR(I107="",I107&lt;4,O107=""),"",O107+90)</f>
        <v/>
      </c>
      <c r="U107" s="19" t="str">
        <f aca="false">IF(OR(I107="",I107&lt;5,O107=""),"",O107+120)</f>
        <v/>
      </c>
      <c r="V107" s="19" t="str">
        <f aca="false">IF(OR(I107="",I107&lt;6,O107=""),"",O107+150)</f>
        <v/>
      </c>
      <c r="W107" s="19" t="str">
        <f aca="false">IF(OR(I107="",I107&lt;7,O107=""),"",O107+180)</f>
        <v/>
      </c>
      <c r="X107" s="19" t="str">
        <f aca="false">IF(OR(I107="",I107&lt;8,O107=""),"",O107+210)</f>
        <v/>
      </c>
      <c r="Y107" s="19" t="str">
        <f aca="false">IF(OR(I107="",I107&lt;9,O107=""),"",O107+240)</f>
        <v/>
      </c>
      <c r="Z107" s="19" t="str">
        <f aca="false">IF(OR(I107="",I107&lt;10,O107=""),"",O107+270)</f>
        <v/>
      </c>
      <c r="AA107" s="19" t="str">
        <f aca="false">IF(OR(I107="",I107&lt;11,O107=""),"",O107+300)</f>
        <v/>
      </c>
      <c r="AB107" s="19" t="str">
        <f aca="false">IF(OR(I107="",I107&lt;12,O107=""),"",O107+330)</f>
        <v/>
      </c>
      <c r="AC107" s="19" t="str">
        <f aca="false">IF(OR(I107="",I107&lt;13,O107=""),"",O107+360)</f>
        <v/>
      </c>
      <c r="AD107" s="19" t="str">
        <f aca="false">IF(OR(I107="",I107&lt;14,O107=""),"",O107+390)</f>
        <v/>
      </c>
      <c r="AE107" s="19" t="str">
        <f aca="false">IF(OR(I107="",I107&lt;15,O107=""),"",O107+420)</f>
        <v/>
      </c>
      <c r="AF107" s="19" t="str">
        <f aca="false">IF(OR(I107="",I107&lt;16,O107=""),"",O107+450)</f>
        <v/>
      </c>
      <c r="AG107" s="19" t="str">
        <f aca="false">IF(OR(I107="",I107&lt;17,O107=""),"",O107+480)</f>
        <v/>
      </c>
      <c r="AH107" s="19" t="str">
        <f aca="false">IF(OR(I107="",I107&lt;18,O107=""),"",O107+510)</f>
        <v/>
      </c>
      <c r="AI107" s="19" t="str">
        <f aca="false">IF(OR(I107="",I107&lt;19,O107=""),"",O107+540)</f>
        <v/>
      </c>
      <c r="AJ107" s="19" t="str">
        <f aca="false">IF(OR(I107="",I107&lt;20,O107=""),"",O107+570)</f>
        <v/>
      </c>
      <c r="AK107" s="19" t="str">
        <f aca="false">IF(OR(I107="",I107&lt;21,O107=""),"",O107+600)</f>
        <v/>
      </c>
      <c r="AL107" s="19" t="str">
        <f aca="false">IF(OR(I107="",I107&lt;22,O107=""),"",O107+630)</f>
        <v/>
      </c>
      <c r="AM107" s="19" t="str">
        <f aca="false">IF(OR(I107="",I107&lt;23,O107=""),"",O107+660)</f>
        <v/>
      </c>
      <c r="AN107" s="19" t="str">
        <f aca="false">IF(OR(I107="",I107&lt;24,O107=""),"",O107+690)</f>
        <v/>
      </c>
      <c r="AO107" s="15" t="str">
        <f aca="false">IF(J107="","",COUNTIF(Q107:AN107,TRUE())*J107)</f>
        <v/>
      </c>
      <c r="AP107" s="15" t="str">
        <f aca="false">IF(K107="","",K107-AO107)</f>
        <v/>
      </c>
      <c r="AQ107" s="15" t="str">
        <f aca="false">IF(K107="","",K107-F107-IF(N107="",0,N107))</f>
        <v/>
      </c>
    </row>
    <row r="108" customFormat="false" ht="15" hidden="false" customHeight="false" outlineLevel="0" collapsed="false">
      <c r="A108" s="4"/>
      <c r="B108" s="4"/>
      <c r="C108" s="4"/>
      <c r="D108" s="5"/>
      <c r="E108" s="5"/>
      <c r="F108" s="6"/>
      <c r="G108" s="4"/>
      <c r="H108" s="4"/>
      <c r="I108" s="4"/>
      <c r="J108" s="6"/>
      <c r="K108" s="7" t="str">
        <f aca="false">IF(OR(I108="",J108=""),"",I108*J108)</f>
        <v/>
      </c>
      <c r="L108" s="4"/>
      <c r="M108" s="8"/>
      <c r="N108" s="7" t="str">
        <f aca="false">IF(OR(L108="",M108="",K108=""),"",IF(L108="GANANCIA",(K108-F108)*M108,IF(L108="BRUTO",K108*M108,"")))</f>
        <v/>
      </c>
      <c r="O108" s="9" t="str">
        <f aca="false">IF(D108="","",D108)</f>
        <v/>
      </c>
      <c r="P108" s="10" t="str">
        <f aca="false">IF(I108="","",IF(COUNTIF(Q108:AN108,TRUE())&gt;=I108,"PAGADO",IF(COUNTIF(Q108:AN108,TRUE())&gt;0,"PARCIAL","VIGENTE")))</f>
        <v/>
      </c>
      <c r="Q108" s="11" t="str">
        <f aca="false">IF(OR(I108="",I108&lt;1,O108=""),"",O108+0)</f>
        <v/>
      </c>
      <c r="R108" s="11" t="str">
        <f aca="false">IF(OR(I108="",I108&lt;2,O108=""),"",O108+30)</f>
        <v/>
      </c>
      <c r="S108" s="11" t="str">
        <f aca="false">IF(OR(I108="",I108&lt;3,O108=""),"",O108+60)</f>
        <v/>
      </c>
      <c r="T108" s="11" t="str">
        <f aca="false">IF(OR(I108="",I108&lt;4,O108=""),"",O108+90)</f>
        <v/>
      </c>
      <c r="U108" s="11" t="str">
        <f aca="false">IF(OR(I108="",I108&lt;5,O108=""),"",O108+120)</f>
        <v/>
      </c>
      <c r="V108" s="11" t="str">
        <f aca="false">IF(OR(I108="",I108&lt;6,O108=""),"",O108+150)</f>
        <v/>
      </c>
      <c r="W108" s="11" t="str">
        <f aca="false">IF(OR(I108="",I108&lt;7,O108=""),"",O108+180)</f>
        <v/>
      </c>
      <c r="X108" s="11" t="str">
        <f aca="false">IF(OR(I108="",I108&lt;8,O108=""),"",O108+210)</f>
        <v/>
      </c>
      <c r="Y108" s="11" t="str">
        <f aca="false">IF(OR(I108="",I108&lt;9,O108=""),"",O108+240)</f>
        <v/>
      </c>
      <c r="Z108" s="11" t="str">
        <f aca="false">IF(OR(I108="",I108&lt;10,O108=""),"",O108+270)</f>
        <v/>
      </c>
      <c r="AA108" s="11" t="str">
        <f aca="false">IF(OR(I108="",I108&lt;11,O108=""),"",O108+300)</f>
        <v/>
      </c>
      <c r="AB108" s="11" t="str">
        <f aca="false">IF(OR(I108="",I108&lt;12,O108=""),"",O108+330)</f>
        <v/>
      </c>
      <c r="AC108" s="11" t="str">
        <f aca="false">IF(OR(I108="",I108&lt;13,O108=""),"",O108+360)</f>
        <v/>
      </c>
      <c r="AD108" s="11" t="str">
        <f aca="false">IF(OR(I108="",I108&lt;14,O108=""),"",O108+390)</f>
        <v/>
      </c>
      <c r="AE108" s="11" t="str">
        <f aca="false">IF(OR(I108="",I108&lt;15,O108=""),"",O108+420)</f>
        <v/>
      </c>
      <c r="AF108" s="11" t="str">
        <f aca="false">IF(OR(I108="",I108&lt;16,O108=""),"",O108+450)</f>
        <v/>
      </c>
      <c r="AG108" s="11" t="str">
        <f aca="false">IF(OR(I108="",I108&lt;17,O108=""),"",O108+480)</f>
        <v/>
      </c>
      <c r="AH108" s="11" t="str">
        <f aca="false">IF(OR(I108="",I108&lt;18,O108=""),"",O108+510)</f>
        <v/>
      </c>
      <c r="AI108" s="11" t="str">
        <f aca="false">IF(OR(I108="",I108&lt;19,O108=""),"",O108+540)</f>
        <v/>
      </c>
      <c r="AJ108" s="11" t="str">
        <f aca="false">IF(OR(I108="",I108&lt;20,O108=""),"",O108+570)</f>
        <v/>
      </c>
      <c r="AK108" s="11" t="str">
        <f aca="false">IF(OR(I108="",I108&lt;21,O108=""),"",O108+600)</f>
        <v/>
      </c>
      <c r="AL108" s="11" t="str">
        <f aca="false">IF(OR(I108="",I108&lt;22,O108=""),"",O108+630)</f>
        <v/>
      </c>
      <c r="AM108" s="11" t="str">
        <f aca="false">IF(OR(I108="",I108&lt;23,O108=""),"",O108+660)</f>
        <v/>
      </c>
      <c r="AN108" s="11" t="str">
        <f aca="false">IF(OR(I108="",I108&lt;24,O108=""),"",O108+690)</f>
        <v/>
      </c>
      <c r="AO108" s="7" t="str">
        <f aca="false">IF(J108="","",COUNTIF(Q108:AN108,TRUE())*J108)</f>
        <v/>
      </c>
      <c r="AP108" s="7" t="str">
        <f aca="false">IF(K108="","",K108-AO108)</f>
        <v/>
      </c>
      <c r="AQ108" s="7" t="str">
        <f aca="false">IF(K108="","",K108-F108-IF(N108="",0,N108))</f>
        <v/>
      </c>
    </row>
    <row r="109" customFormat="false" ht="15" hidden="false" customHeight="false" outlineLevel="0" collapsed="false">
      <c r="A109" s="12"/>
      <c r="B109" s="12"/>
      <c r="C109" s="12"/>
      <c r="D109" s="13"/>
      <c r="E109" s="13"/>
      <c r="F109" s="14"/>
      <c r="G109" s="12"/>
      <c r="H109" s="12"/>
      <c r="I109" s="12"/>
      <c r="J109" s="14"/>
      <c r="K109" s="15" t="str">
        <f aca="false">IF(OR(I109="",J109=""),"",I109*J109)</f>
        <v/>
      </c>
      <c r="L109" s="12"/>
      <c r="M109" s="16"/>
      <c r="N109" s="15" t="str">
        <f aca="false">IF(OR(L109="",M109="",K109=""),"",IF(L109="GANANCIA",(K109-F109)*M109,IF(L109="BRUTO",K109*M109,"")))</f>
        <v/>
      </c>
      <c r="O109" s="17" t="str">
        <f aca="false">IF(D109="","",D109)</f>
        <v/>
      </c>
      <c r="P109" s="18" t="str">
        <f aca="false">IF(I109="","",IF(COUNTIF(Q109:AN109,TRUE())&gt;=I109,"PAGADO",IF(COUNTIF(Q109:AN109,TRUE())&gt;0,"PARCIAL","VIGENTE")))</f>
        <v/>
      </c>
      <c r="Q109" s="19" t="str">
        <f aca="false">IF(OR(I109="",I109&lt;1,O109=""),"",O109+0)</f>
        <v/>
      </c>
      <c r="R109" s="19" t="str">
        <f aca="false">IF(OR(I109="",I109&lt;2,O109=""),"",O109+30)</f>
        <v/>
      </c>
      <c r="S109" s="19" t="str">
        <f aca="false">IF(OR(I109="",I109&lt;3,O109=""),"",O109+60)</f>
        <v/>
      </c>
      <c r="T109" s="19" t="str">
        <f aca="false">IF(OR(I109="",I109&lt;4,O109=""),"",O109+90)</f>
        <v/>
      </c>
      <c r="U109" s="19" t="str">
        <f aca="false">IF(OR(I109="",I109&lt;5,O109=""),"",O109+120)</f>
        <v/>
      </c>
      <c r="V109" s="19" t="str">
        <f aca="false">IF(OR(I109="",I109&lt;6,O109=""),"",O109+150)</f>
        <v/>
      </c>
      <c r="W109" s="19" t="str">
        <f aca="false">IF(OR(I109="",I109&lt;7,O109=""),"",O109+180)</f>
        <v/>
      </c>
      <c r="X109" s="19" t="str">
        <f aca="false">IF(OR(I109="",I109&lt;8,O109=""),"",O109+210)</f>
        <v/>
      </c>
      <c r="Y109" s="19" t="str">
        <f aca="false">IF(OR(I109="",I109&lt;9,O109=""),"",O109+240)</f>
        <v/>
      </c>
      <c r="Z109" s="19" t="str">
        <f aca="false">IF(OR(I109="",I109&lt;10,O109=""),"",O109+270)</f>
        <v/>
      </c>
      <c r="AA109" s="19" t="str">
        <f aca="false">IF(OR(I109="",I109&lt;11,O109=""),"",O109+300)</f>
        <v/>
      </c>
      <c r="AB109" s="19" t="str">
        <f aca="false">IF(OR(I109="",I109&lt;12,O109=""),"",O109+330)</f>
        <v/>
      </c>
      <c r="AC109" s="19" t="str">
        <f aca="false">IF(OR(I109="",I109&lt;13,O109=""),"",O109+360)</f>
        <v/>
      </c>
      <c r="AD109" s="19" t="str">
        <f aca="false">IF(OR(I109="",I109&lt;14,O109=""),"",O109+390)</f>
        <v/>
      </c>
      <c r="AE109" s="19" t="str">
        <f aca="false">IF(OR(I109="",I109&lt;15,O109=""),"",O109+420)</f>
        <v/>
      </c>
      <c r="AF109" s="19" t="str">
        <f aca="false">IF(OR(I109="",I109&lt;16,O109=""),"",O109+450)</f>
        <v/>
      </c>
      <c r="AG109" s="19" t="str">
        <f aca="false">IF(OR(I109="",I109&lt;17,O109=""),"",O109+480)</f>
        <v/>
      </c>
      <c r="AH109" s="19" t="str">
        <f aca="false">IF(OR(I109="",I109&lt;18,O109=""),"",O109+510)</f>
        <v/>
      </c>
      <c r="AI109" s="19" t="str">
        <f aca="false">IF(OR(I109="",I109&lt;19,O109=""),"",O109+540)</f>
        <v/>
      </c>
      <c r="AJ109" s="19" t="str">
        <f aca="false">IF(OR(I109="",I109&lt;20,O109=""),"",O109+570)</f>
        <v/>
      </c>
      <c r="AK109" s="19" t="str">
        <f aca="false">IF(OR(I109="",I109&lt;21,O109=""),"",O109+600)</f>
        <v/>
      </c>
      <c r="AL109" s="19" t="str">
        <f aca="false">IF(OR(I109="",I109&lt;22,O109=""),"",O109+630)</f>
        <v/>
      </c>
      <c r="AM109" s="19" t="str">
        <f aca="false">IF(OR(I109="",I109&lt;23,O109=""),"",O109+660)</f>
        <v/>
      </c>
      <c r="AN109" s="19" t="str">
        <f aca="false">IF(OR(I109="",I109&lt;24,O109=""),"",O109+690)</f>
        <v/>
      </c>
      <c r="AO109" s="15" t="str">
        <f aca="false">IF(J109="","",COUNTIF(Q109:AN109,TRUE())*J109)</f>
        <v/>
      </c>
      <c r="AP109" s="15" t="str">
        <f aca="false">IF(K109="","",K109-AO109)</f>
        <v/>
      </c>
      <c r="AQ109" s="15" t="str">
        <f aca="false">IF(K109="","",K109-F109-IF(N109="",0,N109))</f>
        <v/>
      </c>
    </row>
    <row r="110" customFormat="false" ht="15" hidden="false" customHeight="false" outlineLevel="0" collapsed="false">
      <c r="A110" s="4"/>
      <c r="B110" s="4"/>
      <c r="C110" s="4"/>
      <c r="D110" s="5"/>
      <c r="E110" s="5"/>
      <c r="F110" s="6"/>
      <c r="G110" s="4"/>
      <c r="H110" s="4"/>
      <c r="I110" s="4"/>
      <c r="J110" s="6"/>
      <c r="K110" s="7" t="str">
        <f aca="false">IF(OR(I110="",J110=""),"",I110*J110)</f>
        <v/>
      </c>
      <c r="L110" s="4"/>
      <c r="M110" s="8"/>
      <c r="N110" s="7" t="str">
        <f aca="false">IF(OR(L110="",M110="",K110=""),"",IF(L110="GANANCIA",(K110-F110)*M110,IF(L110="BRUTO",K110*M110,"")))</f>
        <v/>
      </c>
      <c r="O110" s="9" t="str">
        <f aca="false">IF(D110="","",D110)</f>
        <v/>
      </c>
      <c r="P110" s="10" t="str">
        <f aca="false">IF(I110="","",IF(COUNTIF(Q110:AN110,TRUE())&gt;=I110,"PAGADO",IF(COUNTIF(Q110:AN110,TRUE())&gt;0,"PARCIAL","VIGENTE")))</f>
        <v/>
      </c>
      <c r="Q110" s="11" t="str">
        <f aca="false">IF(OR(I110="",I110&lt;1,O110=""),"",O110+0)</f>
        <v/>
      </c>
      <c r="R110" s="11" t="str">
        <f aca="false">IF(OR(I110="",I110&lt;2,O110=""),"",O110+30)</f>
        <v/>
      </c>
      <c r="S110" s="11" t="str">
        <f aca="false">IF(OR(I110="",I110&lt;3,O110=""),"",O110+60)</f>
        <v/>
      </c>
      <c r="T110" s="11" t="str">
        <f aca="false">IF(OR(I110="",I110&lt;4,O110=""),"",O110+90)</f>
        <v/>
      </c>
      <c r="U110" s="11" t="str">
        <f aca="false">IF(OR(I110="",I110&lt;5,O110=""),"",O110+120)</f>
        <v/>
      </c>
      <c r="V110" s="11" t="str">
        <f aca="false">IF(OR(I110="",I110&lt;6,O110=""),"",O110+150)</f>
        <v/>
      </c>
      <c r="W110" s="11" t="str">
        <f aca="false">IF(OR(I110="",I110&lt;7,O110=""),"",O110+180)</f>
        <v/>
      </c>
      <c r="X110" s="11" t="str">
        <f aca="false">IF(OR(I110="",I110&lt;8,O110=""),"",O110+210)</f>
        <v/>
      </c>
      <c r="Y110" s="11" t="str">
        <f aca="false">IF(OR(I110="",I110&lt;9,O110=""),"",O110+240)</f>
        <v/>
      </c>
      <c r="Z110" s="11" t="str">
        <f aca="false">IF(OR(I110="",I110&lt;10,O110=""),"",O110+270)</f>
        <v/>
      </c>
      <c r="AA110" s="11" t="str">
        <f aca="false">IF(OR(I110="",I110&lt;11,O110=""),"",O110+300)</f>
        <v/>
      </c>
      <c r="AB110" s="11" t="str">
        <f aca="false">IF(OR(I110="",I110&lt;12,O110=""),"",O110+330)</f>
        <v/>
      </c>
      <c r="AC110" s="11" t="str">
        <f aca="false">IF(OR(I110="",I110&lt;13,O110=""),"",O110+360)</f>
        <v/>
      </c>
      <c r="AD110" s="11" t="str">
        <f aca="false">IF(OR(I110="",I110&lt;14,O110=""),"",O110+390)</f>
        <v/>
      </c>
      <c r="AE110" s="11" t="str">
        <f aca="false">IF(OR(I110="",I110&lt;15,O110=""),"",O110+420)</f>
        <v/>
      </c>
      <c r="AF110" s="11" t="str">
        <f aca="false">IF(OR(I110="",I110&lt;16,O110=""),"",O110+450)</f>
        <v/>
      </c>
      <c r="AG110" s="11" t="str">
        <f aca="false">IF(OR(I110="",I110&lt;17,O110=""),"",O110+480)</f>
        <v/>
      </c>
      <c r="AH110" s="11" t="str">
        <f aca="false">IF(OR(I110="",I110&lt;18,O110=""),"",O110+510)</f>
        <v/>
      </c>
      <c r="AI110" s="11" t="str">
        <f aca="false">IF(OR(I110="",I110&lt;19,O110=""),"",O110+540)</f>
        <v/>
      </c>
      <c r="AJ110" s="11" t="str">
        <f aca="false">IF(OR(I110="",I110&lt;20,O110=""),"",O110+570)</f>
        <v/>
      </c>
      <c r="AK110" s="11" t="str">
        <f aca="false">IF(OR(I110="",I110&lt;21,O110=""),"",O110+600)</f>
        <v/>
      </c>
      <c r="AL110" s="11" t="str">
        <f aca="false">IF(OR(I110="",I110&lt;22,O110=""),"",O110+630)</f>
        <v/>
      </c>
      <c r="AM110" s="11" t="str">
        <f aca="false">IF(OR(I110="",I110&lt;23,O110=""),"",O110+660)</f>
        <v/>
      </c>
      <c r="AN110" s="11" t="str">
        <f aca="false">IF(OR(I110="",I110&lt;24,O110=""),"",O110+690)</f>
        <v/>
      </c>
      <c r="AO110" s="7" t="str">
        <f aca="false">IF(J110="","",COUNTIF(Q110:AN110,TRUE())*J110)</f>
        <v/>
      </c>
      <c r="AP110" s="7" t="str">
        <f aca="false">IF(K110="","",K110-AO110)</f>
        <v/>
      </c>
      <c r="AQ110" s="7" t="str">
        <f aca="false">IF(K110="","",K110-F110-IF(N110="",0,N110))</f>
        <v/>
      </c>
    </row>
    <row r="111" customFormat="false" ht="15" hidden="false" customHeight="false" outlineLevel="0" collapsed="false">
      <c r="A111" s="12"/>
      <c r="B111" s="12"/>
      <c r="C111" s="12"/>
      <c r="D111" s="13"/>
      <c r="E111" s="13"/>
      <c r="F111" s="14"/>
      <c r="G111" s="12"/>
      <c r="H111" s="12"/>
      <c r="I111" s="12"/>
      <c r="J111" s="14"/>
      <c r="K111" s="15" t="str">
        <f aca="false">IF(OR(I111="",J111=""),"",I111*J111)</f>
        <v/>
      </c>
      <c r="L111" s="12"/>
      <c r="M111" s="16"/>
      <c r="N111" s="15" t="str">
        <f aca="false">IF(OR(L111="",M111="",K111=""),"",IF(L111="GANANCIA",(K111-F111)*M111,IF(L111="BRUTO",K111*M111,"")))</f>
        <v/>
      </c>
      <c r="O111" s="17" t="str">
        <f aca="false">IF(D111="","",D111)</f>
        <v/>
      </c>
      <c r="P111" s="18" t="str">
        <f aca="false">IF(I111="","",IF(COUNTIF(Q111:AN111,TRUE())&gt;=I111,"PAGADO",IF(COUNTIF(Q111:AN111,TRUE())&gt;0,"PARCIAL","VIGENTE")))</f>
        <v/>
      </c>
      <c r="Q111" s="19" t="str">
        <f aca="false">IF(OR(I111="",I111&lt;1,O111=""),"",O111+0)</f>
        <v/>
      </c>
      <c r="R111" s="19" t="str">
        <f aca="false">IF(OR(I111="",I111&lt;2,O111=""),"",O111+30)</f>
        <v/>
      </c>
      <c r="S111" s="19" t="str">
        <f aca="false">IF(OR(I111="",I111&lt;3,O111=""),"",O111+60)</f>
        <v/>
      </c>
      <c r="T111" s="19" t="str">
        <f aca="false">IF(OR(I111="",I111&lt;4,O111=""),"",O111+90)</f>
        <v/>
      </c>
      <c r="U111" s="19" t="str">
        <f aca="false">IF(OR(I111="",I111&lt;5,O111=""),"",O111+120)</f>
        <v/>
      </c>
      <c r="V111" s="19" t="str">
        <f aca="false">IF(OR(I111="",I111&lt;6,O111=""),"",O111+150)</f>
        <v/>
      </c>
      <c r="W111" s="19" t="str">
        <f aca="false">IF(OR(I111="",I111&lt;7,O111=""),"",O111+180)</f>
        <v/>
      </c>
      <c r="X111" s="19" t="str">
        <f aca="false">IF(OR(I111="",I111&lt;8,O111=""),"",O111+210)</f>
        <v/>
      </c>
      <c r="Y111" s="19" t="str">
        <f aca="false">IF(OR(I111="",I111&lt;9,O111=""),"",O111+240)</f>
        <v/>
      </c>
      <c r="Z111" s="19" t="str">
        <f aca="false">IF(OR(I111="",I111&lt;10,O111=""),"",O111+270)</f>
        <v/>
      </c>
      <c r="AA111" s="19" t="str">
        <f aca="false">IF(OR(I111="",I111&lt;11,O111=""),"",O111+300)</f>
        <v/>
      </c>
      <c r="AB111" s="19" t="str">
        <f aca="false">IF(OR(I111="",I111&lt;12,O111=""),"",O111+330)</f>
        <v/>
      </c>
      <c r="AC111" s="19" t="str">
        <f aca="false">IF(OR(I111="",I111&lt;13,O111=""),"",O111+360)</f>
        <v/>
      </c>
      <c r="AD111" s="19" t="str">
        <f aca="false">IF(OR(I111="",I111&lt;14,O111=""),"",O111+390)</f>
        <v/>
      </c>
      <c r="AE111" s="19" t="str">
        <f aca="false">IF(OR(I111="",I111&lt;15,O111=""),"",O111+420)</f>
        <v/>
      </c>
      <c r="AF111" s="19" t="str">
        <f aca="false">IF(OR(I111="",I111&lt;16,O111=""),"",O111+450)</f>
        <v/>
      </c>
      <c r="AG111" s="19" t="str">
        <f aca="false">IF(OR(I111="",I111&lt;17,O111=""),"",O111+480)</f>
        <v/>
      </c>
      <c r="AH111" s="19" t="str">
        <f aca="false">IF(OR(I111="",I111&lt;18,O111=""),"",O111+510)</f>
        <v/>
      </c>
      <c r="AI111" s="19" t="str">
        <f aca="false">IF(OR(I111="",I111&lt;19,O111=""),"",O111+540)</f>
        <v/>
      </c>
      <c r="AJ111" s="19" t="str">
        <f aca="false">IF(OR(I111="",I111&lt;20,O111=""),"",O111+570)</f>
        <v/>
      </c>
      <c r="AK111" s="19" t="str">
        <f aca="false">IF(OR(I111="",I111&lt;21,O111=""),"",O111+600)</f>
        <v/>
      </c>
      <c r="AL111" s="19" t="str">
        <f aca="false">IF(OR(I111="",I111&lt;22,O111=""),"",O111+630)</f>
        <v/>
      </c>
      <c r="AM111" s="19" t="str">
        <f aca="false">IF(OR(I111="",I111&lt;23,O111=""),"",O111+660)</f>
        <v/>
      </c>
      <c r="AN111" s="19" t="str">
        <f aca="false">IF(OR(I111="",I111&lt;24,O111=""),"",O111+690)</f>
        <v/>
      </c>
      <c r="AO111" s="15" t="str">
        <f aca="false">IF(J111="","",COUNTIF(Q111:AN111,TRUE())*J111)</f>
        <v/>
      </c>
      <c r="AP111" s="15" t="str">
        <f aca="false">IF(K111="","",K111-AO111)</f>
        <v/>
      </c>
      <c r="AQ111" s="15" t="str">
        <f aca="false">IF(K111="","",K111-F111-IF(N111="",0,N111))</f>
        <v/>
      </c>
    </row>
    <row r="112" customFormat="false" ht="15" hidden="false" customHeight="false" outlineLevel="0" collapsed="false">
      <c r="A112" s="4"/>
      <c r="B112" s="4"/>
      <c r="C112" s="4"/>
      <c r="D112" s="5"/>
      <c r="E112" s="5"/>
      <c r="F112" s="6"/>
      <c r="G112" s="4"/>
      <c r="H112" s="4"/>
      <c r="I112" s="4"/>
      <c r="J112" s="6"/>
      <c r="K112" s="7" t="str">
        <f aca="false">IF(OR(I112="",J112=""),"",I112*J112)</f>
        <v/>
      </c>
      <c r="L112" s="4"/>
      <c r="M112" s="8"/>
      <c r="N112" s="7" t="str">
        <f aca="false">IF(OR(L112="",M112="",K112=""),"",IF(L112="GANANCIA",(K112-F112)*M112,IF(L112="BRUTO",K112*M112,"")))</f>
        <v/>
      </c>
      <c r="O112" s="9" t="str">
        <f aca="false">IF(D112="","",D112)</f>
        <v/>
      </c>
      <c r="P112" s="10" t="str">
        <f aca="false">IF(I112="","",IF(COUNTIF(Q112:AN112,TRUE())&gt;=I112,"PAGADO",IF(COUNTIF(Q112:AN112,TRUE())&gt;0,"PARCIAL","VIGENTE")))</f>
        <v/>
      </c>
      <c r="Q112" s="11" t="str">
        <f aca="false">IF(OR(I112="",I112&lt;1,O112=""),"",O112+0)</f>
        <v/>
      </c>
      <c r="R112" s="11" t="str">
        <f aca="false">IF(OR(I112="",I112&lt;2,O112=""),"",O112+30)</f>
        <v/>
      </c>
      <c r="S112" s="11" t="str">
        <f aca="false">IF(OR(I112="",I112&lt;3,O112=""),"",O112+60)</f>
        <v/>
      </c>
      <c r="T112" s="11" t="str">
        <f aca="false">IF(OR(I112="",I112&lt;4,O112=""),"",O112+90)</f>
        <v/>
      </c>
      <c r="U112" s="11" t="str">
        <f aca="false">IF(OR(I112="",I112&lt;5,O112=""),"",O112+120)</f>
        <v/>
      </c>
      <c r="V112" s="11" t="str">
        <f aca="false">IF(OR(I112="",I112&lt;6,O112=""),"",O112+150)</f>
        <v/>
      </c>
      <c r="W112" s="11" t="str">
        <f aca="false">IF(OR(I112="",I112&lt;7,O112=""),"",O112+180)</f>
        <v/>
      </c>
      <c r="X112" s="11" t="str">
        <f aca="false">IF(OR(I112="",I112&lt;8,O112=""),"",O112+210)</f>
        <v/>
      </c>
      <c r="Y112" s="11" t="str">
        <f aca="false">IF(OR(I112="",I112&lt;9,O112=""),"",O112+240)</f>
        <v/>
      </c>
      <c r="Z112" s="11" t="str">
        <f aca="false">IF(OR(I112="",I112&lt;10,O112=""),"",O112+270)</f>
        <v/>
      </c>
      <c r="AA112" s="11" t="str">
        <f aca="false">IF(OR(I112="",I112&lt;11,O112=""),"",O112+300)</f>
        <v/>
      </c>
      <c r="AB112" s="11" t="str">
        <f aca="false">IF(OR(I112="",I112&lt;12,O112=""),"",O112+330)</f>
        <v/>
      </c>
      <c r="AC112" s="11" t="str">
        <f aca="false">IF(OR(I112="",I112&lt;13,O112=""),"",O112+360)</f>
        <v/>
      </c>
      <c r="AD112" s="11" t="str">
        <f aca="false">IF(OR(I112="",I112&lt;14,O112=""),"",O112+390)</f>
        <v/>
      </c>
      <c r="AE112" s="11" t="str">
        <f aca="false">IF(OR(I112="",I112&lt;15,O112=""),"",O112+420)</f>
        <v/>
      </c>
      <c r="AF112" s="11" t="str">
        <f aca="false">IF(OR(I112="",I112&lt;16,O112=""),"",O112+450)</f>
        <v/>
      </c>
      <c r="AG112" s="11" t="str">
        <f aca="false">IF(OR(I112="",I112&lt;17,O112=""),"",O112+480)</f>
        <v/>
      </c>
      <c r="AH112" s="11" t="str">
        <f aca="false">IF(OR(I112="",I112&lt;18,O112=""),"",O112+510)</f>
        <v/>
      </c>
      <c r="AI112" s="11" t="str">
        <f aca="false">IF(OR(I112="",I112&lt;19,O112=""),"",O112+540)</f>
        <v/>
      </c>
      <c r="AJ112" s="11" t="str">
        <f aca="false">IF(OR(I112="",I112&lt;20,O112=""),"",O112+570)</f>
        <v/>
      </c>
      <c r="AK112" s="11" t="str">
        <f aca="false">IF(OR(I112="",I112&lt;21,O112=""),"",O112+600)</f>
        <v/>
      </c>
      <c r="AL112" s="11" t="str">
        <f aca="false">IF(OR(I112="",I112&lt;22,O112=""),"",O112+630)</f>
        <v/>
      </c>
      <c r="AM112" s="11" t="str">
        <f aca="false">IF(OR(I112="",I112&lt;23,O112=""),"",O112+660)</f>
        <v/>
      </c>
      <c r="AN112" s="11" t="str">
        <f aca="false">IF(OR(I112="",I112&lt;24,O112=""),"",O112+690)</f>
        <v/>
      </c>
      <c r="AO112" s="7" t="str">
        <f aca="false">IF(J112="","",COUNTIF(Q112:AN112,TRUE())*J112)</f>
        <v/>
      </c>
      <c r="AP112" s="7" t="str">
        <f aca="false">IF(K112="","",K112-AO112)</f>
        <v/>
      </c>
      <c r="AQ112" s="7" t="str">
        <f aca="false">IF(K112="","",K112-F112-IF(N112="",0,N112))</f>
        <v/>
      </c>
    </row>
    <row r="113" customFormat="false" ht="15" hidden="false" customHeight="false" outlineLevel="0" collapsed="false">
      <c r="A113" s="12"/>
      <c r="B113" s="12"/>
      <c r="C113" s="12"/>
      <c r="D113" s="13"/>
      <c r="E113" s="13"/>
      <c r="F113" s="14"/>
      <c r="G113" s="12"/>
      <c r="H113" s="12"/>
      <c r="I113" s="12"/>
      <c r="J113" s="14"/>
      <c r="K113" s="15" t="str">
        <f aca="false">IF(OR(I113="",J113=""),"",I113*J113)</f>
        <v/>
      </c>
      <c r="L113" s="12"/>
      <c r="M113" s="16"/>
      <c r="N113" s="15" t="str">
        <f aca="false">IF(OR(L113="",M113="",K113=""),"",IF(L113="GANANCIA",(K113-F113)*M113,IF(L113="BRUTO",K113*M113,"")))</f>
        <v/>
      </c>
      <c r="O113" s="17" t="str">
        <f aca="false">IF(D113="","",D113)</f>
        <v/>
      </c>
      <c r="P113" s="18" t="str">
        <f aca="false">IF(I113="","",IF(COUNTIF(Q113:AN113,TRUE())&gt;=I113,"PAGADO",IF(COUNTIF(Q113:AN113,TRUE())&gt;0,"PARCIAL","VIGENTE")))</f>
        <v/>
      </c>
      <c r="Q113" s="19" t="str">
        <f aca="false">IF(OR(I113="",I113&lt;1,O113=""),"",O113+0)</f>
        <v/>
      </c>
      <c r="R113" s="19" t="str">
        <f aca="false">IF(OR(I113="",I113&lt;2,O113=""),"",O113+30)</f>
        <v/>
      </c>
      <c r="S113" s="19" t="str">
        <f aca="false">IF(OR(I113="",I113&lt;3,O113=""),"",O113+60)</f>
        <v/>
      </c>
      <c r="T113" s="19" t="str">
        <f aca="false">IF(OR(I113="",I113&lt;4,O113=""),"",O113+90)</f>
        <v/>
      </c>
      <c r="U113" s="19" t="str">
        <f aca="false">IF(OR(I113="",I113&lt;5,O113=""),"",O113+120)</f>
        <v/>
      </c>
      <c r="V113" s="19" t="str">
        <f aca="false">IF(OR(I113="",I113&lt;6,O113=""),"",O113+150)</f>
        <v/>
      </c>
      <c r="W113" s="19" t="str">
        <f aca="false">IF(OR(I113="",I113&lt;7,O113=""),"",O113+180)</f>
        <v/>
      </c>
      <c r="X113" s="19" t="str">
        <f aca="false">IF(OR(I113="",I113&lt;8,O113=""),"",O113+210)</f>
        <v/>
      </c>
      <c r="Y113" s="19" t="str">
        <f aca="false">IF(OR(I113="",I113&lt;9,O113=""),"",O113+240)</f>
        <v/>
      </c>
      <c r="Z113" s="19" t="str">
        <f aca="false">IF(OR(I113="",I113&lt;10,O113=""),"",O113+270)</f>
        <v/>
      </c>
      <c r="AA113" s="19" t="str">
        <f aca="false">IF(OR(I113="",I113&lt;11,O113=""),"",O113+300)</f>
        <v/>
      </c>
      <c r="AB113" s="19" t="str">
        <f aca="false">IF(OR(I113="",I113&lt;12,O113=""),"",O113+330)</f>
        <v/>
      </c>
      <c r="AC113" s="19" t="str">
        <f aca="false">IF(OR(I113="",I113&lt;13,O113=""),"",O113+360)</f>
        <v/>
      </c>
      <c r="AD113" s="19" t="str">
        <f aca="false">IF(OR(I113="",I113&lt;14,O113=""),"",O113+390)</f>
        <v/>
      </c>
      <c r="AE113" s="19" t="str">
        <f aca="false">IF(OR(I113="",I113&lt;15,O113=""),"",O113+420)</f>
        <v/>
      </c>
      <c r="AF113" s="19" t="str">
        <f aca="false">IF(OR(I113="",I113&lt;16,O113=""),"",O113+450)</f>
        <v/>
      </c>
      <c r="AG113" s="19" t="str">
        <f aca="false">IF(OR(I113="",I113&lt;17,O113=""),"",O113+480)</f>
        <v/>
      </c>
      <c r="AH113" s="19" t="str">
        <f aca="false">IF(OR(I113="",I113&lt;18,O113=""),"",O113+510)</f>
        <v/>
      </c>
      <c r="AI113" s="19" t="str">
        <f aca="false">IF(OR(I113="",I113&lt;19,O113=""),"",O113+540)</f>
        <v/>
      </c>
      <c r="AJ113" s="19" t="str">
        <f aca="false">IF(OR(I113="",I113&lt;20,O113=""),"",O113+570)</f>
        <v/>
      </c>
      <c r="AK113" s="19" t="str">
        <f aca="false">IF(OR(I113="",I113&lt;21,O113=""),"",O113+600)</f>
        <v/>
      </c>
      <c r="AL113" s="19" t="str">
        <f aca="false">IF(OR(I113="",I113&lt;22,O113=""),"",O113+630)</f>
        <v/>
      </c>
      <c r="AM113" s="19" t="str">
        <f aca="false">IF(OR(I113="",I113&lt;23,O113=""),"",O113+660)</f>
        <v/>
      </c>
      <c r="AN113" s="19" t="str">
        <f aca="false">IF(OR(I113="",I113&lt;24,O113=""),"",O113+690)</f>
        <v/>
      </c>
      <c r="AO113" s="15" t="str">
        <f aca="false">IF(J113="","",COUNTIF(Q113:AN113,TRUE())*J113)</f>
        <v/>
      </c>
      <c r="AP113" s="15" t="str">
        <f aca="false">IF(K113="","",K113-AO113)</f>
        <v/>
      </c>
      <c r="AQ113" s="15" t="str">
        <f aca="false">IF(K113="","",K113-F113-IF(N113="",0,N113))</f>
        <v/>
      </c>
    </row>
    <row r="114" customFormat="false" ht="15" hidden="false" customHeight="false" outlineLevel="0" collapsed="false">
      <c r="A114" s="4"/>
      <c r="B114" s="4"/>
      <c r="C114" s="4"/>
      <c r="D114" s="5"/>
      <c r="E114" s="5"/>
      <c r="F114" s="6"/>
      <c r="G114" s="4"/>
      <c r="H114" s="4"/>
      <c r="I114" s="4"/>
      <c r="J114" s="6"/>
      <c r="K114" s="7" t="str">
        <f aca="false">IF(OR(I114="",J114=""),"",I114*J114)</f>
        <v/>
      </c>
      <c r="L114" s="4"/>
      <c r="M114" s="8"/>
      <c r="N114" s="7" t="str">
        <f aca="false">IF(OR(L114="",M114="",K114=""),"",IF(L114="GANANCIA",(K114-F114)*M114,IF(L114="BRUTO",K114*M114,"")))</f>
        <v/>
      </c>
      <c r="O114" s="9" t="str">
        <f aca="false">IF(D114="","",D114)</f>
        <v/>
      </c>
      <c r="P114" s="10" t="str">
        <f aca="false">IF(I114="","",IF(COUNTIF(Q114:AN114,TRUE())&gt;=I114,"PAGADO",IF(COUNTIF(Q114:AN114,TRUE())&gt;0,"PARCIAL","VIGENTE")))</f>
        <v/>
      </c>
      <c r="Q114" s="11" t="str">
        <f aca="false">IF(OR(I114="",I114&lt;1,O114=""),"",O114+0)</f>
        <v/>
      </c>
      <c r="R114" s="11" t="str">
        <f aca="false">IF(OR(I114="",I114&lt;2,O114=""),"",O114+30)</f>
        <v/>
      </c>
      <c r="S114" s="11" t="str">
        <f aca="false">IF(OR(I114="",I114&lt;3,O114=""),"",O114+60)</f>
        <v/>
      </c>
      <c r="T114" s="11" t="str">
        <f aca="false">IF(OR(I114="",I114&lt;4,O114=""),"",O114+90)</f>
        <v/>
      </c>
      <c r="U114" s="11" t="str">
        <f aca="false">IF(OR(I114="",I114&lt;5,O114=""),"",O114+120)</f>
        <v/>
      </c>
      <c r="V114" s="11" t="str">
        <f aca="false">IF(OR(I114="",I114&lt;6,O114=""),"",O114+150)</f>
        <v/>
      </c>
      <c r="W114" s="11" t="str">
        <f aca="false">IF(OR(I114="",I114&lt;7,O114=""),"",O114+180)</f>
        <v/>
      </c>
      <c r="X114" s="11" t="str">
        <f aca="false">IF(OR(I114="",I114&lt;8,O114=""),"",O114+210)</f>
        <v/>
      </c>
      <c r="Y114" s="11" t="str">
        <f aca="false">IF(OR(I114="",I114&lt;9,O114=""),"",O114+240)</f>
        <v/>
      </c>
      <c r="Z114" s="11" t="str">
        <f aca="false">IF(OR(I114="",I114&lt;10,O114=""),"",O114+270)</f>
        <v/>
      </c>
      <c r="AA114" s="11" t="str">
        <f aca="false">IF(OR(I114="",I114&lt;11,O114=""),"",O114+300)</f>
        <v/>
      </c>
      <c r="AB114" s="11" t="str">
        <f aca="false">IF(OR(I114="",I114&lt;12,O114=""),"",O114+330)</f>
        <v/>
      </c>
      <c r="AC114" s="11" t="str">
        <f aca="false">IF(OR(I114="",I114&lt;13,O114=""),"",O114+360)</f>
        <v/>
      </c>
      <c r="AD114" s="11" t="str">
        <f aca="false">IF(OR(I114="",I114&lt;14,O114=""),"",O114+390)</f>
        <v/>
      </c>
      <c r="AE114" s="11" t="str">
        <f aca="false">IF(OR(I114="",I114&lt;15,O114=""),"",O114+420)</f>
        <v/>
      </c>
      <c r="AF114" s="11" t="str">
        <f aca="false">IF(OR(I114="",I114&lt;16,O114=""),"",O114+450)</f>
        <v/>
      </c>
      <c r="AG114" s="11" t="str">
        <f aca="false">IF(OR(I114="",I114&lt;17,O114=""),"",O114+480)</f>
        <v/>
      </c>
      <c r="AH114" s="11" t="str">
        <f aca="false">IF(OR(I114="",I114&lt;18,O114=""),"",O114+510)</f>
        <v/>
      </c>
      <c r="AI114" s="11" t="str">
        <f aca="false">IF(OR(I114="",I114&lt;19,O114=""),"",O114+540)</f>
        <v/>
      </c>
      <c r="AJ114" s="11" t="str">
        <f aca="false">IF(OR(I114="",I114&lt;20,O114=""),"",O114+570)</f>
        <v/>
      </c>
      <c r="AK114" s="11" t="str">
        <f aca="false">IF(OR(I114="",I114&lt;21,O114=""),"",O114+600)</f>
        <v/>
      </c>
      <c r="AL114" s="11" t="str">
        <f aca="false">IF(OR(I114="",I114&lt;22,O114=""),"",O114+630)</f>
        <v/>
      </c>
      <c r="AM114" s="11" t="str">
        <f aca="false">IF(OR(I114="",I114&lt;23,O114=""),"",O114+660)</f>
        <v/>
      </c>
      <c r="AN114" s="11" t="str">
        <f aca="false">IF(OR(I114="",I114&lt;24,O114=""),"",O114+690)</f>
        <v/>
      </c>
      <c r="AO114" s="7" t="str">
        <f aca="false">IF(J114="","",COUNTIF(Q114:AN114,TRUE())*J114)</f>
        <v/>
      </c>
      <c r="AP114" s="7" t="str">
        <f aca="false">IF(K114="","",K114-AO114)</f>
        <v/>
      </c>
      <c r="AQ114" s="7" t="str">
        <f aca="false">IF(K114="","",K114-F114-IF(N114="",0,N114))</f>
        <v/>
      </c>
    </row>
    <row r="115" customFormat="false" ht="15" hidden="false" customHeight="false" outlineLevel="0" collapsed="false">
      <c r="A115" s="12"/>
      <c r="B115" s="12"/>
      <c r="C115" s="12"/>
      <c r="D115" s="13"/>
      <c r="E115" s="13"/>
      <c r="F115" s="14"/>
      <c r="G115" s="12"/>
      <c r="H115" s="12"/>
      <c r="I115" s="12"/>
      <c r="J115" s="14"/>
      <c r="K115" s="15" t="str">
        <f aca="false">IF(OR(I115="",J115=""),"",I115*J115)</f>
        <v/>
      </c>
      <c r="L115" s="12"/>
      <c r="M115" s="16"/>
      <c r="N115" s="15" t="str">
        <f aca="false">IF(OR(L115="",M115="",K115=""),"",IF(L115="GANANCIA",(K115-F115)*M115,IF(L115="BRUTO",K115*M115,"")))</f>
        <v/>
      </c>
      <c r="O115" s="17" t="str">
        <f aca="false">IF(D115="","",D115)</f>
        <v/>
      </c>
      <c r="P115" s="18" t="str">
        <f aca="false">IF(I115="","",IF(COUNTIF(Q115:AN115,TRUE())&gt;=I115,"PAGADO",IF(COUNTIF(Q115:AN115,TRUE())&gt;0,"PARCIAL","VIGENTE")))</f>
        <v/>
      </c>
      <c r="Q115" s="19" t="str">
        <f aca="false">IF(OR(I115="",I115&lt;1,O115=""),"",O115+0)</f>
        <v/>
      </c>
      <c r="R115" s="19" t="str">
        <f aca="false">IF(OR(I115="",I115&lt;2,O115=""),"",O115+30)</f>
        <v/>
      </c>
      <c r="S115" s="19" t="str">
        <f aca="false">IF(OR(I115="",I115&lt;3,O115=""),"",O115+60)</f>
        <v/>
      </c>
      <c r="T115" s="19" t="str">
        <f aca="false">IF(OR(I115="",I115&lt;4,O115=""),"",O115+90)</f>
        <v/>
      </c>
      <c r="U115" s="19" t="str">
        <f aca="false">IF(OR(I115="",I115&lt;5,O115=""),"",O115+120)</f>
        <v/>
      </c>
      <c r="V115" s="19" t="str">
        <f aca="false">IF(OR(I115="",I115&lt;6,O115=""),"",O115+150)</f>
        <v/>
      </c>
      <c r="W115" s="19" t="str">
        <f aca="false">IF(OR(I115="",I115&lt;7,O115=""),"",O115+180)</f>
        <v/>
      </c>
      <c r="X115" s="19" t="str">
        <f aca="false">IF(OR(I115="",I115&lt;8,O115=""),"",O115+210)</f>
        <v/>
      </c>
      <c r="Y115" s="19" t="str">
        <f aca="false">IF(OR(I115="",I115&lt;9,O115=""),"",O115+240)</f>
        <v/>
      </c>
      <c r="Z115" s="19" t="str">
        <f aca="false">IF(OR(I115="",I115&lt;10,O115=""),"",O115+270)</f>
        <v/>
      </c>
      <c r="AA115" s="19" t="str">
        <f aca="false">IF(OR(I115="",I115&lt;11,O115=""),"",O115+300)</f>
        <v/>
      </c>
      <c r="AB115" s="19" t="str">
        <f aca="false">IF(OR(I115="",I115&lt;12,O115=""),"",O115+330)</f>
        <v/>
      </c>
      <c r="AC115" s="19" t="str">
        <f aca="false">IF(OR(I115="",I115&lt;13,O115=""),"",O115+360)</f>
        <v/>
      </c>
      <c r="AD115" s="19" t="str">
        <f aca="false">IF(OR(I115="",I115&lt;14,O115=""),"",O115+390)</f>
        <v/>
      </c>
      <c r="AE115" s="19" t="str">
        <f aca="false">IF(OR(I115="",I115&lt;15,O115=""),"",O115+420)</f>
        <v/>
      </c>
      <c r="AF115" s="19" t="str">
        <f aca="false">IF(OR(I115="",I115&lt;16,O115=""),"",O115+450)</f>
        <v/>
      </c>
      <c r="AG115" s="19" t="str">
        <f aca="false">IF(OR(I115="",I115&lt;17,O115=""),"",O115+480)</f>
        <v/>
      </c>
      <c r="AH115" s="19" t="str">
        <f aca="false">IF(OR(I115="",I115&lt;18,O115=""),"",O115+510)</f>
        <v/>
      </c>
      <c r="AI115" s="19" t="str">
        <f aca="false">IF(OR(I115="",I115&lt;19,O115=""),"",O115+540)</f>
        <v/>
      </c>
      <c r="AJ115" s="19" t="str">
        <f aca="false">IF(OR(I115="",I115&lt;20,O115=""),"",O115+570)</f>
        <v/>
      </c>
      <c r="AK115" s="19" t="str">
        <f aca="false">IF(OR(I115="",I115&lt;21,O115=""),"",O115+600)</f>
        <v/>
      </c>
      <c r="AL115" s="19" t="str">
        <f aca="false">IF(OR(I115="",I115&lt;22,O115=""),"",O115+630)</f>
        <v/>
      </c>
      <c r="AM115" s="19" t="str">
        <f aca="false">IF(OR(I115="",I115&lt;23,O115=""),"",O115+660)</f>
        <v/>
      </c>
      <c r="AN115" s="19" t="str">
        <f aca="false">IF(OR(I115="",I115&lt;24,O115=""),"",O115+690)</f>
        <v/>
      </c>
      <c r="AO115" s="15" t="str">
        <f aca="false">IF(J115="","",COUNTIF(Q115:AN115,TRUE())*J115)</f>
        <v/>
      </c>
      <c r="AP115" s="15" t="str">
        <f aca="false">IF(K115="","",K115-AO115)</f>
        <v/>
      </c>
      <c r="AQ115" s="15" t="str">
        <f aca="false">IF(K115="","",K115-F115-IF(N115="",0,N115))</f>
        <v/>
      </c>
    </row>
    <row r="116" customFormat="false" ht="15" hidden="false" customHeight="false" outlineLevel="0" collapsed="false">
      <c r="A116" s="4"/>
      <c r="B116" s="4"/>
      <c r="C116" s="4"/>
      <c r="D116" s="5"/>
      <c r="E116" s="5"/>
      <c r="F116" s="6"/>
      <c r="G116" s="4"/>
      <c r="H116" s="4"/>
      <c r="I116" s="4"/>
      <c r="J116" s="6"/>
      <c r="K116" s="7" t="str">
        <f aca="false">IF(OR(I116="",J116=""),"",I116*J116)</f>
        <v/>
      </c>
      <c r="L116" s="4"/>
      <c r="M116" s="8"/>
      <c r="N116" s="7" t="str">
        <f aca="false">IF(OR(L116="",M116="",K116=""),"",IF(L116="GANANCIA",(K116-F116)*M116,IF(L116="BRUTO",K116*M116,"")))</f>
        <v/>
      </c>
      <c r="O116" s="9" t="str">
        <f aca="false">IF(D116="","",D116)</f>
        <v/>
      </c>
      <c r="P116" s="10" t="str">
        <f aca="false">IF(I116="","",IF(COUNTIF(Q116:AN116,TRUE())&gt;=I116,"PAGADO",IF(COUNTIF(Q116:AN116,TRUE())&gt;0,"PARCIAL","VIGENTE")))</f>
        <v/>
      </c>
      <c r="Q116" s="11" t="str">
        <f aca="false">IF(OR(I116="",I116&lt;1,O116=""),"",O116+0)</f>
        <v/>
      </c>
      <c r="R116" s="11" t="str">
        <f aca="false">IF(OR(I116="",I116&lt;2,O116=""),"",O116+30)</f>
        <v/>
      </c>
      <c r="S116" s="11" t="str">
        <f aca="false">IF(OR(I116="",I116&lt;3,O116=""),"",O116+60)</f>
        <v/>
      </c>
      <c r="T116" s="11" t="str">
        <f aca="false">IF(OR(I116="",I116&lt;4,O116=""),"",O116+90)</f>
        <v/>
      </c>
      <c r="U116" s="11" t="str">
        <f aca="false">IF(OR(I116="",I116&lt;5,O116=""),"",O116+120)</f>
        <v/>
      </c>
      <c r="V116" s="11" t="str">
        <f aca="false">IF(OR(I116="",I116&lt;6,O116=""),"",O116+150)</f>
        <v/>
      </c>
      <c r="W116" s="11" t="str">
        <f aca="false">IF(OR(I116="",I116&lt;7,O116=""),"",O116+180)</f>
        <v/>
      </c>
      <c r="X116" s="11" t="str">
        <f aca="false">IF(OR(I116="",I116&lt;8,O116=""),"",O116+210)</f>
        <v/>
      </c>
      <c r="Y116" s="11" t="str">
        <f aca="false">IF(OR(I116="",I116&lt;9,O116=""),"",O116+240)</f>
        <v/>
      </c>
      <c r="Z116" s="11" t="str">
        <f aca="false">IF(OR(I116="",I116&lt;10,O116=""),"",O116+270)</f>
        <v/>
      </c>
      <c r="AA116" s="11" t="str">
        <f aca="false">IF(OR(I116="",I116&lt;11,O116=""),"",O116+300)</f>
        <v/>
      </c>
      <c r="AB116" s="11" t="str">
        <f aca="false">IF(OR(I116="",I116&lt;12,O116=""),"",O116+330)</f>
        <v/>
      </c>
      <c r="AC116" s="11" t="str">
        <f aca="false">IF(OR(I116="",I116&lt;13,O116=""),"",O116+360)</f>
        <v/>
      </c>
      <c r="AD116" s="11" t="str">
        <f aca="false">IF(OR(I116="",I116&lt;14,O116=""),"",O116+390)</f>
        <v/>
      </c>
      <c r="AE116" s="11" t="str">
        <f aca="false">IF(OR(I116="",I116&lt;15,O116=""),"",O116+420)</f>
        <v/>
      </c>
      <c r="AF116" s="11" t="str">
        <f aca="false">IF(OR(I116="",I116&lt;16,O116=""),"",O116+450)</f>
        <v/>
      </c>
      <c r="AG116" s="11" t="str">
        <f aca="false">IF(OR(I116="",I116&lt;17,O116=""),"",O116+480)</f>
        <v/>
      </c>
      <c r="AH116" s="11" t="str">
        <f aca="false">IF(OR(I116="",I116&lt;18,O116=""),"",O116+510)</f>
        <v/>
      </c>
      <c r="AI116" s="11" t="str">
        <f aca="false">IF(OR(I116="",I116&lt;19,O116=""),"",O116+540)</f>
        <v/>
      </c>
      <c r="AJ116" s="11" t="str">
        <f aca="false">IF(OR(I116="",I116&lt;20,O116=""),"",O116+570)</f>
        <v/>
      </c>
      <c r="AK116" s="11" t="str">
        <f aca="false">IF(OR(I116="",I116&lt;21,O116=""),"",O116+600)</f>
        <v/>
      </c>
      <c r="AL116" s="11" t="str">
        <f aca="false">IF(OR(I116="",I116&lt;22,O116=""),"",O116+630)</f>
        <v/>
      </c>
      <c r="AM116" s="11" t="str">
        <f aca="false">IF(OR(I116="",I116&lt;23,O116=""),"",O116+660)</f>
        <v/>
      </c>
      <c r="AN116" s="11" t="str">
        <f aca="false">IF(OR(I116="",I116&lt;24,O116=""),"",O116+690)</f>
        <v/>
      </c>
      <c r="AO116" s="7" t="str">
        <f aca="false">IF(J116="","",COUNTIF(Q116:AN116,TRUE())*J116)</f>
        <v/>
      </c>
      <c r="AP116" s="7" t="str">
        <f aca="false">IF(K116="","",K116-AO116)</f>
        <v/>
      </c>
      <c r="AQ116" s="7" t="str">
        <f aca="false">IF(K116="","",K116-F116-IF(N116="",0,N116))</f>
        <v/>
      </c>
    </row>
    <row r="117" customFormat="false" ht="15" hidden="false" customHeight="false" outlineLevel="0" collapsed="false">
      <c r="A117" s="12"/>
      <c r="B117" s="12"/>
      <c r="C117" s="12"/>
      <c r="D117" s="13"/>
      <c r="E117" s="13"/>
      <c r="F117" s="14"/>
      <c r="G117" s="12"/>
      <c r="H117" s="12"/>
      <c r="I117" s="12"/>
      <c r="J117" s="14"/>
      <c r="K117" s="15" t="str">
        <f aca="false">IF(OR(I117="",J117=""),"",I117*J117)</f>
        <v/>
      </c>
      <c r="L117" s="12"/>
      <c r="M117" s="16"/>
      <c r="N117" s="15" t="str">
        <f aca="false">IF(OR(L117="",M117="",K117=""),"",IF(L117="GANANCIA",(K117-F117)*M117,IF(L117="BRUTO",K117*M117,"")))</f>
        <v/>
      </c>
      <c r="O117" s="17" t="str">
        <f aca="false">IF(D117="","",D117)</f>
        <v/>
      </c>
      <c r="P117" s="18" t="str">
        <f aca="false">IF(I117="","",IF(COUNTIF(Q117:AN117,TRUE())&gt;=I117,"PAGADO",IF(COUNTIF(Q117:AN117,TRUE())&gt;0,"PARCIAL","VIGENTE")))</f>
        <v/>
      </c>
      <c r="Q117" s="19" t="str">
        <f aca="false">IF(OR(I117="",I117&lt;1,O117=""),"",O117+0)</f>
        <v/>
      </c>
      <c r="R117" s="19" t="str">
        <f aca="false">IF(OR(I117="",I117&lt;2,O117=""),"",O117+30)</f>
        <v/>
      </c>
      <c r="S117" s="19" t="str">
        <f aca="false">IF(OR(I117="",I117&lt;3,O117=""),"",O117+60)</f>
        <v/>
      </c>
      <c r="T117" s="19" t="str">
        <f aca="false">IF(OR(I117="",I117&lt;4,O117=""),"",O117+90)</f>
        <v/>
      </c>
      <c r="U117" s="19" t="str">
        <f aca="false">IF(OR(I117="",I117&lt;5,O117=""),"",O117+120)</f>
        <v/>
      </c>
      <c r="V117" s="19" t="str">
        <f aca="false">IF(OR(I117="",I117&lt;6,O117=""),"",O117+150)</f>
        <v/>
      </c>
      <c r="W117" s="19" t="str">
        <f aca="false">IF(OR(I117="",I117&lt;7,O117=""),"",O117+180)</f>
        <v/>
      </c>
      <c r="X117" s="19" t="str">
        <f aca="false">IF(OR(I117="",I117&lt;8,O117=""),"",O117+210)</f>
        <v/>
      </c>
      <c r="Y117" s="19" t="str">
        <f aca="false">IF(OR(I117="",I117&lt;9,O117=""),"",O117+240)</f>
        <v/>
      </c>
      <c r="Z117" s="19" t="str">
        <f aca="false">IF(OR(I117="",I117&lt;10,O117=""),"",O117+270)</f>
        <v/>
      </c>
      <c r="AA117" s="19" t="str">
        <f aca="false">IF(OR(I117="",I117&lt;11,O117=""),"",O117+300)</f>
        <v/>
      </c>
      <c r="AB117" s="19" t="str">
        <f aca="false">IF(OR(I117="",I117&lt;12,O117=""),"",O117+330)</f>
        <v/>
      </c>
      <c r="AC117" s="19" t="str">
        <f aca="false">IF(OR(I117="",I117&lt;13,O117=""),"",O117+360)</f>
        <v/>
      </c>
      <c r="AD117" s="19" t="str">
        <f aca="false">IF(OR(I117="",I117&lt;14,O117=""),"",O117+390)</f>
        <v/>
      </c>
      <c r="AE117" s="19" t="str">
        <f aca="false">IF(OR(I117="",I117&lt;15,O117=""),"",O117+420)</f>
        <v/>
      </c>
      <c r="AF117" s="19" t="str">
        <f aca="false">IF(OR(I117="",I117&lt;16,O117=""),"",O117+450)</f>
        <v/>
      </c>
      <c r="AG117" s="19" t="str">
        <f aca="false">IF(OR(I117="",I117&lt;17,O117=""),"",O117+480)</f>
        <v/>
      </c>
      <c r="AH117" s="19" t="str">
        <f aca="false">IF(OR(I117="",I117&lt;18,O117=""),"",O117+510)</f>
        <v/>
      </c>
      <c r="AI117" s="19" t="str">
        <f aca="false">IF(OR(I117="",I117&lt;19,O117=""),"",O117+540)</f>
        <v/>
      </c>
      <c r="AJ117" s="19" t="str">
        <f aca="false">IF(OR(I117="",I117&lt;20,O117=""),"",O117+570)</f>
        <v/>
      </c>
      <c r="AK117" s="19" t="str">
        <f aca="false">IF(OR(I117="",I117&lt;21,O117=""),"",O117+600)</f>
        <v/>
      </c>
      <c r="AL117" s="19" t="str">
        <f aca="false">IF(OR(I117="",I117&lt;22,O117=""),"",O117+630)</f>
        <v/>
      </c>
      <c r="AM117" s="19" t="str">
        <f aca="false">IF(OR(I117="",I117&lt;23,O117=""),"",O117+660)</f>
        <v/>
      </c>
      <c r="AN117" s="19" t="str">
        <f aca="false">IF(OR(I117="",I117&lt;24,O117=""),"",O117+690)</f>
        <v/>
      </c>
      <c r="AO117" s="15" t="str">
        <f aca="false">IF(J117="","",COUNTIF(Q117:AN117,TRUE())*J117)</f>
        <v/>
      </c>
      <c r="AP117" s="15" t="str">
        <f aca="false">IF(K117="","",K117-AO117)</f>
        <v/>
      </c>
      <c r="AQ117" s="15" t="str">
        <f aca="false">IF(K117="","",K117-F117-IF(N117="",0,N117))</f>
        <v/>
      </c>
    </row>
    <row r="118" customFormat="false" ht="15" hidden="false" customHeight="false" outlineLevel="0" collapsed="false">
      <c r="A118" s="4"/>
      <c r="B118" s="4"/>
      <c r="C118" s="4"/>
      <c r="D118" s="5"/>
      <c r="E118" s="5"/>
      <c r="F118" s="6"/>
      <c r="G118" s="4"/>
      <c r="H118" s="4"/>
      <c r="I118" s="4"/>
      <c r="J118" s="6"/>
      <c r="K118" s="7" t="str">
        <f aca="false">IF(OR(I118="",J118=""),"",I118*J118)</f>
        <v/>
      </c>
      <c r="L118" s="4"/>
      <c r="M118" s="8"/>
      <c r="N118" s="7" t="str">
        <f aca="false">IF(OR(L118="",M118="",K118=""),"",IF(L118="GANANCIA",(K118-F118)*M118,IF(L118="BRUTO",K118*M118,"")))</f>
        <v/>
      </c>
      <c r="O118" s="9" t="str">
        <f aca="false">IF(D118="","",D118)</f>
        <v/>
      </c>
      <c r="P118" s="10" t="str">
        <f aca="false">IF(I118="","",IF(COUNTIF(Q118:AN118,TRUE())&gt;=I118,"PAGADO",IF(COUNTIF(Q118:AN118,TRUE())&gt;0,"PARCIAL","VIGENTE")))</f>
        <v/>
      </c>
      <c r="Q118" s="11" t="str">
        <f aca="false">IF(OR(I118="",I118&lt;1,O118=""),"",O118+0)</f>
        <v/>
      </c>
      <c r="R118" s="11" t="str">
        <f aca="false">IF(OR(I118="",I118&lt;2,O118=""),"",O118+30)</f>
        <v/>
      </c>
      <c r="S118" s="11" t="str">
        <f aca="false">IF(OR(I118="",I118&lt;3,O118=""),"",O118+60)</f>
        <v/>
      </c>
      <c r="T118" s="11" t="str">
        <f aca="false">IF(OR(I118="",I118&lt;4,O118=""),"",O118+90)</f>
        <v/>
      </c>
      <c r="U118" s="11" t="str">
        <f aca="false">IF(OR(I118="",I118&lt;5,O118=""),"",O118+120)</f>
        <v/>
      </c>
      <c r="V118" s="11" t="str">
        <f aca="false">IF(OR(I118="",I118&lt;6,O118=""),"",O118+150)</f>
        <v/>
      </c>
      <c r="W118" s="11" t="str">
        <f aca="false">IF(OR(I118="",I118&lt;7,O118=""),"",O118+180)</f>
        <v/>
      </c>
      <c r="X118" s="11" t="str">
        <f aca="false">IF(OR(I118="",I118&lt;8,O118=""),"",O118+210)</f>
        <v/>
      </c>
      <c r="Y118" s="11" t="str">
        <f aca="false">IF(OR(I118="",I118&lt;9,O118=""),"",O118+240)</f>
        <v/>
      </c>
      <c r="Z118" s="11" t="str">
        <f aca="false">IF(OR(I118="",I118&lt;10,O118=""),"",O118+270)</f>
        <v/>
      </c>
      <c r="AA118" s="11" t="str">
        <f aca="false">IF(OR(I118="",I118&lt;11,O118=""),"",O118+300)</f>
        <v/>
      </c>
      <c r="AB118" s="11" t="str">
        <f aca="false">IF(OR(I118="",I118&lt;12,O118=""),"",O118+330)</f>
        <v/>
      </c>
      <c r="AC118" s="11" t="str">
        <f aca="false">IF(OR(I118="",I118&lt;13,O118=""),"",O118+360)</f>
        <v/>
      </c>
      <c r="AD118" s="11" t="str">
        <f aca="false">IF(OR(I118="",I118&lt;14,O118=""),"",O118+390)</f>
        <v/>
      </c>
      <c r="AE118" s="11" t="str">
        <f aca="false">IF(OR(I118="",I118&lt;15,O118=""),"",O118+420)</f>
        <v/>
      </c>
      <c r="AF118" s="11" t="str">
        <f aca="false">IF(OR(I118="",I118&lt;16,O118=""),"",O118+450)</f>
        <v/>
      </c>
      <c r="AG118" s="11" t="str">
        <f aca="false">IF(OR(I118="",I118&lt;17,O118=""),"",O118+480)</f>
        <v/>
      </c>
      <c r="AH118" s="11" t="str">
        <f aca="false">IF(OR(I118="",I118&lt;18,O118=""),"",O118+510)</f>
        <v/>
      </c>
      <c r="AI118" s="11" t="str">
        <f aca="false">IF(OR(I118="",I118&lt;19,O118=""),"",O118+540)</f>
        <v/>
      </c>
      <c r="AJ118" s="11" t="str">
        <f aca="false">IF(OR(I118="",I118&lt;20,O118=""),"",O118+570)</f>
        <v/>
      </c>
      <c r="AK118" s="11" t="str">
        <f aca="false">IF(OR(I118="",I118&lt;21,O118=""),"",O118+600)</f>
        <v/>
      </c>
      <c r="AL118" s="11" t="str">
        <f aca="false">IF(OR(I118="",I118&lt;22,O118=""),"",O118+630)</f>
        <v/>
      </c>
      <c r="AM118" s="11" t="str">
        <f aca="false">IF(OR(I118="",I118&lt;23,O118=""),"",O118+660)</f>
        <v/>
      </c>
      <c r="AN118" s="11" t="str">
        <f aca="false">IF(OR(I118="",I118&lt;24,O118=""),"",O118+690)</f>
        <v/>
      </c>
      <c r="AO118" s="7" t="str">
        <f aca="false">IF(J118="","",COUNTIF(Q118:AN118,TRUE())*J118)</f>
        <v/>
      </c>
      <c r="AP118" s="7" t="str">
        <f aca="false">IF(K118="","",K118-AO118)</f>
        <v/>
      </c>
      <c r="AQ118" s="7" t="str">
        <f aca="false">IF(K118="","",K118-F118-IF(N118="",0,N118))</f>
        <v/>
      </c>
    </row>
    <row r="119" customFormat="false" ht="15" hidden="false" customHeight="false" outlineLevel="0" collapsed="false">
      <c r="A119" s="12"/>
      <c r="B119" s="12"/>
      <c r="C119" s="12"/>
      <c r="D119" s="13"/>
      <c r="E119" s="13"/>
      <c r="F119" s="14"/>
      <c r="G119" s="12"/>
      <c r="H119" s="12"/>
      <c r="I119" s="12"/>
      <c r="J119" s="14"/>
      <c r="K119" s="15" t="str">
        <f aca="false">IF(OR(I119="",J119=""),"",I119*J119)</f>
        <v/>
      </c>
      <c r="L119" s="12"/>
      <c r="M119" s="16"/>
      <c r="N119" s="15" t="str">
        <f aca="false">IF(OR(L119="",M119="",K119=""),"",IF(L119="GANANCIA",(K119-F119)*M119,IF(L119="BRUTO",K119*M119,"")))</f>
        <v/>
      </c>
      <c r="O119" s="17" t="str">
        <f aca="false">IF(D119="","",D119)</f>
        <v/>
      </c>
      <c r="P119" s="18" t="str">
        <f aca="false">IF(I119="","",IF(COUNTIF(Q119:AN119,TRUE())&gt;=I119,"PAGADO",IF(COUNTIF(Q119:AN119,TRUE())&gt;0,"PARCIAL","VIGENTE")))</f>
        <v/>
      </c>
      <c r="Q119" s="19" t="str">
        <f aca="false">IF(OR(I119="",I119&lt;1,O119=""),"",O119+0)</f>
        <v/>
      </c>
      <c r="R119" s="19" t="str">
        <f aca="false">IF(OR(I119="",I119&lt;2,O119=""),"",O119+30)</f>
        <v/>
      </c>
      <c r="S119" s="19" t="str">
        <f aca="false">IF(OR(I119="",I119&lt;3,O119=""),"",O119+60)</f>
        <v/>
      </c>
      <c r="T119" s="19" t="str">
        <f aca="false">IF(OR(I119="",I119&lt;4,O119=""),"",O119+90)</f>
        <v/>
      </c>
      <c r="U119" s="19" t="str">
        <f aca="false">IF(OR(I119="",I119&lt;5,O119=""),"",O119+120)</f>
        <v/>
      </c>
      <c r="V119" s="19" t="str">
        <f aca="false">IF(OR(I119="",I119&lt;6,O119=""),"",O119+150)</f>
        <v/>
      </c>
      <c r="W119" s="19" t="str">
        <f aca="false">IF(OR(I119="",I119&lt;7,O119=""),"",O119+180)</f>
        <v/>
      </c>
      <c r="X119" s="19" t="str">
        <f aca="false">IF(OR(I119="",I119&lt;8,O119=""),"",O119+210)</f>
        <v/>
      </c>
      <c r="Y119" s="19" t="str">
        <f aca="false">IF(OR(I119="",I119&lt;9,O119=""),"",O119+240)</f>
        <v/>
      </c>
      <c r="Z119" s="19" t="str">
        <f aca="false">IF(OR(I119="",I119&lt;10,O119=""),"",O119+270)</f>
        <v/>
      </c>
      <c r="AA119" s="19" t="str">
        <f aca="false">IF(OR(I119="",I119&lt;11,O119=""),"",O119+300)</f>
        <v/>
      </c>
      <c r="AB119" s="19" t="str">
        <f aca="false">IF(OR(I119="",I119&lt;12,O119=""),"",O119+330)</f>
        <v/>
      </c>
      <c r="AC119" s="19" t="str">
        <f aca="false">IF(OR(I119="",I119&lt;13,O119=""),"",O119+360)</f>
        <v/>
      </c>
      <c r="AD119" s="19" t="str">
        <f aca="false">IF(OR(I119="",I119&lt;14,O119=""),"",O119+390)</f>
        <v/>
      </c>
      <c r="AE119" s="19" t="str">
        <f aca="false">IF(OR(I119="",I119&lt;15,O119=""),"",O119+420)</f>
        <v/>
      </c>
      <c r="AF119" s="19" t="str">
        <f aca="false">IF(OR(I119="",I119&lt;16,O119=""),"",O119+450)</f>
        <v/>
      </c>
      <c r="AG119" s="19" t="str">
        <f aca="false">IF(OR(I119="",I119&lt;17,O119=""),"",O119+480)</f>
        <v/>
      </c>
      <c r="AH119" s="19" t="str">
        <f aca="false">IF(OR(I119="",I119&lt;18,O119=""),"",O119+510)</f>
        <v/>
      </c>
      <c r="AI119" s="19" t="str">
        <f aca="false">IF(OR(I119="",I119&lt;19,O119=""),"",O119+540)</f>
        <v/>
      </c>
      <c r="AJ119" s="19" t="str">
        <f aca="false">IF(OR(I119="",I119&lt;20,O119=""),"",O119+570)</f>
        <v/>
      </c>
      <c r="AK119" s="19" t="str">
        <f aca="false">IF(OR(I119="",I119&lt;21,O119=""),"",O119+600)</f>
        <v/>
      </c>
      <c r="AL119" s="19" t="str">
        <f aca="false">IF(OR(I119="",I119&lt;22,O119=""),"",O119+630)</f>
        <v/>
      </c>
      <c r="AM119" s="19" t="str">
        <f aca="false">IF(OR(I119="",I119&lt;23,O119=""),"",O119+660)</f>
        <v/>
      </c>
      <c r="AN119" s="19" t="str">
        <f aca="false">IF(OR(I119="",I119&lt;24,O119=""),"",O119+690)</f>
        <v/>
      </c>
      <c r="AO119" s="15" t="str">
        <f aca="false">IF(J119="","",COUNTIF(Q119:AN119,TRUE())*J119)</f>
        <v/>
      </c>
      <c r="AP119" s="15" t="str">
        <f aca="false">IF(K119="","",K119-AO119)</f>
        <v/>
      </c>
      <c r="AQ119" s="15" t="str">
        <f aca="false">IF(K119="","",K119-F119-IF(N119="",0,N119))</f>
        <v/>
      </c>
    </row>
    <row r="120" customFormat="false" ht="15" hidden="false" customHeight="false" outlineLevel="0" collapsed="false">
      <c r="A120" s="4"/>
      <c r="B120" s="4"/>
      <c r="C120" s="4"/>
      <c r="D120" s="5"/>
      <c r="E120" s="5"/>
      <c r="F120" s="6"/>
      <c r="G120" s="4"/>
      <c r="H120" s="4"/>
      <c r="I120" s="4"/>
      <c r="J120" s="6"/>
      <c r="K120" s="7" t="str">
        <f aca="false">IF(OR(I120="",J120=""),"",I120*J120)</f>
        <v/>
      </c>
      <c r="L120" s="4"/>
      <c r="M120" s="8"/>
      <c r="N120" s="7" t="str">
        <f aca="false">IF(OR(L120="",M120="",K120=""),"",IF(L120="GANANCIA",(K120-F120)*M120,IF(L120="BRUTO",K120*M120,"")))</f>
        <v/>
      </c>
      <c r="O120" s="9" t="str">
        <f aca="false">IF(D120="","",D120)</f>
        <v/>
      </c>
      <c r="P120" s="10" t="str">
        <f aca="false">IF(I120="","",IF(COUNTIF(Q120:AN120,TRUE())&gt;=I120,"PAGADO",IF(COUNTIF(Q120:AN120,TRUE())&gt;0,"PARCIAL","VIGENTE")))</f>
        <v/>
      </c>
      <c r="Q120" s="11" t="str">
        <f aca="false">IF(OR(I120="",I120&lt;1,O120=""),"",O120+0)</f>
        <v/>
      </c>
      <c r="R120" s="11" t="str">
        <f aca="false">IF(OR(I120="",I120&lt;2,O120=""),"",O120+30)</f>
        <v/>
      </c>
      <c r="S120" s="11" t="str">
        <f aca="false">IF(OR(I120="",I120&lt;3,O120=""),"",O120+60)</f>
        <v/>
      </c>
      <c r="T120" s="11" t="str">
        <f aca="false">IF(OR(I120="",I120&lt;4,O120=""),"",O120+90)</f>
        <v/>
      </c>
      <c r="U120" s="11" t="str">
        <f aca="false">IF(OR(I120="",I120&lt;5,O120=""),"",O120+120)</f>
        <v/>
      </c>
      <c r="V120" s="11" t="str">
        <f aca="false">IF(OR(I120="",I120&lt;6,O120=""),"",O120+150)</f>
        <v/>
      </c>
      <c r="W120" s="11" t="str">
        <f aca="false">IF(OR(I120="",I120&lt;7,O120=""),"",O120+180)</f>
        <v/>
      </c>
      <c r="X120" s="11" t="str">
        <f aca="false">IF(OR(I120="",I120&lt;8,O120=""),"",O120+210)</f>
        <v/>
      </c>
      <c r="Y120" s="11" t="str">
        <f aca="false">IF(OR(I120="",I120&lt;9,O120=""),"",O120+240)</f>
        <v/>
      </c>
      <c r="Z120" s="11" t="str">
        <f aca="false">IF(OR(I120="",I120&lt;10,O120=""),"",O120+270)</f>
        <v/>
      </c>
      <c r="AA120" s="11" t="str">
        <f aca="false">IF(OR(I120="",I120&lt;11,O120=""),"",O120+300)</f>
        <v/>
      </c>
      <c r="AB120" s="11" t="str">
        <f aca="false">IF(OR(I120="",I120&lt;12,O120=""),"",O120+330)</f>
        <v/>
      </c>
      <c r="AC120" s="11" t="str">
        <f aca="false">IF(OR(I120="",I120&lt;13,O120=""),"",O120+360)</f>
        <v/>
      </c>
      <c r="AD120" s="11" t="str">
        <f aca="false">IF(OR(I120="",I120&lt;14,O120=""),"",O120+390)</f>
        <v/>
      </c>
      <c r="AE120" s="11" t="str">
        <f aca="false">IF(OR(I120="",I120&lt;15,O120=""),"",O120+420)</f>
        <v/>
      </c>
      <c r="AF120" s="11" t="str">
        <f aca="false">IF(OR(I120="",I120&lt;16,O120=""),"",O120+450)</f>
        <v/>
      </c>
      <c r="AG120" s="11" t="str">
        <f aca="false">IF(OR(I120="",I120&lt;17,O120=""),"",O120+480)</f>
        <v/>
      </c>
      <c r="AH120" s="11" t="str">
        <f aca="false">IF(OR(I120="",I120&lt;18,O120=""),"",O120+510)</f>
        <v/>
      </c>
      <c r="AI120" s="11" t="str">
        <f aca="false">IF(OR(I120="",I120&lt;19,O120=""),"",O120+540)</f>
        <v/>
      </c>
      <c r="AJ120" s="11" t="str">
        <f aca="false">IF(OR(I120="",I120&lt;20,O120=""),"",O120+570)</f>
        <v/>
      </c>
      <c r="AK120" s="11" t="str">
        <f aca="false">IF(OR(I120="",I120&lt;21,O120=""),"",O120+600)</f>
        <v/>
      </c>
      <c r="AL120" s="11" t="str">
        <f aca="false">IF(OR(I120="",I120&lt;22,O120=""),"",O120+630)</f>
        <v/>
      </c>
      <c r="AM120" s="11" t="str">
        <f aca="false">IF(OR(I120="",I120&lt;23,O120=""),"",O120+660)</f>
        <v/>
      </c>
      <c r="AN120" s="11" t="str">
        <f aca="false">IF(OR(I120="",I120&lt;24,O120=""),"",O120+690)</f>
        <v/>
      </c>
      <c r="AO120" s="7" t="str">
        <f aca="false">IF(J120="","",COUNTIF(Q120:AN120,TRUE())*J120)</f>
        <v/>
      </c>
      <c r="AP120" s="7" t="str">
        <f aca="false">IF(K120="","",K120-AO120)</f>
        <v/>
      </c>
      <c r="AQ120" s="7" t="str">
        <f aca="false">IF(K120="","",K120-F120-IF(N120="",0,N120))</f>
        <v/>
      </c>
    </row>
    <row r="121" customFormat="false" ht="15" hidden="false" customHeight="false" outlineLevel="0" collapsed="false">
      <c r="A121" s="12"/>
      <c r="B121" s="12"/>
      <c r="C121" s="12"/>
      <c r="D121" s="13"/>
      <c r="E121" s="13"/>
      <c r="F121" s="14"/>
      <c r="G121" s="12"/>
      <c r="H121" s="12"/>
      <c r="I121" s="12"/>
      <c r="J121" s="14"/>
      <c r="K121" s="15" t="str">
        <f aca="false">IF(OR(I121="",J121=""),"",I121*J121)</f>
        <v/>
      </c>
      <c r="L121" s="12"/>
      <c r="M121" s="16"/>
      <c r="N121" s="15" t="str">
        <f aca="false">IF(OR(L121="",M121="",K121=""),"",IF(L121="GANANCIA",(K121-F121)*M121,IF(L121="BRUTO",K121*M121,"")))</f>
        <v/>
      </c>
      <c r="O121" s="17" t="str">
        <f aca="false">IF(D121="","",D121)</f>
        <v/>
      </c>
      <c r="P121" s="18" t="str">
        <f aca="false">IF(I121="","",IF(COUNTIF(Q121:AN121,TRUE())&gt;=I121,"PAGADO",IF(COUNTIF(Q121:AN121,TRUE())&gt;0,"PARCIAL","VIGENTE")))</f>
        <v/>
      </c>
      <c r="Q121" s="19" t="str">
        <f aca="false">IF(OR(I121="",I121&lt;1,O121=""),"",O121+0)</f>
        <v/>
      </c>
      <c r="R121" s="19" t="str">
        <f aca="false">IF(OR(I121="",I121&lt;2,O121=""),"",O121+30)</f>
        <v/>
      </c>
      <c r="S121" s="19" t="str">
        <f aca="false">IF(OR(I121="",I121&lt;3,O121=""),"",O121+60)</f>
        <v/>
      </c>
      <c r="T121" s="19" t="str">
        <f aca="false">IF(OR(I121="",I121&lt;4,O121=""),"",O121+90)</f>
        <v/>
      </c>
      <c r="U121" s="19" t="str">
        <f aca="false">IF(OR(I121="",I121&lt;5,O121=""),"",O121+120)</f>
        <v/>
      </c>
      <c r="V121" s="19" t="str">
        <f aca="false">IF(OR(I121="",I121&lt;6,O121=""),"",O121+150)</f>
        <v/>
      </c>
      <c r="W121" s="19" t="str">
        <f aca="false">IF(OR(I121="",I121&lt;7,O121=""),"",O121+180)</f>
        <v/>
      </c>
      <c r="X121" s="19" t="str">
        <f aca="false">IF(OR(I121="",I121&lt;8,O121=""),"",O121+210)</f>
        <v/>
      </c>
      <c r="Y121" s="19" t="str">
        <f aca="false">IF(OR(I121="",I121&lt;9,O121=""),"",O121+240)</f>
        <v/>
      </c>
      <c r="Z121" s="19" t="str">
        <f aca="false">IF(OR(I121="",I121&lt;10,O121=""),"",O121+270)</f>
        <v/>
      </c>
      <c r="AA121" s="19" t="str">
        <f aca="false">IF(OR(I121="",I121&lt;11,O121=""),"",O121+300)</f>
        <v/>
      </c>
      <c r="AB121" s="19" t="str">
        <f aca="false">IF(OR(I121="",I121&lt;12,O121=""),"",O121+330)</f>
        <v/>
      </c>
      <c r="AC121" s="19" t="str">
        <f aca="false">IF(OR(I121="",I121&lt;13,O121=""),"",O121+360)</f>
        <v/>
      </c>
      <c r="AD121" s="19" t="str">
        <f aca="false">IF(OR(I121="",I121&lt;14,O121=""),"",O121+390)</f>
        <v/>
      </c>
      <c r="AE121" s="19" t="str">
        <f aca="false">IF(OR(I121="",I121&lt;15,O121=""),"",O121+420)</f>
        <v/>
      </c>
      <c r="AF121" s="19" t="str">
        <f aca="false">IF(OR(I121="",I121&lt;16,O121=""),"",O121+450)</f>
        <v/>
      </c>
      <c r="AG121" s="19" t="str">
        <f aca="false">IF(OR(I121="",I121&lt;17,O121=""),"",O121+480)</f>
        <v/>
      </c>
      <c r="AH121" s="19" t="str">
        <f aca="false">IF(OR(I121="",I121&lt;18,O121=""),"",O121+510)</f>
        <v/>
      </c>
      <c r="AI121" s="19" t="str">
        <f aca="false">IF(OR(I121="",I121&lt;19,O121=""),"",O121+540)</f>
        <v/>
      </c>
      <c r="AJ121" s="19" t="str">
        <f aca="false">IF(OR(I121="",I121&lt;20,O121=""),"",O121+570)</f>
        <v/>
      </c>
      <c r="AK121" s="19" t="str">
        <f aca="false">IF(OR(I121="",I121&lt;21,O121=""),"",O121+600)</f>
        <v/>
      </c>
      <c r="AL121" s="19" t="str">
        <f aca="false">IF(OR(I121="",I121&lt;22,O121=""),"",O121+630)</f>
        <v/>
      </c>
      <c r="AM121" s="19" t="str">
        <f aca="false">IF(OR(I121="",I121&lt;23,O121=""),"",O121+660)</f>
        <v/>
      </c>
      <c r="AN121" s="19" t="str">
        <f aca="false">IF(OR(I121="",I121&lt;24,O121=""),"",O121+690)</f>
        <v/>
      </c>
      <c r="AO121" s="15" t="str">
        <f aca="false">IF(J121="","",COUNTIF(Q121:AN121,TRUE())*J121)</f>
        <v/>
      </c>
      <c r="AP121" s="15" t="str">
        <f aca="false">IF(K121="","",K121-AO121)</f>
        <v/>
      </c>
      <c r="AQ121" s="15" t="str">
        <f aca="false">IF(K121="","",K121-F121-IF(N121="",0,N121))</f>
        <v/>
      </c>
    </row>
    <row r="122" customFormat="false" ht="15" hidden="false" customHeight="false" outlineLevel="0" collapsed="false">
      <c r="A122" s="4"/>
      <c r="B122" s="4"/>
      <c r="C122" s="4"/>
      <c r="D122" s="5"/>
      <c r="E122" s="5"/>
      <c r="F122" s="6"/>
      <c r="G122" s="4"/>
      <c r="H122" s="4"/>
      <c r="I122" s="4"/>
      <c r="J122" s="6"/>
      <c r="K122" s="7" t="str">
        <f aca="false">IF(OR(I122="",J122=""),"",I122*J122)</f>
        <v/>
      </c>
      <c r="L122" s="4"/>
      <c r="M122" s="8"/>
      <c r="N122" s="7" t="str">
        <f aca="false">IF(OR(L122="",M122="",K122=""),"",IF(L122="GANANCIA",(K122-F122)*M122,IF(L122="BRUTO",K122*M122,"")))</f>
        <v/>
      </c>
      <c r="O122" s="9" t="str">
        <f aca="false">IF(D122="","",D122)</f>
        <v/>
      </c>
      <c r="P122" s="10" t="str">
        <f aca="false">IF(I122="","",IF(COUNTIF(Q122:AN122,TRUE())&gt;=I122,"PAGADO",IF(COUNTIF(Q122:AN122,TRUE())&gt;0,"PARCIAL","VIGENTE")))</f>
        <v/>
      </c>
      <c r="Q122" s="11" t="str">
        <f aca="false">IF(OR(I122="",I122&lt;1,O122=""),"",O122+0)</f>
        <v/>
      </c>
      <c r="R122" s="11" t="str">
        <f aca="false">IF(OR(I122="",I122&lt;2,O122=""),"",O122+30)</f>
        <v/>
      </c>
      <c r="S122" s="11" t="str">
        <f aca="false">IF(OR(I122="",I122&lt;3,O122=""),"",O122+60)</f>
        <v/>
      </c>
      <c r="T122" s="11" t="str">
        <f aca="false">IF(OR(I122="",I122&lt;4,O122=""),"",O122+90)</f>
        <v/>
      </c>
      <c r="U122" s="11" t="str">
        <f aca="false">IF(OR(I122="",I122&lt;5,O122=""),"",O122+120)</f>
        <v/>
      </c>
      <c r="V122" s="11" t="str">
        <f aca="false">IF(OR(I122="",I122&lt;6,O122=""),"",O122+150)</f>
        <v/>
      </c>
      <c r="W122" s="11" t="str">
        <f aca="false">IF(OR(I122="",I122&lt;7,O122=""),"",O122+180)</f>
        <v/>
      </c>
      <c r="X122" s="11" t="str">
        <f aca="false">IF(OR(I122="",I122&lt;8,O122=""),"",O122+210)</f>
        <v/>
      </c>
      <c r="Y122" s="11" t="str">
        <f aca="false">IF(OR(I122="",I122&lt;9,O122=""),"",O122+240)</f>
        <v/>
      </c>
      <c r="Z122" s="11" t="str">
        <f aca="false">IF(OR(I122="",I122&lt;10,O122=""),"",O122+270)</f>
        <v/>
      </c>
      <c r="AA122" s="11" t="str">
        <f aca="false">IF(OR(I122="",I122&lt;11,O122=""),"",O122+300)</f>
        <v/>
      </c>
      <c r="AB122" s="11" t="str">
        <f aca="false">IF(OR(I122="",I122&lt;12,O122=""),"",O122+330)</f>
        <v/>
      </c>
      <c r="AC122" s="11" t="str">
        <f aca="false">IF(OR(I122="",I122&lt;13,O122=""),"",O122+360)</f>
        <v/>
      </c>
      <c r="AD122" s="11" t="str">
        <f aca="false">IF(OR(I122="",I122&lt;14,O122=""),"",O122+390)</f>
        <v/>
      </c>
      <c r="AE122" s="11" t="str">
        <f aca="false">IF(OR(I122="",I122&lt;15,O122=""),"",O122+420)</f>
        <v/>
      </c>
      <c r="AF122" s="11" t="str">
        <f aca="false">IF(OR(I122="",I122&lt;16,O122=""),"",O122+450)</f>
        <v/>
      </c>
      <c r="AG122" s="11" t="str">
        <f aca="false">IF(OR(I122="",I122&lt;17,O122=""),"",O122+480)</f>
        <v/>
      </c>
      <c r="AH122" s="11" t="str">
        <f aca="false">IF(OR(I122="",I122&lt;18,O122=""),"",O122+510)</f>
        <v/>
      </c>
      <c r="AI122" s="11" t="str">
        <f aca="false">IF(OR(I122="",I122&lt;19,O122=""),"",O122+540)</f>
        <v/>
      </c>
      <c r="AJ122" s="11" t="str">
        <f aca="false">IF(OR(I122="",I122&lt;20,O122=""),"",O122+570)</f>
        <v/>
      </c>
      <c r="AK122" s="11" t="str">
        <f aca="false">IF(OR(I122="",I122&lt;21,O122=""),"",O122+600)</f>
        <v/>
      </c>
      <c r="AL122" s="11" t="str">
        <f aca="false">IF(OR(I122="",I122&lt;22,O122=""),"",O122+630)</f>
        <v/>
      </c>
      <c r="AM122" s="11" t="str">
        <f aca="false">IF(OR(I122="",I122&lt;23,O122=""),"",O122+660)</f>
        <v/>
      </c>
      <c r="AN122" s="11" t="str">
        <f aca="false">IF(OR(I122="",I122&lt;24,O122=""),"",O122+690)</f>
        <v/>
      </c>
      <c r="AO122" s="7" t="str">
        <f aca="false">IF(J122="","",COUNTIF(Q122:AN122,TRUE())*J122)</f>
        <v/>
      </c>
      <c r="AP122" s="7" t="str">
        <f aca="false">IF(K122="","",K122-AO122)</f>
        <v/>
      </c>
      <c r="AQ122" s="7" t="str">
        <f aca="false">IF(K122="","",K122-F122-IF(N122="",0,N122))</f>
        <v/>
      </c>
    </row>
    <row r="123" customFormat="false" ht="15" hidden="false" customHeight="false" outlineLevel="0" collapsed="false">
      <c r="A123" s="12"/>
      <c r="B123" s="12"/>
      <c r="C123" s="12"/>
      <c r="D123" s="13"/>
      <c r="E123" s="13"/>
      <c r="F123" s="14"/>
      <c r="G123" s="12"/>
      <c r="H123" s="12"/>
      <c r="I123" s="12"/>
      <c r="J123" s="14"/>
      <c r="K123" s="15" t="str">
        <f aca="false">IF(OR(I123="",J123=""),"",I123*J123)</f>
        <v/>
      </c>
      <c r="L123" s="12"/>
      <c r="M123" s="16"/>
      <c r="N123" s="15" t="str">
        <f aca="false">IF(OR(L123="",M123="",K123=""),"",IF(L123="GANANCIA",(K123-F123)*M123,IF(L123="BRUTO",K123*M123,"")))</f>
        <v/>
      </c>
      <c r="O123" s="17" t="str">
        <f aca="false">IF(D123="","",D123)</f>
        <v/>
      </c>
      <c r="P123" s="18" t="str">
        <f aca="false">IF(I123="","",IF(COUNTIF(Q123:AN123,TRUE())&gt;=I123,"PAGADO",IF(COUNTIF(Q123:AN123,TRUE())&gt;0,"PARCIAL","VIGENTE")))</f>
        <v/>
      </c>
      <c r="Q123" s="19" t="str">
        <f aca="false">IF(OR(I123="",I123&lt;1,O123=""),"",O123+0)</f>
        <v/>
      </c>
      <c r="R123" s="19" t="str">
        <f aca="false">IF(OR(I123="",I123&lt;2,O123=""),"",O123+30)</f>
        <v/>
      </c>
      <c r="S123" s="19" t="str">
        <f aca="false">IF(OR(I123="",I123&lt;3,O123=""),"",O123+60)</f>
        <v/>
      </c>
      <c r="T123" s="19" t="str">
        <f aca="false">IF(OR(I123="",I123&lt;4,O123=""),"",O123+90)</f>
        <v/>
      </c>
      <c r="U123" s="19" t="str">
        <f aca="false">IF(OR(I123="",I123&lt;5,O123=""),"",O123+120)</f>
        <v/>
      </c>
      <c r="V123" s="19" t="str">
        <f aca="false">IF(OR(I123="",I123&lt;6,O123=""),"",O123+150)</f>
        <v/>
      </c>
      <c r="W123" s="19" t="str">
        <f aca="false">IF(OR(I123="",I123&lt;7,O123=""),"",O123+180)</f>
        <v/>
      </c>
      <c r="X123" s="19" t="str">
        <f aca="false">IF(OR(I123="",I123&lt;8,O123=""),"",O123+210)</f>
        <v/>
      </c>
      <c r="Y123" s="19" t="str">
        <f aca="false">IF(OR(I123="",I123&lt;9,O123=""),"",O123+240)</f>
        <v/>
      </c>
      <c r="Z123" s="19" t="str">
        <f aca="false">IF(OR(I123="",I123&lt;10,O123=""),"",O123+270)</f>
        <v/>
      </c>
      <c r="AA123" s="19" t="str">
        <f aca="false">IF(OR(I123="",I123&lt;11,O123=""),"",O123+300)</f>
        <v/>
      </c>
      <c r="AB123" s="19" t="str">
        <f aca="false">IF(OR(I123="",I123&lt;12,O123=""),"",O123+330)</f>
        <v/>
      </c>
      <c r="AC123" s="19" t="str">
        <f aca="false">IF(OR(I123="",I123&lt;13,O123=""),"",O123+360)</f>
        <v/>
      </c>
      <c r="AD123" s="19" t="str">
        <f aca="false">IF(OR(I123="",I123&lt;14,O123=""),"",O123+390)</f>
        <v/>
      </c>
      <c r="AE123" s="19" t="str">
        <f aca="false">IF(OR(I123="",I123&lt;15,O123=""),"",O123+420)</f>
        <v/>
      </c>
      <c r="AF123" s="19" t="str">
        <f aca="false">IF(OR(I123="",I123&lt;16,O123=""),"",O123+450)</f>
        <v/>
      </c>
      <c r="AG123" s="19" t="str">
        <f aca="false">IF(OR(I123="",I123&lt;17,O123=""),"",O123+480)</f>
        <v/>
      </c>
      <c r="AH123" s="19" t="str">
        <f aca="false">IF(OR(I123="",I123&lt;18,O123=""),"",O123+510)</f>
        <v/>
      </c>
      <c r="AI123" s="19" t="str">
        <f aca="false">IF(OR(I123="",I123&lt;19,O123=""),"",O123+540)</f>
        <v/>
      </c>
      <c r="AJ123" s="19" t="str">
        <f aca="false">IF(OR(I123="",I123&lt;20,O123=""),"",O123+570)</f>
        <v/>
      </c>
      <c r="AK123" s="19" t="str">
        <f aca="false">IF(OR(I123="",I123&lt;21,O123=""),"",O123+600)</f>
        <v/>
      </c>
      <c r="AL123" s="19" t="str">
        <f aca="false">IF(OR(I123="",I123&lt;22,O123=""),"",O123+630)</f>
        <v/>
      </c>
      <c r="AM123" s="19" t="str">
        <f aca="false">IF(OR(I123="",I123&lt;23,O123=""),"",O123+660)</f>
        <v/>
      </c>
      <c r="AN123" s="19" t="str">
        <f aca="false">IF(OR(I123="",I123&lt;24,O123=""),"",O123+690)</f>
        <v/>
      </c>
      <c r="AO123" s="15" t="str">
        <f aca="false">IF(J123="","",COUNTIF(Q123:AN123,TRUE())*J123)</f>
        <v/>
      </c>
      <c r="AP123" s="15" t="str">
        <f aca="false">IF(K123="","",K123-AO123)</f>
        <v/>
      </c>
      <c r="AQ123" s="15" t="str">
        <f aca="false">IF(K123="","",K123-F123-IF(N123="",0,N123))</f>
        <v/>
      </c>
    </row>
    <row r="124" customFormat="false" ht="15" hidden="false" customHeight="false" outlineLevel="0" collapsed="false">
      <c r="A124" s="4"/>
      <c r="B124" s="4"/>
      <c r="C124" s="4"/>
      <c r="D124" s="5"/>
      <c r="E124" s="5"/>
      <c r="F124" s="6"/>
      <c r="G124" s="4"/>
      <c r="H124" s="4"/>
      <c r="I124" s="4"/>
      <c r="J124" s="6"/>
      <c r="K124" s="7" t="str">
        <f aca="false">IF(OR(I124="",J124=""),"",I124*J124)</f>
        <v/>
      </c>
      <c r="L124" s="4"/>
      <c r="M124" s="8"/>
      <c r="N124" s="7" t="str">
        <f aca="false">IF(OR(L124="",M124="",K124=""),"",IF(L124="GANANCIA",(K124-F124)*M124,IF(L124="BRUTO",K124*M124,"")))</f>
        <v/>
      </c>
      <c r="O124" s="9" t="str">
        <f aca="false">IF(D124="","",D124)</f>
        <v/>
      </c>
      <c r="P124" s="10" t="str">
        <f aca="false">IF(I124="","",IF(COUNTIF(Q124:AN124,TRUE())&gt;=I124,"PAGADO",IF(COUNTIF(Q124:AN124,TRUE())&gt;0,"PARCIAL","VIGENTE")))</f>
        <v/>
      </c>
      <c r="Q124" s="11" t="str">
        <f aca="false">IF(OR(I124="",I124&lt;1,O124=""),"",O124+0)</f>
        <v/>
      </c>
      <c r="R124" s="11" t="str">
        <f aca="false">IF(OR(I124="",I124&lt;2,O124=""),"",O124+30)</f>
        <v/>
      </c>
      <c r="S124" s="11" t="str">
        <f aca="false">IF(OR(I124="",I124&lt;3,O124=""),"",O124+60)</f>
        <v/>
      </c>
      <c r="T124" s="11" t="str">
        <f aca="false">IF(OR(I124="",I124&lt;4,O124=""),"",O124+90)</f>
        <v/>
      </c>
      <c r="U124" s="11" t="str">
        <f aca="false">IF(OR(I124="",I124&lt;5,O124=""),"",O124+120)</f>
        <v/>
      </c>
      <c r="V124" s="11" t="str">
        <f aca="false">IF(OR(I124="",I124&lt;6,O124=""),"",O124+150)</f>
        <v/>
      </c>
      <c r="W124" s="11" t="str">
        <f aca="false">IF(OR(I124="",I124&lt;7,O124=""),"",O124+180)</f>
        <v/>
      </c>
      <c r="X124" s="11" t="str">
        <f aca="false">IF(OR(I124="",I124&lt;8,O124=""),"",O124+210)</f>
        <v/>
      </c>
      <c r="Y124" s="11" t="str">
        <f aca="false">IF(OR(I124="",I124&lt;9,O124=""),"",O124+240)</f>
        <v/>
      </c>
      <c r="Z124" s="11" t="str">
        <f aca="false">IF(OR(I124="",I124&lt;10,O124=""),"",O124+270)</f>
        <v/>
      </c>
      <c r="AA124" s="11" t="str">
        <f aca="false">IF(OR(I124="",I124&lt;11,O124=""),"",O124+300)</f>
        <v/>
      </c>
      <c r="AB124" s="11" t="str">
        <f aca="false">IF(OR(I124="",I124&lt;12,O124=""),"",O124+330)</f>
        <v/>
      </c>
      <c r="AC124" s="11" t="str">
        <f aca="false">IF(OR(I124="",I124&lt;13,O124=""),"",O124+360)</f>
        <v/>
      </c>
      <c r="AD124" s="11" t="str">
        <f aca="false">IF(OR(I124="",I124&lt;14,O124=""),"",O124+390)</f>
        <v/>
      </c>
      <c r="AE124" s="11" t="str">
        <f aca="false">IF(OR(I124="",I124&lt;15,O124=""),"",O124+420)</f>
        <v/>
      </c>
      <c r="AF124" s="11" t="str">
        <f aca="false">IF(OR(I124="",I124&lt;16,O124=""),"",O124+450)</f>
        <v/>
      </c>
      <c r="AG124" s="11" t="str">
        <f aca="false">IF(OR(I124="",I124&lt;17,O124=""),"",O124+480)</f>
        <v/>
      </c>
      <c r="AH124" s="11" t="str">
        <f aca="false">IF(OR(I124="",I124&lt;18,O124=""),"",O124+510)</f>
        <v/>
      </c>
      <c r="AI124" s="11" t="str">
        <f aca="false">IF(OR(I124="",I124&lt;19,O124=""),"",O124+540)</f>
        <v/>
      </c>
      <c r="AJ124" s="11" t="str">
        <f aca="false">IF(OR(I124="",I124&lt;20,O124=""),"",O124+570)</f>
        <v/>
      </c>
      <c r="AK124" s="11" t="str">
        <f aca="false">IF(OR(I124="",I124&lt;21,O124=""),"",O124+600)</f>
        <v/>
      </c>
      <c r="AL124" s="11" t="str">
        <f aca="false">IF(OR(I124="",I124&lt;22,O124=""),"",O124+630)</f>
        <v/>
      </c>
      <c r="AM124" s="11" t="str">
        <f aca="false">IF(OR(I124="",I124&lt;23,O124=""),"",O124+660)</f>
        <v/>
      </c>
      <c r="AN124" s="11" t="str">
        <f aca="false">IF(OR(I124="",I124&lt;24,O124=""),"",O124+690)</f>
        <v/>
      </c>
      <c r="AO124" s="7" t="str">
        <f aca="false">IF(J124="","",COUNTIF(Q124:AN124,TRUE())*J124)</f>
        <v/>
      </c>
      <c r="AP124" s="7" t="str">
        <f aca="false">IF(K124="","",K124-AO124)</f>
        <v/>
      </c>
      <c r="AQ124" s="7" t="str">
        <f aca="false">IF(K124="","",K124-F124-IF(N124="",0,N124))</f>
        <v/>
      </c>
    </row>
    <row r="125" customFormat="false" ht="15" hidden="false" customHeight="false" outlineLevel="0" collapsed="false">
      <c r="A125" s="12"/>
      <c r="B125" s="12"/>
      <c r="C125" s="12"/>
      <c r="D125" s="13"/>
      <c r="E125" s="13"/>
      <c r="F125" s="14"/>
      <c r="G125" s="12"/>
      <c r="H125" s="12"/>
      <c r="I125" s="12"/>
      <c r="J125" s="14"/>
      <c r="K125" s="15" t="str">
        <f aca="false">IF(OR(I125="",J125=""),"",I125*J125)</f>
        <v/>
      </c>
      <c r="L125" s="12"/>
      <c r="M125" s="16"/>
      <c r="N125" s="15" t="str">
        <f aca="false">IF(OR(L125="",M125="",K125=""),"",IF(L125="GANANCIA",(K125-F125)*M125,IF(L125="BRUTO",K125*M125,"")))</f>
        <v/>
      </c>
      <c r="O125" s="17" t="str">
        <f aca="false">IF(D125="","",D125)</f>
        <v/>
      </c>
      <c r="P125" s="18" t="str">
        <f aca="false">IF(I125="","",IF(COUNTIF(Q125:AN125,TRUE())&gt;=I125,"PAGADO",IF(COUNTIF(Q125:AN125,TRUE())&gt;0,"PARCIAL","VIGENTE")))</f>
        <v/>
      </c>
      <c r="Q125" s="19" t="str">
        <f aca="false">IF(OR(I125="",I125&lt;1,O125=""),"",O125+0)</f>
        <v/>
      </c>
      <c r="R125" s="19" t="str">
        <f aca="false">IF(OR(I125="",I125&lt;2,O125=""),"",O125+30)</f>
        <v/>
      </c>
      <c r="S125" s="19" t="str">
        <f aca="false">IF(OR(I125="",I125&lt;3,O125=""),"",O125+60)</f>
        <v/>
      </c>
      <c r="T125" s="19" t="str">
        <f aca="false">IF(OR(I125="",I125&lt;4,O125=""),"",O125+90)</f>
        <v/>
      </c>
      <c r="U125" s="19" t="str">
        <f aca="false">IF(OR(I125="",I125&lt;5,O125=""),"",O125+120)</f>
        <v/>
      </c>
      <c r="V125" s="19" t="str">
        <f aca="false">IF(OR(I125="",I125&lt;6,O125=""),"",O125+150)</f>
        <v/>
      </c>
      <c r="W125" s="19" t="str">
        <f aca="false">IF(OR(I125="",I125&lt;7,O125=""),"",O125+180)</f>
        <v/>
      </c>
      <c r="X125" s="19" t="str">
        <f aca="false">IF(OR(I125="",I125&lt;8,O125=""),"",O125+210)</f>
        <v/>
      </c>
      <c r="Y125" s="19" t="str">
        <f aca="false">IF(OR(I125="",I125&lt;9,O125=""),"",O125+240)</f>
        <v/>
      </c>
      <c r="Z125" s="19" t="str">
        <f aca="false">IF(OR(I125="",I125&lt;10,O125=""),"",O125+270)</f>
        <v/>
      </c>
      <c r="AA125" s="19" t="str">
        <f aca="false">IF(OR(I125="",I125&lt;11,O125=""),"",O125+300)</f>
        <v/>
      </c>
      <c r="AB125" s="19" t="str">
        <f aca="false">IF(OR(I125="",I125&lt;12,O125=""),"",O125+330)</f>
        <v/>
      </c>
      <c r="AC125" s="19" t="str">
        <f aca="false">IF(OR(I125="",I125&lt;13,O125=""),"",O125+360)</f>
        <v/>
      </c>
      <c r="AD125" s="19" t="str">
        <f aca="false">IF(OR(I125="",I125&lt;14,O125=""),"",O125+390)</f>
        <v/>
      </c>
      <c r="AE125" s="19" t="str">
        <f aca="false">IF(OR(I125="",I125&lt;15,O125=""),"",O125+420)</f>
        <v/>
      </c>
      <c r="AF125" s="19" t="str">
        <f aca="false">IF(OR(I125="",I125&lt;16,O125=""),"",O125+450)</f>
        <v/>
      </c>
      <c r="AG125" s="19" t="str">
        <f aca="false">IF(OR(I125="",I125&lt;17,O125=""),"",O125+480)</f>
        <v/>
      </c>
      <c r="AH125" s="19" t="str">
        <f aca="false">IF(OR(I125="",I125&lt;18,O125=""),"",O125+510)</f>
        <v/>
      </c>
      <c r="AI125" s="19" t="str">
        <f aca="false">IF(OR(I125="",I125&lt;19,O125=""),"",O125+540)</f>
        <v/>
      </c>
      <c r="AJ125" s="19" t="str">
        <f aca="false">IF(OR(I125="",I125&lt;20,O125=""),"",O125+570)</f>
        <v/>
      </c>
      <c r="AK125" s="19" t="str">
        <f aca="false">IF(OR(I125="",I125&lt;21,O125=""),"",O125+600)</f>
        <v/>
      </c>
      <c r="AL125" s="19" t="str">
        <f aca="false">IF(OR(I125="",I125&lt;22,O125=""),"",O125+630)</f>
        <v/>
      </c>
      <c r="AM125" s="19" t="str">
        <f aca="false">IF(OR(I125="",I125&lt;23,O125=""),"",O125+660)</f>
        <v/>
      </c>
      <c r="AN125" s="19" t="str">
        <f aca="false">IF(OR(I125="",I125&lt;24,O125=""),"",O125+690)</f>
        <v/>
      </c>
      <c r="AO125" s="15" t="str">
        <f aca="false">IF(J125="","",COUNTIF(Q125:AN125,TRUE())*J125)</f>
        <v/>
      </c>
      <c r="AP125" s="15" t="str">
        <f aca="false">IF(K125="","",K125-AO125)</f>
        <v/>
      </c>
      <c r="AQ125" s="15" t="str">
        <f aca="false">IF(K125="","",K125-F125-IF(N125="",0,N125))</f>
        <v/>
      </c>
    </row>
    <row r="126" customFormat="false" ht="15" hidden="false" customHeight="false" outlineLevel="0" collapsed="false">
      <c r="A126" s="4"/>
      <c r="B126" s="4"/>
      <c r="C126" s="4"/>
      <c r="D126" s="5"/>
      <c r="E126" s="5"/>
      <c r="F126" s="6"/>
      <c r="G126" s="4"/>
      <c r="H126" s="4"/>
      <c r="I126" s="4"/>
      <c r="J126" s="6"/>
      <c r="K126" s="7" t="str">
        <f aca="false">IF(OR(I126="",J126=""),"",I126*J126)</f>
        <v/>
      </c>
      <c r="L126" s="4"/>
      <c r="M126" s="8"/>
      <c r="N126" s="7" t="str">
        <f aca="false">IF(OR(L126="",M126="",K126=""),"",IF(L126="GANANCIA",(K126-F126)*M126,IF(L126="BRUTO",K126*M126,"")))</f>
        <v/>
      </c>
      <c r="O126" s="9" t="str">
        <f aca="false">IF(D126="","",D126)</f>
        <v/>
      </c>
      <c r="P126" s="10" t="str">
        <f aca="false">IF(I126="","",IF(COUNTIF(Q126:AN126,TRUE())&gt;=I126,"PAGADO",IF(COUNTIF(Q126:AN126,TRUE())&gt;0,"PARCIAL","VIGENTE")))</f>
        <v/>
      </c>
      <c r="Q126" s="11" t="str">
        <f aca="false">IF(OR(I126="",I126&lt;1,O126=""),"",O126+0)</f>
        <v/>
      </c>
      <c r="R126" s="11" t="str">
        <f aca="false">IF(OR(I126="",I126&lt;2,O126=""),"",O126+30)</f>
        <v/>
      </c>
      <c r="S126" s="11" t="str">
        <f aca="false">IF(OR(I126="",I126&lt;3,O126=""),"",O126+60)</f>
        <v/>
      </c>
      <c r="T126" s="11" t="str">
        <f aca="false">IF(OR(I126="",I126&lt;4,O126=""),"",O126+90)</f>
        <v/>
      </c>
      <c r="U126" s="11" t="str">
        <f aca="false">IF(OR(I126="",I126&lt;5,O126=""),"",O126+120)</f>
        <v/>
      </c>
      <c r="V126" s="11" t="str">
        <f aca="false">IF(OR(I126="",I126&lt;6,O126=""),"",O126+150)</f>
        <v/>
      </c>
      <c r="W126" s="11" t="str">
        <f aca="false">IF(OR(I126="",I126&lt;7,O126=""),"",O126+180)</f>
        <v/>
      </c>
      <c r="X126" s="11" t="str">
        <f aca="false">IF(OR(I126="",I126&lt;8,O126=""),"",O126+210)</f>
        <v/>
      </c>
      <c r="Y126" s="11" t="str">
        <f aca="false">IF(OR(I126="",I126&lt;9,O126=""),"",O126+240)</f>
        <v/>
      </c>
      <c r="Z126" s="11" t="str">
        <f aca="false">IF(OR(I126="",I126&lt;10,O126=""),"",O126+270)</f>
        <v/>
      </c>
      <c r="AA126" s="11" t="str">
        <f aca="false">IF(OR(I126="",I126&lt;11,O126=""),"",O126+300)</f>
        <v/>
      </c>
      <c r="AB126" s="11" t="str">
        <f aca="false">IF(OR(I126="",I126&lt;12,O126=""),"",O126+330)</f>
        <v/>
      </c>
      <c r="AC126" s="11" t="str">
        <f aca="false">IF(OR(I126="",I126&lt;13,O126=""),"",O126+360)</f>
        <v/>
      </c>
      <c r="AD126" s="11" t="str">
        <f aca="false">IF(OR(I126="",I126&lt;14,O126=""),"",O126+390)</f>
        <v/>
      </c>
      <c r="AE126" s="11" t="str">
        <f aca="false">IF(OR(I126="",I126&lt;15,O126=""),"",O126+420)</f>
        <v/>
      </c>
      <c r="AF126" s="11" t="str">
        <f aca="false">IF(OR(I126="",I126&lt;16,O126=""),"",O126+450)</f>
        <v/>
      </c>
      <c r="AG126" s="11" t="str">
        <f aca="false">IF(OR(I126="",I126&lt;17,O126=""),"",O126+480)</f>
        <v/>
      </c>
      <c r="AH126" s="11" t="str">
        <f aca="false">IF(OR(I126="",I126&lt;18,O126=""),"",O126+510)</f>
        <v/>
      </c>
      <c r="AI126" s="11" t="str">
        <f aca="false">IF(OR(I126="",I126&lt;19,O126=""),"",O126+540)</f>
        <v/>
      </c>
      <c r="AJ126" s="11" t="str">
        <f aca="false">IF(OR(I126="",I126&lt;20,O126=""),"",O126+570)</f>
        <v/>
      </c>
      <c r="AK126" s="11" t="str">
        <f aca="false">IF(OR(I126="",I126&lt;21,O126=""),"",O126+600)</f>
        <v/>
      </c>
      <c r="AL126" s="11" t="str">
        <f aca="false">IF(OR(I126="",I126&lt;22,O126=""),"",O126+630)</f>
        <v/>
      </c>
      <c r="AM126" s="11" t="str">
        <f aca="false">IF(OR(I126="",I126&lt;23,O126=""),"",O126+660)</f>
        <v/>
      </c>
      <c r="AN126" s="11" t="str">
        <f aca="false">IF(OR(I126="",I126&lt;24,O126=""),"",O126+690)</f>
        <v/>
      </c>
      <c r="AO126" s="7" t="str">
        <f aca="false">IF(J126="","",COUNTIF(Q126:AN126,TRUE())*J126)</f>
        <v/>
      </c>
      <c r="AP126" s="7" t="str">
        <f aca="false">IF(K126="","",K126-AO126)</f>
        <v/>
      </c>
      <c r="AQ126" s="7" t="str">
        <f aca="false">IF(K126="","",K126-F126-IF(N126="",0,N126))</f>
        <v/>
      </c>
    </row>
    <row r="127" customFormat="false" ht="15" hidden="false" customHeight="false" outlineLevel="0" collapsed="false">
      <c r="A127" s="12"/>
      <c r="B127" s="12"/>
      <c r="C127" s="12"/>
      <c r="D127" s="13"/>
      <c r="E127" s="13"/>
      <c r="F127" s="14"/>
      <c r="G127" s="12"/>
      <c r="H127" s="12"/>
      <c r="I127" s="12"/>
      <c r="J127" s="14"/>
      <c r="K127" s="15" t="str">
        <f aca="false">IF(OR(I127="",J127=""),"",I127*J127)</f>
        <v/>
      </c>
      <c r="L127" s="12"/>
      <c r="M127" s="16"/>
      <c r="N127" s="15" t="str">
        <f aca="false">IF(OR(L127="",M127="",K127=""),"",IF(L127="GANANCIA",(K127-F127)*M127,IF(L127="BRUTO",K127*M127,"")))</f>
        <v/>
      </c>
      <c r="O127" s="17" t="str">
        <f aca="false">IF(D127="","",D127)</f>
        <v/>
      </c>
      <c r="P127" s="18" t="str">
        <f aca="false">IF(I127="","",IF(COUNTIF(Q127:AN127,TRUE())&gt;=I127,"PAGADO",IF(COUNTIF(Q127:AN127,TRUE())&gt;0,"PARCIAL","VIGENTE")))</f>
        <v/>
      </c>
      <c r="Q127" s="19" t="str">
        <f aca="false">IF(OR(I127="",I127&lt;1,O127=""),"",O127+0)</f>
        <v/>
      </c>
      <c r="R127" s="19" t="str">
        <f aca="false">IF(OR(I127="",I127&lt;2,O127=""),"",O127+30)</f>
        <v/>
      </c>
      <c r="S127" s="19" t="str">
        <f aca="false">IF(OR(I127="",I127&lt;3,O127=""),"",O127+60)</f>
        <v/>
      </c>
      <c r="T127" s="19" t="str">
        <f aca="false">IF(OR(I127="",I127&lt;4,O127=""),"",O127+90)</f>
        <v/>
      </c>
      <c r="U127" s="19" t="str">
        <f aca="false">IF(OR(I127="",I127&lt;5,O127=""),"",O127+120)</f>
        <v/>
      </c>
      <c r="V127" s="19" t="str">
        <f aca="false">IF(OR(I127="",I127&lt;6,O127=""),"",O127+150)</f>
        <v/>
      </c>
      <c r="W127" s="19" t="str">
        <f aca="false">IF(OR(I127="",I127&lt;7,O127=""),"",O127+180)</f>
        <v/>
      </c>
      <c r="X127" s="19" t="str">
        <f aca="false">IF(OR(I127="",I127&lt;8,O127=""),"",O127+210)</f>
        <v/>
      </c>
      <c r="Y127" s="19" t="str">
        <f aca="false">IF(OR(I127="",I127&lt;9,O127=""),"",O127+240)</f>
        <v/>
      </c>
      <c r="Z127" s="19" t="str">
        <f aca="false">IF(OR(I127="",I127&lt;10,O127=""),"",O127+270)</f>
        <v/>
      </c>
      <c r="AA127" s="19" t="str">
        <f aca="false">IF(OR(I127="",I127&lt;11,O127=""),"",O127+300)</f>
        <v/>
      </c>
      <c r="AB127" s="19" t="str">
        <f aca="false">IF(OR(I127="",I127&lt;12,O127=""),"",O127+330)</f>
        <v/>
      </c>
      <c r="AC127" s="19" t="str">
        <f aca="false">IF(OR(I127="",I127&lt;13,O127=""),"",O127+360)</f>
        <v/>
      </c>
      <c r="AD127" s="19" t="str">
        <f aca="false">IF(OR(I127="",I127&lt;14,O127=""),"",O127+390)</f>
        <v/>
      </c>
      <c r="AE127" s="19" t="str">
        <f aca="false">IF(OR(I127="",I127&lt;15,O127=""),"",O127+420)</f>
        <v/>
      </c>
      <c r="AF127" s="19" t="str">
        <f aca="false">IF(OR(I127="",I127&lt;16,O127=""),"",O127+450)</f>
        <v/>
      </c>
      <c r="AG127" s="19" t="str">
        <f aca="false">IF(OR(I127="",I127&lt;17,O127=""),"",O127+480)</f>
        <v/>
      </c>
      <c r="AH127" s="19" t="str">
        <f aca="false">IF(OR(I127="",I127&lt;18,O127=""),"",O127+510)</f>
        <v/>
      </c>
      <c r="AI127" s="19" t="str">
        <f aca="false">IF(OR(I127="",I127&lt;19,O127=""),"",O127+540)</f>
        <v/>
      </c>
      <c r="AJ127" s="19" t="str">
        <f aca="false">IF(OR(I127="",I127&lt;20,O127=""),"",O127+570)</f>
        <v/>
      </c>
      <c r="AK127" s="19" t="str">
        <f aca="false">IF(OR(I127="",I127&lt;21,O127=""),"",O127+600)</f>
        <v/>
      </c>
      <c r="AL127" s="19" t="str">
        <f aca="false">IF(OR(I127="",I127&lt;22,O127=""),"",O127+630)</f>
        <v/>
      </c>
      <c r="AM127" s="19" t="str">
        <f aca="false">IF(OR(I127="",I127&lt;23,O127=""),"",O127+660)</f>
        <v/>
      </c>
      <c r="AN127" s="19" t="str">
        <f aca="false">IF(OR(I127="",I127&lt;24,O127=""),"",O127+690)</f>
        <v/>
      </c>
      <c r="AO127" s="15" t="str">
        <f aca="false">IF(J127="","",COUNTIF(Q127:AN127,TRUE())*J127)</f>
        <v/>
      </c>
      <c r="AP127" s="15" t="str">
        <f aca="false">IF(K127="","",K127-AO127)</f>
        <v/>
      </c>
      <c r="AQ127" s="15" t="str">
        <f aca="false">IF(K127="","",K127-F127-IF(N127="",0,N127))</f>
        <v/>
      </c>
    </row>
    <row r="128" customFormat="false" ht="15" hidden="false" customHeight="false" outlineLevel="0" collapsed="false">
      <c r="A128" s="4"/>
      <c r="B128" s="4"/>
      <c r="C128" s="4"/>
      <c r="D128" s="5"/>
      <c r="E128" s="5"/>
      <c r="F128" s="6"/>
      <c r="G128" s="4"/>
      <c r="H128" s="4"/>
      <c r="I128" s="4"/>
      <c r="J128" s="6"/>
      <c r="K128" s="7" t="str">
        <f aca="false">IF(OR(I128="",J128=""),"",I128*J128)</f>
        <v/>
      </c>
      <c r="L128" s="4"/>
      <c r="M128" s="8"/>
      <c r="N128" s="7" t="str">
        <f aca="false">IF(OR(L128="",M128="",K128=""),"",IF(L128="GANANCIA",(K128-F128)*M128,IF(L128="BRUTO",K128*M128,"")))</f>
        <v/>
      </c>
      <c r="O128" s="9" t="str">
        <f aca="false">IF(D128="","",D128)</f>
        <v/>
      </c>
      <c r="P128" s="10" t="str">
        <f aca="false">IF(I128="","",IF(COUNTIF(Q128:AN128,TRUE())&gt;=I128,"PAGADO",IF(COUNTIF(Q128:AN128,TRUE())&gt;0,"PARCIAL","VIGENTE")))</f>
        <v/>
      </c>
      <c r="Q128" s="11" t="str">
        <f aca="false">IF(OR(I128="",I128&lt;1,O128=""),"",O128+0)</f>
        <v/>
      </c>
      <c r="R128" s="11" t="str">
        <f aca="false">IF(OR(I128="",I128&lt;2,O128=""),"",O128+30)</f>
        <v/>
      </c>
      <c r="S128" s="11" t="str">
        <f aca="false">IF(OR(I128="",I128&lt;3,O128=""),"",O128+60)</f>
        <v/>
      </c>
      <c r="T128" s="11" t="str">
        <f aca="false">IF(OR(I128="",I128&lt;4,O128=""),"",O128+90)</f>
        <v/>
      </c>
      <c r="U128" s="11" t="str">
        <f aca="false">IF(OR(I128="",I128&lt;5,O128=""),"",O128+120)</f>
        <v/>
      </c>
      <c r="V128" s="11" t="str">
        <f aca="false">IF(OR(I128="",I128&lt;6,O128=""),"",O128+150)</f>
        <v/>
      </c>
      <c r="W128" s="11" t="str">
        <f aca="false">IF(OR(I128="",I128&lt;7,O128=""),"",O128+180)</f>
        <v/>
      </c>
      <c r="X128" s="11" t="str">
        <f aca="false">IF(OR(I128="",I128&lt;8,O128=""),"",O128+210)</f>
        <v/>
      </c>
      <c r="Y128" s="11" t="str">
        <f aca="false">IF(OR(I128="",I128&lt;9,O128=""),"",O128+240)</f>
        <v/>
      </c>
      <c r="Z128" s="11" t="str">
        <f aca="false">IF(OR(I128="",I128&lt;10,O128=""),"",O128+270)</f>
        <v/>
      </c>
      <c r="AA128" s="11" t="str">
        <f aca="false">IF(OR(I128="",I128&lt;11,O128=""),"",O128+300)</f>
        <v/>
      </c>
      <c r="AB128" s="11" t="str">
        <f aca="false">IF(OR(I128="",I128&lt;12,O128=""),"",O128+330)</f>
        <v/>
      </c>
      <c r="AC128" s="11" t="str">
        <f aca="false">IF(OR(I128="",I128&lt;13,O128=""),"",O128+360)</f>
        <v/>
      </c>
      <c r="AD128" s="11" t="str">
        <f aca="false">IF(OR(I128="",I128&lt;14,O128=""),"",O128+390)</f>
        <v/>
      </c>
      <c r="AE128" s="11" t="str">
        <f aca="false">IF(OR(I128="",I128&lt;15,O128=""),"",O128+420)</f>
        <v/>
      </c>
      <c r="AF128" s="11" t="str">
        <f aca="false">IF(OR(I128="",I128&lt;16,O128=""),"",O128+450)</f>
        <v/>
      </c>
      <c r="AG128" s="11" t="str">
        <f aca="false">IF(OR(I128="",I128&lt;17,O128=""),"",O128+480)</f>
        <v/>
      </c>
      <c r="AH128" s="11" t="str">
        <f aca="false">IF(OR(I128="",I128&lt;18,O128=""),"",O128+510)</f>
        <v/>
      </c>
      <c r="AI128" s="11" t="str">
        <f aca="false">IF(OR(I128="",I128&lt;19,O128=""),"",O128+540)</f>
        <v/>
      </c>
      <c r="AJ128" s="11" t="str">
        <f aca="false">IF(OR(I128="",I128&lt;20,O128=""),"",O128+570)</f>
        <v/>
      </c>
      <c r="AK128" s="11" t="str">
        <f aca="false">IF(OR(I128="",I128&lt;21,O128=""),"",O128+600)</f>
        <v/>
      </c>
      <c r="AL128" s="11" t="str">
        <f aca="false">IF(OR(I128="",I128&lt;22,O128=""),"",O128+630)</f>
        <v/>
      </c>
      <c r="AM128" s="11" t="str">
        <f aca="false">IF(OR(I128="",I128&lt;23,O128=""),"",O128+660)</f>
        <v/>
      </c>
      <c r="AN128" s="11" t="str">
        <f aca="false">IF(OR(I128="",I128&lt;24,O128=""),"",O128+690)</f>
        <v/>
      </c>
      <c r="AO128" s="7" t="str">
        <f aca="false">IF(J128="","",COUNTIF(Q128:AN128,TRUE())*J128)</f>
        <v/>
      </c>
      <c r="AP128" s="7" t="str">
        <f aca="false">IF(K128="","",K128-AO128)</f>
        <v/>
      </c>
      <c r="AQ128" s="7" t="str">
        <f aca="false">IF(K128="","",K128-F128-IF(N128="",0,N128))</f>
        <v/>
      </c>
    </row>
    <row r="129" customFormat="false" ht="15" hidden="false" customHeight="false" outlineLevel="0" collapsed="false">
      <c r="A129" s="12"/>
      <c r="B129" s="12"/>
      <c r="C129" s="12"/>
      <c r="D129" s="13"/>
      <c r="E129" s="13"/>
      <c r="F129" s="14"/>
      <c r="G129" s="12"/>
      <c r="H129" s="12"/>
      <c r="I129" s="12"/>
      <c r="J129" s="14"/>
      <c r="K129" s="15" t="str">
        <f aca="false">IF(OR(I129="",J129=""),"",I129*J129)</f>
        <v/>
      </c>
      <c r="L129" s="12"/>
      <c r="M129" s="16"/>
      <c r="N129" s="15" t="str">
        <f aca="false">IF(OR(L129="",M129="",K129=""),"",IF(L129="GANANCIA",(K129-F129)*M129,IF(L129="BRUTO",K129*M129,"")))</f>
        <v/>
      </c>
      <c r="O129" s="17" t="str">
        <f aca="false">IF(D129="","",D129)</f>
        <v/>
      </c>
      <c r="P129" s="18" t="str">
        <f aca="false">IF(I129="","",IF(COUNTIF(Q129:AN129,TRUE())&gt;=I129,"PAGADO",IF(COUNTIF(Q129:AN129,TRUE())&gt;0,"PARCIAL","VIGENTE")))</f>
        <v/>
      </c>
      <c r="Q129" s="19" t="str">
        <f aca="false">IF(OR(I129="",I129&lt;1,O129=""),"",O129+0)</f>
        <v/>
      </c>
      <c r="R129" s="19" t="str">
        <f aca="false">IF(OR(I129="",I129&lt;2,O129=""),"",O129+30)</f>
        <v/>
      </c>
      <c r="S129" s="19" t="str">
        <f aca="false">IF(OR(I129="",I129&lt;3,O129=""),"",O129+60)</f>
        <v/>
      </c>
      <c r="T129" s="19" t="str">
        <f aca="false">IF(OR(I129="",I129&lt;4,O129=""),"",O129+90)</f>
        <v/>
      </c>
      <c r="U129" s="19" t="str">
        <f aca="false">IF(OR(I129="",I129&lt;5,O129=""),"",O129+120)</f>
        <v/>
      </c>
      <c r="V129" s="19" t="str">
        <f aca="false">IF(OR(I129="",I129&lt;6,O129=""),"",O129+150)</f>
        <v/>
      </c>
      <c r="W129" s="19" t="str">
        <f aca="false">IF(OR(I129="",I129&lt;7,O129=""),"",O129+180)</f>
        <v/>
      </c>
      <c r="X129" s="19" t="str">
        <f aca="false">IF(OR(I129="",I129&lt;8,O129=""),"",O129+210)</f>
        <v/>
      </c>
      <c r="Y129" s="19" t="str">
        <f aca="false">IF(OR(I129="",I129&lt;9,O129=""),"",O129+240)</f>
        <v/>
      </c>
      <c r="Z129" s="19" t="str">
        <f aca="false">IF(OR(I129="",I129&lt;10,O129=""),"",O129+270)</f>
        <v/>
      </c>
      <c r="AA129" s="19" t="str">
        <f aca="false">IF(OR(I129="",I129&lt;11,O129=""),"",O129+300)</f>
        <v/>
      </c>
      <c r="AB129" s="19" t="str">
        <f aca="false">IF(OR(I129="",I129&lt;12,O129=""),"",O129+330)</f>
        <v/>
      </c>
      <c r="AC129" s="19" t="str">
        <f aca="false">IF(OR(I129="",I129&lt;13,O129=""),"",O129+360)</f>
        <v/>
      </c>
      <c r="AD129" s="19" t="str">
        <f aca="false">IF(OR(I129="",I129&lt;14,O129=""),"",O129+390)</f>
        <v/>
      </c>
      <c r="AE129" s="19" t="str">
        <f aca="false">IF(OR(I129="",I129&lt;15,O129=""),"",O129+420)</f>
        <v/>
      </c>
      <c r="AF129" s="19" t="str">
        <f aca="false">IF(OR(I129="",I129&lt;16,O129=""),"",O129+450)</f>
        <v/>
      </c>
      <c r="AG129" s="19" t="str">
        <f aca="false">IF(OR(I129="",I129&lt;17,O129=""),"",O129+480)</f>
        <v/>
      </c>
      <c r="AH129" s="19" t="str">
        <f aca="false">IF(OR(I129="",I129&lt;18,O129=""),"",O129+510)</f>
        <v/>
      </c>
      <c r="AI129" s="19" t="str">
        <f aca="false">IF(OR(I129="",I129&lt;19,O129=""),"",O129+540)</f>
        <v/>
      </c>
      <c r="AJ129" s="19" t="str">
        <f aca="false">IF(OR(I129="",I129&lt;20,O129=""),"",O129+570)</f>
        <v/>
      </c>
      <c r="AK129" s="19" t="str">
        <f aca="false">IF(OR(I129="",I129&lt;21,O129=""),"",O129+600)</f>
        <v/>
      </c>
      <c r="AL129" s="19" t="str">
        <f aca="false">IF(OR(I129="",I129&lt;22,O129=""),"",O129+630)</f>
        <v/>
      </c>
      <c r="AM129" s="19" t="str">
        <f aca="false">IF(OR(I129="",I129&lt;23,O129=""),"",O129+660)</f>
        <v/>
      </c>
      <c r="AN129" s="19" t="str">
        <f aca="false">IF(OR(I129="",I129&lt;24,O129=""),"",O129+690)</f>
        <v/>
      </c>
      <c r="AO129" s="15" t="str">
        <f aca="false">IF(J129="","",COUNTIF(Q129:AN129,TRUE())*J129)</f>
        <v/>
      </c>
      <c r="AP129" s="15" t="str">
        <f aca="false">IF(K129="","",K129-AO129)</f>
        <v/>
      </c>
      <c r="AQ129" s="15" t="str">
        <f aca="false">IF(K129="","",K129-F129-IF(N129="",0,N129))</f>
        <v/>
      </c>
    </row>
    <row r="130" customFormat="false" ht="15" hidden="false" customHeight="false" outlineLevel="0" collapsed="false">
      <c r="A130" s="4"/>
      <c r="B130" s="4"/>
      <c r="C130" s="4"/>
      <c r="D130" s="5"/>
      <c r="E130" s="5"/>
      <c r="F130" s="6"/>
      <c r="G130" s="4"/>
      <c r="H130" s="4"/>
      <c r="I130" s="4"/>
      <c r="J130" s="6"/>
      <c r="K130" s="7" t="str">
        <f aca="false">IF(OR(I130="",J130=""),"",I130*J130)</f>
        <v/>
      </c>
      <c r="L130" s="4"/>
      <c r="M130" s="8"/>
      <c r="N130" s="7" t="str">
        <f aca="false">IF(OR(L130="",M130="",K130=""),"",IF(L130="GANANCIA",(K130-F130)*M130,IF(L130="BRUTO",K130*M130,"")))</f>
        <v/>
      </c>
      <c r="O130" s="9" t="str">
        <f aca="false">IF(D130="","",D130)</f>
        <v/>
      </c>
      <c r="P130" s="10" t="str">
        <f aca="false">IF(I130="","",IF(COUNTIF(Q130:AN130,TRUE())&gt;=I130,"PAGADO",IF(COUNTIF(Q130:AN130,TRUE())&gt;0,"PARCIAL","VIGENTE")))</f>
        <v/>
      </c>
      <c r="Q130" s="11" t="str">
        <f aca="false">IF(OR(I130="",I130&lt;1,O130=""),"",O130+0)</f>
        <v/>
      </c>
      <c r="R130" s="11" t="str">
        <f aca="false">IF(OR(I130="",I130&lt;2,O130=""),"",O130+30)</f>
        <v/>
      </c>
      <c r="S130" s="11" t="str">
        <f aca="false">IF(OR(I130="",I130&lt;3,O130=""),"",O130+60)</f>
        <v/>
      </c>
      <c r="T130" s="11" t="str">
        <f aca="false">IF(OR(I130="",I130&lt;4,O130=""),"",O130+90)</f>
        <v/>
      </c>
      <c r="U130" s="11" t="str">
        <f aca="false">IF(OR(I130="",I130&lt;5,O130=""),"",O130+120)</f>
        <v/>
      </c>
      <c r="V130" s="11" t="str">
        <f aca="false">IF(OR(I130="",I130&lt;6,O130=""),"",O130+150)</f>
        <v/>
      </c>
      <c r="W130" s="11" t="str">
        <f aca="false">IF(OR(I130="",I130&lt;7,O130=""),"",O130+180)</f>
        <v/>
      </c>
      <c r="X130" s="11" t="str">
        <f aca="false">IF(OR(I130="",I130&lt;8,O130=""),"",O130+210)</f>
        <v/>
      </c>
      <c r="Y130" s="11" t="str">
        <f aca="false">IF(OR(I130="",I130&lt;9,O130=""),"",O130+240)</f>
        <v/>
      </c>
      <c r="Z130" s="11" t="str">
        <f aca="false">IF(OR(I130="",I130&lt;10,O130=""),"",O130+270)</f>
        <v/>
      </c>
      <c r="AA130" s="11" t="str">
        <f aca="false">IF(OR(I130="",I130&lt;11,O130=""),"",O130+300)</f>
        <v/>
      </c>
      <c r="AB130" s="11" t="str">
        <f aca="false">IF(OR(I130="",I130&lt;12,O130=""),"",O130+330)</f>
        <v/>
      </c>
      <c r="AC130" s="11" t="str">
        <f aca="false">IF(OR(I130="",I130&lt;13,O130=""),"",O130+360)</f>
        <v/>
      </c>
      <c r="AD130" s="11" t="str">
        <f aca="false">IF(OR(I130="",I130&lt;14,O130=""),"",O130+390)</f>
        <v/>
      </c>
      <c r="AE130" s="11" t="str">
        <f aca="false">IF(OR(I130="",I130&lt;15,O130=""),"",O130+420)</f>
        <v/>
      </c>
      <c r="AF130" s="11" t="str">
        <f aca="false">IF(OR(I130="",I130&lt;16,O130=""),"",O130+450)</f>
        <v/>
      </c>
      <c r="AG130" s="11" t="str">
        <f aca="false">IF(OR(I130="",I130&lt;17,O130=""),"",O130+480)</f>
        <v/>
      </c>
      <c r="AH130" s="11" t="str">
        <f aca="false">IF(OR(I130="",I130&lt;18,O130=""),"",O130+510)</f>
        <v/>
      </c>
      <c r="AI130" s="11" t="str">
        <f aca="false">IF(OR(I130="",I130&lt;19,O130=""),"",O130+540)</f>
        <v/>
      </c>
      <c r="AJ130" s="11" t="str">
        <f aca="false">IF(OR(I130="",I130&lt;20,O130=""),"",O130+570)</f>
        <v/>
      </c>
      <c r="AK130" s="11" t="str">
        <f aca="false">IF(OR(I130="",I130&lt;21,O130=""),"",O130+600)</f>
        <v/>
      </c>
      <c r="AL130" s="11" t="str">
        <f aca="false">IF(OR(I130="",I130&lt;22,O130=""),"",O130+630)</f>
        <v/>
      </c>
      <c r="AM130" s="11" t="str">
        <f aca="false">IF(OR(I130="",I130&lt;23,O130=""),"",O130+660)</f>
        <v/>
      </c>
      <c r="AN130" s="11" t="str">
        <f aca="false">IF(OR(I130="",I130&lt;24,O130=""),"",O130+690)</f>
        <v/>
      </c>
      <c r="AO130" s="7" t="str">
        <f aca="false">IF(J130="","",COUNTIF(Q130:AN130,TRUE())*J130)</f>
        <v/>
      </c>
      <c r="AP130" s="7" t="str">
        <f aca="false">IF(K130="","",K130-AO130)</f>
        <v/>
      </c>
      <c r="AQ130" s="7" t="str">
        <f aca="false">IF(K130="","",K130-F130-IF(N130="",0,N130))</f>
        <v/>
      </c>
    </row>
    <row r="131" customFormat="false" ht="15" hidden="false" customHeight="false" outlineLevel="0" collapsed="false">
      <c r="A131" s="12"/>
      <c r="B131" s="12"/>
      <c r="C131" s="12"/>
      <c r="D131" s="13"/>
      <c r="E131" s="13"/>
      <c r="F131" s="14"/>
      <c r="G131" s="12"/>
      <c r="H131" s="12"/>
      <c r="I131" s="12"/>
      <c r="J131" s="14"/>
      <c r="K131" s="15" t="str">
        <f aca="false">IF(OR(I131="",J131=""),"",I131*J131)</f>
        <v/>
      </c>
      <c r="L131" s="12"/>
      <c r="M131" s="16"/>
      <c r="N131" s="15" t="str">
        <f aca="false">IF(OR(L131="",M131="",K131=""),"",IF(L131="GANANCIA",(K131-F131)*M131,IF(L131="BRUTO",K131*M131,"")))</f>
        <v/>
      </c>
      <c r="O131" s="17" t="str">
        <f aca="false">IF(D131="","",D131)</f>
        <v/>
      </c>
      <c r="P131" s="18" t="str">
        <f aca="false">IF(I131="","",IF(COUNTIF(Q131:AN131,TRUE())&gt;=I131,"PAGADO",IF(COUNTIF(Q131:AN131,TRUE())&gt;0,"PARCIAL","VIGENTE")))</f>
        <v/>
      </c>
      <c r="Q131" s="19" t="str">
        <f aca="false">IF(OR(I131="",I131&lt;1,O131=""),"",O131+0)</f>
        <v/>
      </c>
      <c r="R131" s="19" t="str">
        <f aca="false">IF(OR(I131="",I131&lt;2,O131=""),"",O131+30)</f>
        <v/>
      </c>
      <c r="S131" s="19" t="str">
        <f aca="false">IF(OR(I131="",I131&lt;3,O131=""),"",O131+60)</f>
        <v/>
      </c>
      <c r="T131" s="19" t="str">
        <f aca="false">IF(OR(I131="",I131&lt;4,O131=""),"",O131+90)</f>
        <v/>
      </c>
      <c r="U131" s="19" t="str">
        <f aca="false">IF(OR(I131="",I131&lt;5,O131=""),"",O131+120)</f>
        <v/>
      </c>
      <c r="V131" s="19" t="str">
        <f aca="false">IF(OR(I131="",I131&lt;6,O131=""),"",O131+150)</f>
        <v/>
      </c>
      <c r="W131" s="19" t="str">
        <f aca="false">IF(OR(I131="",I131&lt;7,O131=""),"",O131+180)</f>
        <v/>
      </c>
      <c r="X131" s="19" t="str">
        <f aca="false">IF(OR(I131="",I131&lt;8,O131=""),"",O131+210)</f>
        <v/>
      </c>
      <c r="Y131" s="19" t="str">
        <f aca="false">IF(OR(I131="",I131&lt;9,O131=""),"",O131+240)</f>
        <v/>
      </c>
      <c r="Z131" s="19" t="str">
        <f aca="false">IF(OR(I131="",I131&lt;10,O131=""),"",O131+270)</f>
        <v/>
      </c>
      <c r="AA131" s="19" t="str">
        <f aca="false">IF(OR(I131="",I131&lt;11,O131=""),"",O131+300)</f>
        <v/>
      </c>
      <c r="AB131" s="19" t="str">
        <f aca="false">IF(OR(I131="",I131&lt;12,O131=""),"",O131+330)</f>
        <v/>
      </c>
      <c r="AC131" s="19" t="str">
        <f aca="false">IF(OR(I131="",I131&lt;13,O131=""),"",O131+360)</f>
        <v/>
      </c>
      <c r="AD131" s="19" t="str">
        <f aca="false">IF(OR(I131="",I131&lt;14,O131=""),"",O131+390)</f>
        <v/>
      </c>
      <c r="AE131" s="19" t="str">
        <f aca="false">IF(OR(I131="",I131&lt;15,O131=""),"",O131+420)</f>
        <v/>
      </c>
      <c r="AF131" s="19" t="str">
        <f aca="false">IF(OR(I131="",I131&lt;16,O131=""),"",O131+450)</f>
        <v/>
      </c>
      <c r="AG131" s="19" t="str">
        <f aca="false">IF(OR(I131="",I131&lt;17,O131=""),"",O131+480)</f>
        <v/>
      </c>
      <c r="AH131" s="19" t="str">
        <f aca="false">IF(OR(I131="",I131&lt;18,O131=""),"",O131+510)</f>
        <v/>
      </c>
      <c r="AI131" s="19" t="str">
        <f aca="false">IF(OR(I131="",I131&lt;19,O131=""),"",O131+540)</f>
        <v/>
      </c>
      <c r="AJ131" s="19" t="str">
        <f aca="false">IF(OR(I131="",I131&lt;20,O131=""),"",O131+570)</f>
        <v/>
      </c>
      <c r="AK131" s="19" t="str">
        <f aca="false">IF(OR(I131="",I131&lt;21,O131=""),"",O131+600)</f>
        <v/>
      </c>
      <c r="AL131" s="19" t="str">
        <f aca="false">IF(OR(I131="",I131&lt;22,O131=""),"",O131+630)</f>
        <v/>
      </c>
      <c r="AM131" s="19" t="str">
        <f aca="false">IF(OR(I131="",I131&lt;23,O131=""),"",O131+660)</f>
        <v/>
      </c>
      <c r="AN131" s="19" t="str">
        <f aca="false">IF(OR(I131="",I131&lt;24,O131=""),"",O131+690)</f>
        <v/>
      </c>
      <c r="AO131" s="15" t="str">
        <f aca="false">IF(J131="","",COUNTIF(Q131:AN131,TRUE())*J131)</f>
        <v/>
      </c>
      <c r="AP131" s="15" t="str">
        <f aca="false">IF(K131="","",K131-AO131)</f>
        <v/>
      </c>
      <c r="AQ131" s="15" t="str">
        <f aca="false">IF(K131="","",K131-F131-IF(N131="",0,N131))</f>
        <v/>
      </c>
    </row>
    <row r="132" customFormat="false" ht="15" hidden="false" customHeight="false" outlineLevel="0" collapsed="false">
      <c r="A132" s="4"/>
      <c r="B132" s="4"/>
      <c r="C132" s="4"/>
      <c r="D132" s="5"/>
      <c r="E132" s="5"/>
      <c r="F132" s="6"/>
      <c r="G132" s="4"/>
      <c r="H132" s="4"/>
      <c r="I132" s="4"/>
      <c r="J132" s="6"/>
      <c r="K132" s="7" t="str">
        <f aca="false">IF(OR(I132="",J132=""),"",I132*J132)</f>
        <v/>
      </c>
      <c r="L132" s="4"/>
      <c r="M132" s="8"/>
      <c r="N132" s="7" t="str">
        <f aca="false">IF(OR(L132="",M132="",K132=""),"",IF(L132="GANANCIA",(K132-F132)*M132,IF(L132="BRUTO",K132*M132,"")))</f>
        <v/>
      </c>
      <c r="O132" s="9" t="str">
        <f aca="false">IF(D132="","",D132)</f>
        <v/>
      </c>
      <c r="P132" s="10" t="str">
        <f aca="false">IF(I132="","",IF(COUNTIF(Q132:AN132,TRUE())&gt;=I132,"PAGADO",IF(COUNTIF(Q132:AN132,TRUE())&gt;0,"PARCIAL","VIGENTE")))</f>
        <v/>
      </c>
      <c r="Q132" s="11" t="str">
        <f aca="false">IF(OR(I132="",I132&lt;1,O132=""),"",O132+0)</f>
        <v/>
      </c>
      <c r="R132" s="11" t="str">
        <f aca="false">IF(OR(I132="",I132&lt;2,O132=""),"",O132+30)</f>
        <v/>
      </c>
      <c r="S132" s="11" t="str">
        <f aca="false">IF(OR(I132="",I132&lt;3,O132=""),"",O132+60)</f>
        <v/>
      </c>
      <c r="T132" s="11" t="str">
        <f aca="false">IF(OR(I132="",I132&lt;4,O132=""),"",O132+90)</f>
        <v/>
      </c>
      <c r="U132" s="11" t="str">
        <f aca="false">IF(OR(I132="",I132&lt;5,O132=""),"",O132+120)</f>
        <v/>
      </c>
      <c r="V132" s="11" t="str">
        <f aca="false">IF(OR(I132="",I132&lt;6,O132=""),"",O132+150)</f>
        <v/>
      </c>
      <c r="W132" s="11" t="str">
        <f aca="false">IF(OR(I132="",I132&lt;7,O132=""),"",O132+180)</f>
        <v/>
      </c>
      <c r="X132" s="11" t="str">
        <f aca="false">IF(OR(I132="",I132&lt;8,O132=""),"",O132+210)</f>
        <v/>
      </c>
      <c r="Y132" s="11" t="str">
        <f aca="false">IF(OR(I132="",I132&lt;9,O132=""),"",O132+240)</f>
        <v/>
      </c>
      <c r="Z132" s="11" t="str">
        <f aca="false">IF(OR(I132="",I132&lt;10,O132=""),"",O132+270)</f>
        <v/>
      </c>
      <c r="AA132" s="11" t="str">
        <f aca="false">IF(OR(I132="",I132&lt;11,O132=""),"",O132+300)</f>
        <v/>
      </c>
      <c r="AB132" s="11" t="str">
        <f aca="false">IF(OR(I132="",I132&lt;12,O132=""),"",O132+330)</f>
        <v/>
      </c>
      <c r="AC132" s="11" t="str">
        <f aca="false">IF(OR(I132="",I132&lt;13,O132=""),"",O132+360)</f>
        <v/>
      </c>
      <c r="AD132" s="11" t="str">
        <f aca="false">IF(OR(I132="",I132&lt;14,O132=""),"",O132+390)</f>
        <v/>
      </c>
      <c r="AE132" s="11" t="str">
        <f aca="false">IF(OR(I132="",I132&lt;15,O132=""),"",O132+420)</f>
        <v/>
      </c>
      <c r="AF132" s="11" t="str">
        <f aca="false">IF(OR(I132="",I132&lt;16,O132=""),"",O132+450)</f>
        <v/>
      </c>
      <c r="AG132" s="11" t="str">
        <f aca="false">IF(OR(I132="",I132&lt;17,O132=""),"",O132+480)</f>
        <v/>
      </c>
      <c r="AH132" s="11" t="str">
        <f aca="false">IF(OR(I132="",I132&lt;18,O132=""),"",O132+510)</f>
        <v/>
      </c>
      <c r="AI132" s="11" t="str">
        <f aca="false">IF(OR(I132="",I132&lt;19,O132=""),"",O132+540)</f>
        <v/>
      </c>
      <c r="AJ132" s="11" t="str">
        <f aca="false">IF(OR(I132="",I132&lt;20,O132=""),"",O132+570)</f>
        <v/>
      </c>
      <c r="AK132" s="11" t="str">
        <f aca="false">IF(OR(I132="",I132&lt;21,O132=""),"",O132+600)</f>
        <v/>
      </c>
      <c r="AL132" s="11" t="str">
        <f aca="false">IF(OR(I132="",I132&lt;22,O132=""),"",O132+630)</f>
        <v/>
      </c>
      <c r="AM132" s="11" t="str">
        <f aca="false">IF(OR(I132="",I132&lt;23,O132=""),"",O132+660)</f>
        <v/>
      </c>
      <c r="AN132" s="11" t="str">
        <f aca="false">IF(OR(I132="",I132&lt;24,O132=""),"",O132+690)</f>
        <v/>
      </c>
      <c r="AO132" s="7" t="str">
        <f aca="false">IF(J132="","",COUNTIF(Q132:AN132,TRUE())*J132)</f>
        <v/>
      </c>
      <c r="AP132" s="7" t="str">
        <f aca="false">IF(K132="","",K132-AO132)</f>
        <v/>
      </c>
      <c r="AQ132" s="7" t="str">
        <f aca="false">IF(K132="","",K132-F132-IF(N132="",0,N132))</f>
        <v/>
      </c>
    </row>
    <row r="133" customFormat="false" ht="15" hidden="false" customHeight="false" outlineLevel="0" collapsed="false">
      <c r="A133" s="12"/>
      <c r="B133" s="12"/>
      <c r="C133" s="12"/>
      <c r="D133" s="13"/>
      <c r="E133" s="13"/>
      <c r="F133" s="14"/>
      <c r="G133" s="12"/>
      <c r="H133" s="12"/>
      <c r="I133" s="12"/>
      <c r="J133" s="14"/>
      <c r="K133" s="15" t="str">
        <f aca="false">IF(OR(I133="",J133=""),"",I133*J133)</f>
        <v/>
      </c>
      <c r="L133" s="12"/>
      <c r="M133" s="16"/>
      <c r="N133" s="15" t="str">
        <f aca="false">IF(OR(L133="",M133="",K133=""),"",IF(L133="GANANCIA",(K133-F133)*M133,IF(L133="BRUTO",K133*M133,"")))</f>
        <v/>
      </c>
      <c r="O133" s="17" t="str">
        <f aca="false">IF(D133="","",D133)</f>
        <v/>
      </c>
      <c r="P133" s="18" t="str">
        <f aca="false">IF(I133="","",IF(COUNTIF(Q133:AN133,TRUE())&gt;=I133,"PAGADO",IF(COUNTIF(Q133:AN133,TRUE())&gt;0,"PARCIAL","VIGENTE")))</f>
        <v/>
      </c>
      <c r="Q133" s="19" t="str">
        <f aca="false">IF(OR(I133="",I133&lt;1,O133=""),"",O133+0)</f>
        <v/>
      </c>
      <c r="R133" s="19" t="str">
        <f aca="false">IF(OR(I133="",I133&lt;2,O133=""),"",O133+30)</f>
        <v/>
      </c>
      <c r="S133" s="19" t="str">
        <f aca="false">IF(OR(I133="",I133&lt;3,O133=""),"",O133+60)</f>
        <v/>
      </c>
      <c r="T133" s="19" t="str">
        <f aca="false">IF(OR(I133="",I133&lt;4,O133=""),"",O133+90)</f>
        <v/>
      </c>
      <c r="U133" s="19" t="str">
        <f aca="false">IF(OR(I133="",I133&lt;5,O133=""),"",O133+120)</f>
        <v/>
      </c>
      <c r="V133" s="19" t="str">
        <f aca="false">IF(OR(I133="",I133&lt;6,O133=""),"",O133+150)</f>
        <v/>
      </c>
      <c r="W133" s="19" t="str">
        <f aca="false">IF(OR(I133="",I133&lt;7,O133=""),"",O133+180)</f>
        <v/>
      </c>
      <c r="X133" s="19" t="str">
        <f aca="false">IF(OR(I133="",I133&lt;8,O133=""),"",O133+210)</f>
        <v/>
      </c>
      <c r="Y133" s="19" t="str">
        <f aca="false">IF(OR(I133="",I133&lt;9,O133=""),"",O133+240)</f>
        <v/>
      </c>
      <c r="Z133" s="19" t="str">
        <f aca="false">IF(OR(I133="",I133&lt;10,O133=""),"",O133+270)</f>
        <v/>
      </c>
      <c r="AA133" s="19" t="str">
        <f aca="false">IF(OR(I133="",I133&lt;11,O133=""),"",O133+300)</f>
        <v/>
      </c>
      <c r="AB133" s="19" t="str">
        <f aca="false">IF(OR(I133="",I133&lt;12,O133=""),"",O133+330)</f>
        <v/>
      </c>
      <c r="AC133" s="19" t="str">
        <f aca="false">IF(OR(I133="",I133&lt;13,O133=""),"",O133+360)</f>
        <v/>
      </c>
      <c r="AD133" s="19" t="str">
        <f aca="false">IF(OR(I133="",I133&lt;14,O133=""),"",O133+390)</f>
        <v/>
      </c>
      <c r="AE133" s="19" t="str">
        <f aca="false">IF(OR(I133="",I133&lt;15,O133=""),"",O133+420)</f>
        <v/>
      </c>
      <c r="AF133" s="19" t="str">
        <f aca="false">IF(OR(I133="",I133&lt;16,O133=""),"",O133+450)</f>
        <v/>
      </c>
      <c r="AG133" s="19" t="str">
        <f aca="false">IF(OR(I133="",I133&lt;17,O133=""),"",O133+480)</f>
        <v/>
      </c>
      <c r="AH133" s="19" t="str">
        <f aca="false">IF(OR(I133="",I133&lt;18,O133=""),"",O133+510)</f>
        <v/>
      </c>
      <c r="AI133" s="19" t="str">
        <f aca="false">IF(OR(I133="",I133&lt;19,O133=""),"",O133+540)</f>
        <v/>
      </c>
      <c r="AJ133" s="19" t="str">
        <f aca="false">IF(OR(I133="",I133&lt;20,O133=""),"",O133+570)</f>
        <v/>
      </c>
      <c r="AK133" s="19" t="str">
        <f aca="false">IF(OR(I133="",I133&lt;21,O133=""),"",O133+600)</f>
        <v/>
      </c>
      <c r="AL133" s="19" t="str">
        <f aca="false">IF(OR(I133="",I133&lt;22,O133=""),"",O133+630)</f>
        <v/>
      </c>
      <c r="AM133" s="19" t="str">
        <f aca="false">IF(OR(I133="",I133&lt;23,O133=""),"",O133+660)</f>
        <v/>
      </c>
      <c r="AN133" s="19" t="str">
        <f aca="false">IF(OR(I133="",I133&lt;24,O133=""),"",O133+690)</f>
        <v/>
      </c>
      <c r="AO133" s="15" t="str">
        <f aca="false">IF(J133="","",COUNTIF(Q133:AN133,TRUE())*J133)</f>
        <v/>
      </c>
      <c r="AP133" s="15" t="str">
        <f aca="false">IF(K133="","",K133-AO133)</f>
        <v/>
      </c>
      <c r="AQ133" s="15" t="str">
        <f aca="false">IF(K133="","",K133-F133-IF(N133="",0,N133))</f>
        <v/>
      </c>
    </row>
    <row r="134" customFormat="false" ht="15" hidden="false" customHeight="false" outlineLevel="0" collapsed="false">
      <c r="A134" s="4"/>
      <c r="B134" s="4"/>
      <c r="C134" s="4"/>
      <c r="D134" s="5"/>
      <c r="E134" s="5"/>
      <c r="F134" s="6"/>
      <c r="G134" s="4"/>
      <c r="H134" s="4"/>
      <c r="I134" s="4"/>
      <c r="J134" s="6"/>
      <c r="K134" s="7" t="str">
        <f aca="false">IF(OR(I134="",J134=""),"",I134*J134)</f>
        <v/>
      </c>
      <c r="L134" s="4"/>
      <c r="M134" s="8"/>
      <c r="N134" s="7" t="str">
        <f aca="false">IF(OR(L134="",M134="",K134=""),"",IF(L134="GANANCIA",(K134-F134)*M134,IF(L134="BRUTO",K134*M134,"")))</f>
        <v/>
      </c>
      <c r="O134" s="9" t="str">
        <f aca="false">IF(D134="","",D134)</f>
        <v/>
      </c>
      <c r="P134" s="10" t="str">
        <f aca="false">IF(I134="","",IF(COUNTIF(Q134:AN134,TRUE())&gt;=I134,"PAGADO",IF(COUNTIF(Q134:AN134,TRUE())&gt;0,"PARCIAL","VIGENTE")))</f>
        <v/>
      </c>
      <c r="Q134" s="11" t="str">
        <f aca="false">IF(OR(I134="",I134&lt;1,O134=""),"",O134+0)</f>
        <v/>
      </c>
      <c r="R134" s="11" t="str">
        <f aca="false">IF(OR(I134="",I134&lt;2,O134=""),"",O134+30)</f>
        <v/>
      </c>
      <c r="S134" s="11" t="str">
        <f aca="false">IF(OR(I134="",I134&lt;3,O134=""),"",O134+60)</f>
        <v/>
      </c>
      <c r="T134" s="11" t="str">
        <f aca="false">IF(OR(I134="",I134&lt;4,O134=""),"",O134+90)</f>
        <v/>
      </c>
      <c r="U134" s="11" t="str">
        <f aca="false">IF(OR(I134="",I134&lt;5,O134=""),"",O134+120)</f>
        <v/>
      </c>
      <c r="V134" s="11" t="str">
        <f aca="false">IF(OR(I134="",I134&lt;6,O134=""),"",O134+150)</f>
        <v/>
      </c>
      <c r="W134" s="11" t="str">
        <f aca="false">IF(OR(I134="",I134&lt;7,O134=""),"",O134+180)</f>
        <v/>
      </c>
      <c r="X134" s="11" t="str">
        <f aca="false">IF(OR(I134="",I134&lt;8,O134=""),"",O134+210)</f>
        <v/>
      </c>
      <c r="Y134" s="11" t="str">
        <f aca="false">IF(OR(I134="",I134&lt;9,O134=""),"",O134+240)</f>
        <v/>
      </c>
      <c r="Z134" s="11" t="str">
        <f aca="false">IF(OR(I134="",I134&lt;10,O134=""),"",O134+270)</f>
        <v/>
      </c>
      <c r="AA134" s="11" t="str">
        <f aca="false">IF(OR(I134="",I134&lt;11,O134=""),"",O134+300)</f>
        <v/>
      </c>
      <c r="AB134" s="11" t="str">
        <f aca="false">IF(OR(I134="",I134&lt;12,O134=""),"",O134+330)</f>
        <v/>
      </c>
      <c r="AC134" s="11" t="str">
        <f aca="false">IF(OR(I134="",I134&lt;13,O134=""),"",O134+360)</f>
        <v/>
      </c>
      <c r="AD134" s="11" t="str">
        <f aca="false">IF(OR(I134="",I134&lt;14,O134=""),"",O134+390)</f>
        <v/>
      </c>
      <c r="AE134" s="11" t="str">
        <f aca="false">IF(OR(I134="",I134&lt;15,O134=""),"",O134+420)</f>
        <v/>
      </c>
      <c r="AF134" s="11" t="str">
        <f aca="false">IF(OR(I134="",I134&lt;16,O134=""),"",O134+450)</f>
        <v/>
      </c>
      <c r="AG134" s="11" t="str">
        <f aca="false">IF(OR(I134="",I134&lt;17,O134=""),"",O134+480)</f>
        <v/>
      </c>
      <c r="AH134" s="11" t="str">
        <f aca="false">IF(OR(I134="",I134&lt;18,O134=""),"",O134+510)</f>
        <v/>
      </c>
      <c r="AI134" s="11" t="str">
        <f aca="false">IF(OR(I134="",I134&lt;19,O134=""),"",O134+540)</f>
        <v/>
      </c>
      <c r="AJ134" s="11" t="str">
        <f aca="false">IF(OR(I134="",I134&lt;20,O134=""),"",O134+570)</f>
        <v/>
      </c>
      <c r="AK134" s="11" t="str">
        <f aca="false">IF(OR(I134="",I134&lt;21,O134=""),"",O134+600)</f>
        <v/>
      </c>
      <c r="AL134" s="11" t="str">
        <f aca="false">IF(OR(I134="",I134&lt;22,O134=""),"",O134+630)</f>
        <v/>
      </c>
      <c r="AM134" s="11" t="str">
        <f aca="false">IF(OR(I134="",I134&lt;23,O134=""),"",O134+660)</f>
        <v/>
      </c>
      <c r="AN134" s="11" t="str">
        <f aca="false">IF(OR(I134="",I134&lt;24,O134=""),"",O134+690)</f>
        <v/>
      </c>
      <c r="AO134" s="7" t="str">
        <f aca="false">IF(J134="","",COUNTIF(Q134:AN134,TRUE())*J134)</f>
        <v/>
      </c>
      <c r="AP134" s="7" t="str">
        <f aca="false">IF(K134="","",K134-AO134)</f>
        <v/>
      </c>
      <c r="AQ134" s="7" t="str">
        <f aca="false">IF(K134="","",K134-F134-IF(N134="",0,N134))</f>
        <v/>
      </c>
    </row>
    <row r="135" customFormat="false" ht="15" hidden="false" customHeight="false" outlineLevel="0" collapsed="false">
      <c r="A135" s="12"/>
      <c r="B135" s="12"/>
      <c r="C135" s="12"/>
      <c r="D135" s="13"/>
      <c r="E135" s="13"/>
      <c r="F135" s="14"/>
      <c r="G135" s="12"/>
      <c r="H135" s="12"/>
      <c r="I135" s="12"/>
      <c r="J135" s="14"/>
      <c r="K135" s="15" t="str">
        <f aca="false">IF(OR(I135="",J135=""),"",I135*J135)</f>
        <v/>
      </c>
      <c r="L135" s="12"/>
      <c r="M135" s="16"/>
      <c r="N135" s="15" t="str">
        <f aca="false">IF(OR(L135="",M135="",K135=""),"",IF(L135="GANANCIA",(K135-F135)*M135,IF(L135="BRUTO",K135*M135,"")))</f>
        <v/>
      </c>
      <c r="O135" s="17" t="str">
        <f aca="false">IF(D135="","",D135)</f>
        <v/>
      </c>
      <c r="P135" s="18" t="str">
        <f aca="false">IF(I135="","",IF(COUNTIF(Q135:AN135,TRUE())&gt;=I135,"PAGADO",IF(COUNTIF(Q135:AN135,TRUE())&gt;0,"PARCIAL","VIGENTE")))</f>
        <v/>
      </c>
      <c r="Q135" s="19" t="str">
        <f aca="false">IF(OR(I135="",I135&lt;1,O135=""),"",O135+0)</f>
        <v/>
      </c>
      <c r="R135" s="19" t="str">
        <f aca="false">IF(OR(I135="",I135&lt;2,O135=""),"",O135+30)</f>
        <v/>
      </c>
      <c r="S135" s="19" t="str">
        <f aca="false">IF(OR(I135="",I135&lt;3,O135=""),"",O135+60)</f>
        <v/>
      </c>
      <c r="T135" s="19" t="str">
        <f aca="false">IF(OR(I135="",I135&lt;4,O135=""),"",O135+90)</f>
        <v/>
      </c>
      <c r="U135" s="19" t="str">
        <f aca="false">IF(OR(I135="",I135&lt;5,O135=""),"",O135+120)</f>
        <v/>
      </c>
      <c r="V135" s="19" t="str">
        <f aca="false">IF(OR(I135="",I135&lt;6,O135=""),"",O135+150)</f>
        <v/>
      </c>
      <c r="W135" s="19" t="str">
        <f aca="false">IF(OR(I135="",I135&lt;7,O135=""),"",O135+180)</f>
        <v/>
      </c>
      <c r="X135" s="19" t="str">
        <f aca="false">IF(OR(I135="",I135&lt;8,O135=""),"",O135+210)</f>
        <v/>
      </c>
      <c r="Y135" s="19" t="str">
        <f aca="false">IF(OR(I135="",I135&lt;9,O135=""),"",O135+240)</f>
        <v/>
      </c>
      <c r="Z135" s="19" t="str">
        <f aca="false">IF(OR(I135="",I135&lt;10,O135=""),"",O135+270)</f>
        <v/>
      </c>
      <c r="AA135" s="19" t="str">
        <f aca="false">IF(OR(I135="",I135&lt;11,O135=""),"",O135+300)</f>
        <v/>
      </c>
      <c r="AB135" s="19" t="str">
        <f aca="false">IF(OR(I135="",I135&lt;12,O135=""),"",O135+330)</f>
        <v/>
      </c>
      <c r="AC135" s="19" t="str">
        <f aca="false">IF(OR(I135="",I135&lt;13,O135=""),"",O135+360)</f>
        <v/>
      </c>
      <c r="AD135" s="19" t="str">
        <f aca="false">IF(OR(I135="",I135&lt;14,O135=""),"",O135+390)</f>
        <v/>
      </c>
      <c r="AE135" s="19" t="str">
        <f aca="false">IF(OR(I135="",I135&lt;15,O135=""),"",O135+420)</f>
        <v/>
      </c>
      <c r="AF135" s="19" t="str">
        <f aca="false">IF(OR(I135="",I135&lt;16,O135=""),"",O135+450)</f>
        <v/>
      </c>
      <c r="AG135" s="19" t="str">
        <f aca="false">IF(OR(I135="",I135&lt;17,O135=""),"",O135+480)</f>
        <v/>
      </c>
      <c r="AH135" s="19" t="str">
        <f aca="false">IF(OR(I135="",I135&lt;18,O135=""),"",O135+510)</f>
        <v/>
      </c>
      <c r="AI135" s="19" t="str">
        <f aca="false">IF(OR(I135="",I135&lt;19,O135=""),"",O135+540)</f>
        <v/>
      </c>
      <c r="AJ135" s="19" t="str">
        <f aca="false">IF(OR(I135="",I135&lt;20,O135=""),"",O135+570)</f>
        <v/>
      </c>
      <c r="AK135" s="19" t="str">
        <f aca="false">IF(OR(I135="",I135&lt;21,O135=""),"",O135+600)</f>
        <v/>
      </c>
      <c r="AL135" s="19" t="str">
        <f aca="false">IF(OR(I135="",I135&lt;22,O135=""),"",O135+630)</f>
        <v/>
      </c>
      <c r="AM135" s="19" t="str">
        <f aca="false">IF(OR(I135="",I135&lt;23,O135=""),"",O135+660)</f>
        <v/>
      </c>
      <c r="AN135" s="19" t="str">
        <f aca="false">IF(OR(I135="",I135&lt;24,O135=""),"",O135+690)</f>
        <v/>
      </c>
      <c r="AO135" s="15" t="str">
        <f aca="false">IF(J135="","",COUNTIF(Q135:AN135,TRUE())*J135)</f>
        <v/>
      </c>
      <c r="AP135" s="15" t="str">
        <f aca="false">IF(K135="","",K135-AO135)</f>
        <v/>
      </c>
      <c r="AQ135" s="15" t="str">
        <f aca="false">IF(K135="","",K135-F135-IF(N135="",0,N135))</f>
        <v/>
      </c>
    </row>
    <row r="136" customFormat="false" ht="15" hidden="false" customHeight="false" outlineLevel="0" collapsed="false">
      <c r="A136" s="4"/>
      <c r="B136" s="4"/>
      <c r="C136" s="4"/>
      <c r="D136" s="5"/>
      <c r="E136" s="5"/>
      <c r="F136" s="6"/>
      <c r="G136" s="4"/>
      <c r="H136" s="4"/>
      <c r="I136" s="4"/>
      <c r="J136" s="6"/>
      <c r="K136" s="7" t="str">
        <f aca="false">IF(OR(I136="",J136=""),"",I136*J136)</f>
        <v/>
      </c>
      <c r="L136" s="4"/>
      <c r="M136" s="8"/>
      <c r="N136" s="7" t="str">
        <f aca="false">IF(OR(L136="",M136="",K136=""),"",IF(L136="GANANCIA",(K136-F136)*M136,IF(L136="BRUTO",K136*M136,"")))</f>
        <v/>
      </c>
      <c r="O136" s="9" t="str">
        <f aca="false">IF(D136="","",D136)</f>
        <v/>
      </c>
      <c r="P136" s="10" t="str">
        <f aca="false">IF(I136="","",IF(COUNTIF(Q136:AN136,TRUE())&gt;=I136,"PAGADO",IF(COUNTIF(Q136:AN136,TRUE())&gt;0,"PARCIAL","VIGENTE")))</f>
        <v/>
      </c>
      <c r="Q136" s="11" t="str">
        <f aca="false">IF(OR(I136="",I136&lt;1,O136=""),"",O136+0)</f>
        <v/>
      </c>
      <c r="R136" s="11" t="str">
        <f aca="false">IF(OR(I136="",I136&lt;2,O136=""),"",O136+30)</f>
        <v/>
      </c>
      <c r="S136" s="11" t="str">
        <f aca="false">IF(OR(I136="",I136&lt;3,O136=""),"",O136+60)</f>
        <v/>
      </c>
      <c r="T136" s="11" t="str">
        <f aca="false">IF(OR(I136="",I136&lt;4,O136=""),"",O136+90)</f>
        <v/>
      </c>
      <c r="U136" s="11" t="str">
        <f aca="false">IF(OR(I136="",I136&lt;5,O136=""),"",O136+120)</f>
        <v/>
      </c>
      <c r="V136" s="11" t="str">
        <f aca="false">IF(OR(I136="",I136&lt;6,O136=""),"",O136+150)</f>
        <v/>
      </c>
      <c r="W136" s="11" t="str">
        <f aca="false">IF(OR(I136="",I136&lt;7,O136=""),"",O136+180)</f>
        <v/>
      </c>
      <c r="X136" s="11" t="str">
        <f aca="false">IF(OR(I136="",I136&lt;8,O136=""),"",O136+210)</f>
        <v/>
      </c>
      <c r="Y136" s="11" t="str">
        <f aca="false">IF(OR(I136="",I136&lt;9,O136=""),"",O136+240)</f>
        <v/>
      </c>
      <c r="Z136" s="11" t="str">
        <f aca="false">IF(OR(I136="",I136&lt;10,O136=""),"",O136+270)</f>
        <v/>
      </c>
      <c r="AA136" s="11" t="str">
        <f aca="false">IF(OR(I136="",I136&lt;11,O136=""),"",O136+300)</f>
        <v/>
      </c>
      <c r="AB136" s="11" t="str">
        <f aca="false">IF(OR(I136="",I136&lt;12,O136=""),"",O136+330)</f>
        <v/>
      </c>
      <c r="AC136" s="11" t="str">
        <f aca="false">IF(OR(I136="",I136&lt;13,O136=""),"",O136+360)</f>
        <v/>
      </c>
      <c r="AD136" s="11" t="str">
        <f aca="false">IF(OR(I136="",I136&lt;14,O136=""),"",O136+390)</f>
        <v/>
      </c>
      <c r="AE136" s="11" t="str">
        <f aca="false">IF(OR(I136="",I136&lt;15,O136=""),"",O136+420)</f>
        <v/>
      </c>
      <c r="AF136" s="11" t="str">
        <f aca="false">IF(OR(I136="",I136&lt;16,O136=""),"",O136+450)</f>
        <v/>
      </c>
      <c r="AG136" s="11" t="str">
        <f aca="false">IF(OR(I136="",I136&lt;17,O136=""),"",O136+480)</f>
        <v/>
      </c>
      <c r="AH136" s="11" t="str">
        <f aca="false">IF(OR(I136="",I136&lt;18,O136=""),"",O136+510)</f>
        <v/>
      </c>
      <c r="AI136" s="11" t="str">
        <f aca="false">IF(OR(I136="",I136&lt;19,O136=""),"",O136+540)</f>
        <v/>
      </c>
      <c r="AJ136" s="11" t="str">
        <f aca="false">IF(OR(I136="",I136&lt;20,O136=""),"",O136+570)</f>
        <v/>
      </c>
      <c r="AK136" s="11" t="str">
        <f aca="false">IF(OR(I136="",I136&lt;21,O136=""),"",O136+600)</f>
        <v/>
      </c>
      <c r="AL136" s="11" t="str">
        <f aca="false">IF(OR(I136="",I136&lt;22,O136=""),"",O136+630)</f>
        <v/>
      </c>
      <c r="AM136" s="11" t="str">
        <f aca="false">IF(OR(I136="",I136&lt;23,O136=""),"",O136+660)</f>
        <v/>
      </c>
      <c r="AN136" s="11" t="str">
        <f aca="false">IF(OR(I136="",I136&lt;24,O136=""),"",O136+690)</f>
        <v/>
      </c>
      <c r="AO136" s="7" t="str">
        <f aca="false">IF(J136="","",COUNTIF(Q136:AN136,TRUE())*J136)</f>
        <v/>
      </c>
      <c r="AP136" s="7" t="str">
        <f aca="false">IF(K136="","",K136-AO136)</f>
        <v/>
      </c>
      <c r="AQ136" s="7" t="str">
        <f aca="false">IF(K136="","",K136-F136-IF(N136="",0,N136))</f>
        <v/>
      </c>
    </row>
    <row r="137" customFormat="false" ht="15" hidden="false" customHeight="false" outlineLevel="0" collapsed="false">
      <c r="A137" s="12"/>
      <c r="B137" s="12"/>
      <c r="C137" s="12"/>
      <c r="D137" s="13"/>
      <c r="E137" s="13"/>
      <c r="F137" s="14"/>
      <c r="G137" s="12"/>
      <c r="H137" s="12"/>
      <c r="I137" s="12"/>
      <c r="J137" s="14"/>
      <c r="K137" s="15" t="str">
        <f aca="false">IF(OR(I137="",J137=""),"",I137*J137)</f>
        <v/>
      </c>
      <c r="L137" s="12"/>
      <c r="M137" s="16"/>
      <c r="N137" s="15" t="str">
        <f aca="false">IF(OR(L137="",M137="",K137=""),"",IF(L137="GANANCIA",(K137-F137)*M137,IF(L137="BRUTO",K137*M137,"")))</f>
        <v/>
      </c>
      <c r="O137" s="17" t="str">
        <f aca="false">IF(D137="","",D137)</f>
        <v/>
      </c>
      <c r="P137" s="18" t="str">
        <f aca="false">IF(I137="","",IF(COUNTIF(Q137:AN137,TRUE())&gt;=I137,"PAGADO",IF(COUNTIF(Q137:AN137,TRUE())&gt;0,"PARCIAL","VIGENTE")))</f>
        <v/>
      </c>
      <c r="Q137" s="19" t="str">
        <f aca="false">IF(OR(I137="",I137&lt;1,O137=""),"",O137+0)</f>
        <v/>
      </c>
      <c r="R137" s="19" t="str">
        <f aca="false">IF(OR(I137="",I137&lt;2,O137=""),"",O137+30)</f>
        <v/>
      </c>
      <c r="S137" s="19" t="str">
        <f aca="false">IF(OR(I137="",I137&lt;3,O137=""),"",O137+60)</f>
        <v/>
      </c>
      <c r="T137" s="19" t="str">
        <f aca="false">IF(OR(I137="",I137&lt;4,O137=""),"",O137+90)</f>
        <v/>
      </c>
      <c r="U137" s="19" t="str">
        <f aca="false">IF(OR(I137="",I137&lt;5,O137=""),"",O137+120)</f>
        <v/>
      </c>
      <c r="V137" s="19" t="str">
        <f aca="false">IF(OR(I137="",I137&lt;6,O137=""),"",O137+150)</f>
        <v/>
      </c>
      <c r="W137" s="19" t="str">
        <f aca="false">IF(OR(I137="",I137&lt;7,O137=""),"",O137+180)</f>
        <v/>
      </c>
      <c r="X137" s="19" t="str">
        <f aca="false">IF(OR(I137="",I137&lt;8,O137=""),"",O137+210)</f>
        <v/>
      </c>
      <c r="Y137" s="19" t="str">
        <f aca="false">IF(OR(I137="",I137&lt;9,O137=""),"",O137+240)</f>
        <v/>
      </c>
      <c r="Z137" s="19" t="str">
        <f aca="false">IF(OR(I137="",I137&lt;10,O137=""),"",O137+270)</f>
        <v/>
      </c>
      <c r="AA137" s="19" t="str">
        <f aca="false">IF(OR(I137="",I137&lt;11,O137=""),"",O137+300)</f>
        <v/>
      </c>
      <c r="AB137" s="19" t="str">
        <f aca="false">IF(OR(I137="",I137&lt;12,O137=""),"",O137+330)</f>
        <v/>
      </c>
      <c r="AC137" s="19" t="str">
        <f aca="false">IF(OR(I137="",I137&lt;13,O137=""),"",O137+360)</f>
        <v/>
      </c>
      <c r="AD137" s="19" t="str">
        <f aca="false">IF(OR(I137="",I137&lt;14,O137=""),"",O137+390)</f>
        <v/>
      </c>
      <c r="AE137" s="19" t="str">
        <f aca="false">IF(OR(I137="",I137&lt;15,O137=""),"",O137+420)</f>
        <v/>
      </c>
      <c r="AF137" s="19" t="str">
        <f aca="false">IF(OR(I137="",I137&lt;16,O137=""),"",O137+450)</f>
        <v/>
      </c>
      <c r="AG137" s="19" t="str">
        <f aca="false">IF(OR(I137="",I137&lt;17,O137=""),"",O137+480)</f>
        <v/>
      </c>
      <c r="AH137" s="19" t="str">
        <f aca="false">IF(OR(I137="",I137&lt;18,O137=""),"",O137+510)</f>
        <v/>
      </c>
      <c r="AI137" s="19" t="str">
        <f aca="false">IF(OR(I137="",I137&lt;19,O137=""),"",O137+540)</f>
        <v/>
      </c>
      <c r="AJ137" s="19" t="str">
        <f aca="false">IF(OR(I137="",I137&lt;20,O137=""),"",O137+570)</f>
        <v/>
      </c>
      <c r="AK137" s="19" t="str">
        <f aca="false">IF(OR(I137="",I137&lt;21,O137=""),"",O137+600)</f>
        <v/>
      </c>
      <c r="AL137" s="19" t="str">
        <f aca="false">IF(OR(I137="",I137&lt;22,O137=""),"",O137+630)</f>
        <v/>
      </c>
      <c r="AM137" s="19" t="str">
        <f aca="false">IF(OR(I137="",I137&lt;23,O137=""),"",O137+660)</f>
        <v/>
      </c>
      <c r="AN137" s="19" t="str">
        <f aca="false">IF(OR(I137="",I137&lt;24,O137=""),"",O137+690)</f>
        <v/>
      </c>
      <c r="AO137" s="15" t="str">
        <f aca="false">IF(J137="","",COUNTIF(Q137:AN137,TRUE())*J137)</f>
        <v/>
      </c>
      <c r="AP137" s="15" t="str">
        <f aca="false">IF(K137="","",K137-AO137)</f>
        <v/>
      </c>
      <c r="AQ137" s="15" t="str">
        <f aca="false">IF(K137="","",K137-F137-IF(N137="",0,N137))</f>
        <v/>
      </c>
    </row>
    <row r="138" customFormat="false" ht="15" hidden="false" customHeight="false" outlineLevel="0" collapsed="false">
      <c r="A138" s="4"/>
      <c r="B138" s="4"/>
      <c r="C138" s="4"/>
      <c r="D138" s="5"/>
      <c r="E138" s="5"/>
      <c r="F138" s="6"/>
      <c r="G138" s="4"/>
      <c r="H138" s="4"/>
      <c r="I138" s="4"/>
      <c r="J138" s="6"/>
      <c r="K138" s="7" t="str">
        <f aca="false">IF(OR(I138="",J138=""),"",I138*J138)</f>
        <v/>
      </c>
      <c r="L138" s="4"/>
      <c r="M138" s="8"/>
      <c r="N138" s="7" t="str">
        <f aca="false">IF(OR(L138="",M138="",K138=""),"",IF(L138="GANANCIA",(K138-F138)*M138,IF(L138="BRUTO",K138*M138,"")))</f>
        <v/>
      </c>
      <c r="O138" s="9" t="str">
        <f aca="false">IF(D138="","",D138)</f>
        <v/>
      </c>
      <c r="P138" s="10" t="str">
        <f aca="false">IF(I138="","",IF(COUNTIF(Q138:AN138,TRUE())&gt;=I138,"PAGADO",IF(COUNTIF(Q138:AN138,TRUE())&gt;0,"PARCIAL","VIGENTE")))</f>
        <v/>
      </c>
      <c r="Q138" s="11" t="str">
        <f aca="false">IF(OR(I138="",I138&lt;1,O138=""),"",O138+0)</f>
        <v/>
      </c>
      <c r="R138" s="11" t="str">
        <f aca="false">IF(OR(I138="",I138&lt;2,O138=""),"",O138+30)</f>
        <v/>
      </c>
      <c r="S138" s="11" t="str">
        <f aca="false">IF(OR(I138="",I138&lt;3,O138=""),"",O138+60)</f>
        <v/>
      </c>
      <c r="T138" s="11" t="str">
        <f aca="false">IF(OR(I138="",I138&lt;4,O138=""),"",O138+90)</f>
        <v/>
      </c>
      <c r="U138" s="11" t="str">
        <f aca="false">IF(OR(I138="",I138&lt;5,O138=""),"",O138+120)</f>
        <v/>
      </c>
      <c r="V138" s="11" t="str">
        <f aca="false">IF(OR(I138="",I138&lt;6,O138=""),"",O138+150)</f>
        <v/>
      </c>
      <c r="W138" s="11" t="str">
        <f aca="false">IF(OR(I138="",I138&lt;7,O138=""),"",O138+180)</f>
        <v/>
      </c>
      <c r="X138" s="11" t="str">
        <f aca="false">IF(OR(I138="",I138&lt;8,O138=""),"",O138+210)</f>
        <v/>
      </c>
      <c r="Y138" s="11" t="str">
        <f aca="false">IF(OR(I138="",I138&lt;9,O138=""),"",O138+240)</f>
        <v/>
      </c>
      <c r="Z138" s="11" t="str">
        <f aca="false">IF(OR(I138="",I138&lt;10,O138=""),"",O138+270)</f>
        <v/>
      </c>
      <c r="AA138" s="11" t="str">
        <f aca="false">IF(OR(I138="",I138&lt;11,O138=""),"",O138+300)</f>
        <v/>
      </c>
      <c r="AB138" s="11" t="str">
        <f aca="false">IF(OR(I138="",I138&lt;12,O138=""),"",O138+330)</f>
        <v/>
      </c>
      <c r="AC138" s="11" t="str">
        <f aca="false">IF(OR(I138="",I138&lt;13,O138=""),"",O138+360)</f>
        <v/>
      </c>
      <c r="AD138" s="11" t="str">
        <f aca="false">IF(OR(I138="",I138&lt;14,O138=""),"",O138+390)</f>
        <v/>
      </c>
      <c r="AE138" s="11" t="str">
        <f aca="false">IF(OR(I138="",I138&lt;15,O138=""),"",O138+420)</f>
        <v/>
      </c>
      <c r="AF138" s="11" t="str">
        <f aca="false">IF(OR(I138="",I138&lt;16,O138=""),"",O138+450)</f>
        <v/>
      </c>
      <c r="AG138" s="11" t="str">
        <f aca="false">IF(OR(I138="",I138&lt;17,O138=""),"",O138+480)</f>
        <v/>
      </c>
      <c r="AH138" s="11" t="str">
        <f aca="false">IF(OR(I138="",I138&lt;18,O138=""),"",O138+510)</f>
        <v/>
      </c>
      <c r="AI138" s="11" t="str">
        <f aca="false">IF(OR(I138="",I138&lt;19,O138=""),"",O138+540)</f>
        <v/>
      </c>
      <c r="AJ138" s="11" t="str">
        <f aca="false">IF(OR(I138="",I138&lt;20,O138=""),"",O138+570)</f>
        <v/>
      </c>
      <c r="AK138" s="11" t="str">
        <f aca="false">IF(OR(I138="",I138&lt;21,O138=""),"",O138+600)</f>
        <v/>
      </c>
      <c r="AL138" s="11" t="str">
        <f aca="false">IF(OR(I138="",I138&lt;22,O138=""),"",O138+630)</f>
        <v/>
      </c>
      <c r="AM138" s="11" t="str">
        <f aca="false">IF(OR(I138="",I138&lt;23,O138=""),"",O138+660)</f>
        <v/>
      </c>
      <c r="AN138" s="11" t="str">
        <f aca="false">IF(OR(I138="",I138&lt;24,O138=""),"",O138+690)</f>
        <v/>
      </c>
      <c r="AO138" s="7" t="str">
        <f aca="false">IF(J138="","",COUNTIF(Q138:AN138,TRUE())*J138)</f>
        <v/>
      </c>
      <c r="AP138" s="7" t="str">
        <f aca="false">IF(K138="","",K138-AO138)</f>
        <v/>
      </c>
      <c r="AQ138" s="7" t="str">
        <f aca="false">IF(K138="","",K138-F138-IF(N138="",0,N138))</f>
        <v/>
      </c>
    </row>
    <row r="139" customFormat="false" ht="15" hidden="false" customHeight="false" outlineLevel="0" collapsed="false">
      <c r="A139" s="12"/>
      <c r="B139" s="12"/>
      <c r="C139" s="12"/>
      <c r="D139" s="13"/>
      <c r="E139" s="13"/>
      <c r="F139" s="14"/>
      <c r="G139" s="12"/>
      <c r="H139" s="12"/>
      <c r="I139" s="12"/>
      <c r="J139" s="14"/>
      <c r="K139" s="15" t="str">
        <f aca="false">IF(OR(I139="",J139=""),"",I139*J139)</f>
        <v/>
      </c>
      <c r="L139" s="12"/>
      <c r="M139" s="16"/>
      <c r="N139" s="15" t="str">
        <f aca="false">IF(OR(L139="",M139="",K139=""),"",IF(L139="GANANCIA",(K139-F139)*M139,IF(L139="BRUTO",K139*M139,"")))</f>
        <v/>
      </c>
      <c r="O139" s="17" t="str">
        <f aca="false">IF(D139="","",D139)</f>
        <v/>
      </c>
      <c r="P139" s="18" t="str">
        <f aca="false">IF(I139="","",IF(COUNTIF(Q139:AN139,TRUE())&gt;=I139,"PAGADO",IF(COUNTIF(Q139:AN139,TRUE())&gt;0,"PARCIAL","VIGENTE")))</f>
        <v/>
      </c>
      <c r="Q139" s="19" t="str">
        <f aca="false">IF(OR(I139="",I139&lt;1,O139=""),"",O139+0)</f>
        <v/>
      </c>
      <c r="R139" s="19" t="str">
        <f aca="false">IF(OR(I139="",I139&lt;2,O139=""),"",O139+30)</f>
        <v/>
      </c>
      <c r="S139" s="19" t="str">
        <f aca="false">IF(OR(I139="",I139&lt;3,O139=""),"",O139+60)</f>
        <v/>
      </c>
      <c r="T139" s="19" t="str">
        <f aca="false">IF(OR(I139="",I139&lt;4,O139=""),"",O139+90)</f>
        <v/>
      </c>
      <c r="U139" s="19" t="str">
        <f aca="false">IF(OR(I139="",I139&lt;5,O139=""),"",O139+120)</f>
        <v/>
      </c>
      <c r="V139" s="19" t="str">
        <f aca="false">IF(OR(I139="",I139&lt;6,O139=""),"",O139+150)</f>
        <v/>
      </c>
      <c r="W139" s="19" t="str">
        <f aca="false">IF(OR(I139="",I139&lt;7,O139=""),"",O139+180)</f>
        <v/>
      </c>
      <c r="X139" s="19" t="str">
        <f aca="false">IF(OR(I139="",I139&lt;8,O139=""),"",O139+210)</f>
        <v/>
      </c>
      <c r="Y139" s="19" t="str">
        <f aca="false">IF(OR(I139="",I139&lt;9,O139=""),"",O139+240)</f>
        <v/>
      </c>
      <c r="Z139" s="19" t="str">
        <f aca="false">IF(OR(I139="",I139&lt;10,O139=""),"",O139+270)</f>
        <v/>
      </c>
      <c r="AA139" s="19" t="str">
        <f aca="false">IF(OR(I139="",I139&lt;11,O139=""),"",O139+300)</f>
        <v/>
      </c>
      <c r="AB139" s="19" t="str">
        <f aca="false">IF(OR(I139="",I139&lt;12,O139=""),"",O139+330)</f>
        <v/>
      </c>
      <c r="AC139" s="19" t="str">
        <f aca="false">IF(OR(I139="",I139&lt;13,O139=""),"",O139+360)</f>
        <v/>
      </c>
      <c r="AD139" s="19" t="str">
        <f aca="false">IF(OR(I139="",I139&lt;14,O139=""),"",O139+390)</f>
        <v/>
      </c>
      <c r="AE139" s="19" t="str">
        <f aca="false">IF(OR(I139="",I139&lt;15,O139=""),"",O139+420)</f>
        <v/>
      </c>
      <c r="AF139" s="19" t="str">
        <f aca="false">IF(OR(I139="",I139&lt;16,O139=""),"",O139+450)</f>
        <v/>
      </c>
      <c r="AG139" s="19" t="str">
        <f aca="false">IF(OR(I139="",I139&lt;17,O139=""),"",O139+480)</f>
        <v/>
      </c>
      <c r="AH139" s="19" t="str">
        <f aca="false">IF(OR(I139="",I139&lt;18,O139=""),"",O139+510)</f>
        <v/>
      </c>
      <c r="AI139" s="19" t="str">
        <f aca="false">IF(OR(I139="",I139&lt;19,O139=""),"",O139+540)</f>
        <v/>
      </c>
      <c r="AJ139" s="19" t="str">
        <f aca="false">IF(OR(I139="",I139&lt;20,O139=""),"",O139+570)</f>
        <v/>
      </c>
      <c r="AK139" s="19" t="str">
        <f aca="false">IF(OR(I139="",I139&lt;21,O139=""),"",O139+600)</f>
        <v/>
      </c>
      <c r="AL139" s="19" t="str">
        <f aca="false">IF(OR(I139="",I139&lt;22,O139=""),"",O139+630)</f>
        <v/>
      </c>
      <c r="AM139" s="19" t="str">
        <f aca="false">IF(OR(I139="",I139&lt;23,O139=""),"",O139+660)</f>
        <v/>
      </c>
      <c r="AN139" s="19" t="str">
        <f aca="false">IF(OR(I139="",I139&lt;24,O139=""),"",O139+690)</f>
        <v/>
      </c>
      <c r="AO139" s="15" t="str">
        <f aca="false">IF(J139="","",COUNTIF(Q139:AN139,TRUE())*J139)</f>
        <v/>
      </c>
      <c r="AP139" s="15" t="str">
        <f aca="false">IF(K139="","",K139-AO139)</f>
        <v/>
      </c>
      <c r="AQ139" s="15" t="str">
        <f aca="false">IF(K139="","",K139-F139-IF(N139="",0,N139))</f>
        <v/>
      </c>
    </row>
    <row r="140" customFormat="false" ht="15" hidden="false" customHeight="false" outlineLevel="0" collapsed="false">
      <c r="A140" s="4"/>
      <c r="B140" s="4"/>
      <c r="C140" s="4"/>
      <c r="D140" s="5"/>
      <c r="E140" s="5"/>
      <c r="F140" s="6"/>
      <c r="G140" s="4"/>
      <c r="H140" s="4"/>
      <c r="I140" s="4"/>
      <c r="J140" s="6"/>
      <c r="K140" s="7" t="str">
        <f aca="false">IF(OR(I140="",J140=""),"",I140*J140)</f>
        <v/>
      </c>
      <c r="L140" s="4"/>
      <c r="M140" s="8"/>
      <c r="N140" s="7" t="str">
        <f aca="false">IF(OR(L140="",M140="",K140=""),"",IF(L140="GANANCIA",(K140-F140)*M140,IF(L140="BRUTO",K140*M140,"")))</f>
        <v/>
      </c>
      <c r="O140" s="9" t="str">
        <f aca="false">IF(D140="","",D140)</f>
        <v/>
      </c>
      <c r="P140" s="10" t="str">
        <f aca="false">IF(I140="","",IF(COUNTIF(Q140:AN140,TRUE())&gt;=I140,"PAGADO",IF(COUNTIF(Q140:AN140,TRUE())&gt;0,"PARCIAL","VIGENTE")))</f>
        <v/>
      </c>
      <c r="Q140" s="11" t="str">
        <f aca="false">IF(OR(I140="",I140&lt;1,O140=""),"",O140+0)</f>
        <v/>
      </c>
      <c r="R140" s="11" t="str">
        <f aca="false">IF(OR(I140="",I140&lt;2,O140=""),"",O140+30)</f>
        <v/>
      </c>
      <c r="S140" s="11" t="str">
        <f aca="false">IF(OR(I140="",I140&lt;3,O140=""),"",O140+60)</f>
        <v/>
      </c>
      <c r="T140" s="11" t="str">
        <f aca="false">IF(OR(I140="",I140&lt;4,O140=""),"",O140+90)</f>
        <v/>
      </c>
      <c r="U140" s="11" t="str">
        <f aca="false">IF(OR(I140="",I140&lt;5,O140=""),"",O140+120)</f>
        <v/>
      </c>
      <c r="V140" s="11" t="str">
        <f aca="false">IF(OR(I140="",I140&lt;6,O140=""),"",O140+150)</f>
        <v/>
      </c>
      <c r="W140" s="11" t="str">
        <f aca="false">IF(OR(I140="",I140&lt;7,O140=""),"",O140+180)</f>
        <v/>
      </c>
      <c r="X140" s="11" t="str">
        <f aca="false">IF(OR(I140="",I140&lt;8,O140=""),"",O140+210)</f>
        <v/>
      </c>
      <c r="Y140" s="11" t="str">
        <f aca="false">IF(OR(I140="",I140&lt;9,O140=""),"",O140+240)</f>
        <v/>
      </c>
      <c r="Z140" s="11" t="str">
        <f aca="false">IF(OR(I140="",I140&lt;10,O140=""),"",O140+270)</f>
        <v/>
      </c>
      <c r="AA140" s="11" t="str">
        <f aca="false">IF(OR(I140="",I140&lt;11,O140=""),"",O140+300)</f>
        <v/>
      </c>
      <c r="AB140" s="11" t="str">
        <f aca="false">IF(OR(I140="",I140&lt;12,O140=""),"",O140+330)</f>
        <v/>
      </c>
      <c r="AC140" s="11" t="str">
        <f aca="false">IF(OR(I140="",I140&lt;13,O140=""),"",O140+360)</f>
        <v/>
      </c>
      <c r="AD140" s="11" t="str">
        <f aca="false">IF(OR(I140="",I140&lt;14,O140=""),"",O140+390)</f>
        <v/>
      </c>
      <c r="AE140" s="11" t="str">
        <f aca="false">IF(OR(I140="",I140&lt;15,O140=""),"",O140+420)</f>
        <v/>
      </c>
      <c r="AF140" s="11" t="str">
        <f aca="false">IF(OR(I140="",I140&lt;16,O140=""),"",O140+450)</f>
        <v/>
      </c>
      <c r="AG140" s="11" t="str">
        <f aca="false">IF(OR(I140="",I140&lt;17,O140=""),"",O140+480)</f>
        <v/>
      </c>
      <c r="AH140" s="11" t="str">
        <f aca="false">IF(OR(I140="",I140&lt;18,O140=""),"",O140+510)</f>
        <v/>
      </c>
      <c r="AI140" s="11" t="str">
        <f aca="false">IF(OR(I140="",I140&lt;19,O140=""),"",O140+540)</f>
        <v/>
      </c>
      <c r="AJ140" s="11" t="str">
        <f aca="false">IF(OR(I140="",I140&lt;20,O140=""),"",O140+570)</f>
        <v/>
      </c>
      <c r="AK140" s="11" t="str">
        <f aca="false">IF(OR(I140="",I140&lt;21,O140=""),"",O140+600)</f>
        <v/>
      </c>
      <c r="AL140" s="11" t="str">
        <f aca="false">IF(OR(I140="",I140&lt;22,O140=""),"",O140+630)</f>
        <v/>
      </c>
      <c r="AM140" s="11" t="str">
        <f aca="false">IF(OR(I140="",I140&lt;23,O140=""),"",O140+660)</f>
        <v/>
      </c>
      <c r="AN140" s="11" t="str">
        <f aca="false">IF(OR(I140="",I140&lt;24,O140=""),"",O140+690)</f>
        <v/>
      </c>
      <c r="AO140" s="7" t="str">
        <f aca="false">IF(J140="","",COUNTIF(Q140:AN140,TRUE())*J140)</f>
        <v/>
      </c>
      <c r="AP140" s="7" t="str">
        <f aca="false">IF(K140="","",K140-AO140)</f>
        <v/>
      </c>
      <c r="AQ140" s="7" t="str">
        <f aca="false">IF(K140="","",K140-F140-IF(N140="",0,N140))</f>
        <v/>
      </c>
    </row>
    <row r="141" customFormat="false" ht="15" hidden="false" customHeight="false" outlineLevel="0" collapsed="false">
      <c r="A141" s="12"/>
      <c r="B141" s="12"/>
      <c r="C141" s="12"/>
      <c r="D141" s="13"/>
      <c r="E141" s="13"/>
      <c r="F141" s="14"/>
      <c r="G141" s="12"/>
      <c r="H141" s="12"/>
      <c r="I141" s="12"/>
      <c r="J141" s="14"/>
      <c r="K141" s="15" t="str">
        <f aca="false">IF(OR(I141="",J141=""),"",I141*J141)</f>
        <v/>
      </c>
      <c r="L141" s="12"/>
      <c r="M141" s="16"/>
      <c r="N141" s="15" t="str">
        <f aca="false">IF(OR(L141="",M141="",K141=""),"",IF(L141="GANANCIA",(K141-F141)*M141,IF(L141="BRUTO",K141*M141,"")))</f>
        <v/>
      </c>
      <c r="O141" s="17" t="str">
        <f aca="false">IF(D141="","",D141)</f>
        <v/>
      </c>
      <c r="P141" s="18" t="str">
        <f aca="false">IF(I141="","",IF(COUNTIF(Q141:AN141,TRUE())&gt;=I141,"PAGADO",IF(COUNTIF(Q141:AN141,TRUE())&gt;0,"PARCIAL","VIGENTE")))</f>
        <v/>
      </c>
      <c r="Q141" s="19" t="str">
        <f aca="false">IF(OR(I141="",I141&lt;1,O141=""),"",O141+0)</f>
        <v/>
      </c>
      <c r="R141" s="19" t="str">
        <f aca="false">IF(OR(I141="",I141&lt;2,O141=""),"",O141+30)</f>
        <v/>
      </c>
      <c r="S141" s="19" t="str">
        <f aca="false">IF(OR(I141="",I141&lt;3,O141=""),"",O141+60)</f>
        <v/>
      </c>
      <c r="T141" s="19" t="str">
        <f aca="false">IF(OR(I141="",I141&lt;4,O141=""),"",O141+90)</f>
        <v/>
      </c>
      <c r="U141" s="19" t="str">
        <f aca="false">IF(OR(I141="",I141&lt;5,O141=""),"",O141+120)</f>
        <v/>
      </c>
      <c r="V141" s="19" t="str">
        <f aca="false">IF(OR(I141="",I141&lt;6,O141=""),"",O141+150)</f>
        <v/>
      </c>
      <c r="W141" s="19" t="str">
        <f aca="false">IF(OR(I141="",I141&lt;7,O141=""),"",O141+180)</f>
        <v/>
      </c>
      <c r="X141" s="19" t="str">
        <f aca="false">IF(OR(I141="",I141&lt;8,O141=""),"",O141+210)</f>
        <v/>
      </c>
      <c r="Y141" s="19" t="str">
        <f aca="false">IF(OR(I141="",I141&lt;9,O141=""),"",O141+240)</f>
        <v/>
      </c>
      <c r="Z141" s="19" t="str">
        <f aca="false">IF(OR(I141="",I141&lt;10,O141=""),"",O141+270)</f>
        <v/>
      </c>
      <c r="AA141" s="19" t="str">
        <f aca="false">IF(OR(I141="",I141&lt;11,O141=""),"",O141+300)</f>
        <v/>
      </c>
      <c r="AB141" s="19" t="str">
        <f aca="false">IF(OR(I141="",I141&lt;12,O141=""),"",O141+330)</f>
        <v/>
      </c>
      <c r="AC141" s="19" t="str">
        <f aca="false">IF(OR(I141="",I141&lt;13,O141=""),"",O141+360)</f>
        <v/>
      </c>
      <c r="AD141" s="19" t="str">
        <f aca="false">IF(OR(I141="",I141&lt;14,O141=""),"",O141+390)</f>
        <v/>
      </c>
      <c r="AE141" s="19" t="str">
        <f aca="false">IF(OR(I141="",I141&lt;15,O141=""),"",O141+420)</f>
        <v/>
      </c>
      <c r="AF141" s="19" t="str">
        <f aca="false">IF(OR(I141="",I141&lt;16,O141=""),"",O141+450)</f>
        <v/>
      </c>
      <c r="AG141" s="19" t="str">
        <f aca="false">IF(OR(I141="",I141&lt;17,O141=""),"",O141+480)</f>
        <v/>
      </c>
      <c r="AH141" s="19" t="str">
        <f aca="false">IF(OR(I141="",I141&lt;18,O141=""),"",O141+510)</f>
        <v/>
      </c>
      <c r="AI141" s="19" t="str">
        <f aca="false">IF(OR(I141="",I141&lt;19,O141=""),"",O141+540)</f>
        <v/>
      </c>
      <c r="AJ141" s="19" t="str">
        <f aca="false">IF(OR(I141="",I141&lt;20,O141=""),"",O141+570)</f>
        <v/>
      </c>
      <c r="AK141" s="19" t="str">
        <f aca="false">IF(OR(I141="",I141&lt;21,O141=""),"",O141+600)</f>
        <v/>
      </c>
      <c r="AL141" s="19" t="str">
        <f aca="false">IF(OR(I141="",I141&lt;22,O141=""),"",O141+630)</f>
        <v/>
      </c>
      <c r="AM141" s="19" t="str">
        <f aca="false">IF(OR(I141="",I141&lt;23,O141=""),"",O141+660)</f>
        <v/>
      </c>
      <c r="AN141" s="19" t="str">
        <f aca="false">IF(OR(I141="",I141&lt;24,O141=""),"",O141+690)</f>
        <v/>
      </c>
      <c r="AO141" s="15" t="str">
        <f aca="false">IF(J141="","",COUNTIF(Q141:AN141,TRUE())*J141)</f>
        <v/>
      </c>
      <c r="AP141" s="15" t="str">
        <f aca="false">IF(K141="","",K141-AO141)</f>
        <v/>
      </c>
      <c r="AQ141" s="15" t="str">
        <f aca="false">IF(K141="","",K141-F141-IF(N141="",0,N141))</f>
        <v/>
      </c>
    </row>
    <row r="142" customFormat="false" ht="15" hidden="false" customHeight="false" outlineLevel="0" collapsed="false">
      <c r="A142" s="4"/>
      <c r="B142" s="4"/>
      <c r="C142" s="4"/>
      <c r="D142" s="5"/>
      <c r="E142" s="5"/>
      <c r="F142" s="6"/>
      <c r="G142" s="4"/>
      <c r="H142" s="4"/>
      <c r="I142" s="4"/>
      <c r="J142" s="6"/>
      <c r="K142" s="7" t="str">
        <f aca="false">IF(OR(I142="",J142=""),"",I142*J142)</f>
        <v/>
      </c>
      <c r="L142" s="4"/>
      <c r="M142" s="8"/>
      <c r="N142" s="7" t="str">
        <f aca="false">IF(OR(L142="",M142="",K142=""),"",IF(L142="GANANCIA",(K142-F142)*M142,IF(L142="BRUTO",K142*M142,"")))</f>
        <v/>
      </c>
      <c r="O142" s="9" t="str">
        <f aca="false">IF(D142="","",D142)</f>
        <v/>
      </c>
      <c r="P142" s="10" t="str">
        <f aca="false">IF(I142="","",IF(COUNTIF(Q142:AN142,TRUE())&gt;=I142,"PAGADO",IF(COUNTIF(Q142:AN142,TRUE())&gt;0,"PARCIAL","VIGENTE")))</f>
        <v/>
      </c>
      <c r="Q142" s="11" t="str">
        <f aca="false">IF(OR(I142="",I142&lt;1,O142=""),"",O142+0)</f>
        <v/>
      </c>
      <c r="R142" s="11" t="str">
        <f aca="false">IF(OR(I142="",I142&lt;2,O142=""),"",O142+30)</f>
        <v/>
      </c>
      <c r="S142" s="11" t="str">
        <f aca="false">IF(OR(I142="",I142&lt;3,O142=""),"",O142+60)</f>
        <v/>
      </c>
      <c r="T142" s="11" t="str">
        <f aca="false">IF(OR(I142="",I142&lt;4,O142=""),"",O142+90)</f>
        <v/>
      </c>
      <c r="U142" s="11" t="str">
        <f aca="false">IF(OR(I142="",I142&lt;5,O142=""),"",O142+120)</f>
        <v/>
      </c>
      <c r="V142" s="11" t="str">
        <f aca="false">IF(OR(I142="",I142&lt;6,O142=""),"",O142+150)</f>
        <v/>
      </c>
      <c r="W142" s="11" t="str">
        <f aca="false">IF(OR(I142="",I142&lt;7,O142=""),"",O142+180)</f>
        <v/>
      </c>
      <c r="X142" s="11" t="str">
        <f aca="false">IF(OR(I142="",I142&lt;8,O142=""),"",O142+210)</f>
        <v/>
      </c>
      <c r="Y142" s="11" t="str">
        <f aca="false">IF(OR(I142="",I142&lt;9,O142=""),"",O142+240)</f>
        <v/>
      </c>
      <c r="Z142" s="11" t="str">
        <f aca="false">IF(OR(I142="",I142&lt;10,O142=""),"",O142+270)</f>
        <v/>
      </c>
      <c r="AA142" s="11" t="str">
        <f aca="false">IF(OR(I142="",I142&lt;11,O142=""),"",O142+300)</f>
        <v/>
      </c>
      <c r="AB142" s="11" t="str">
        <f aca="false">IF(OR(I142="",I142&lt;12,O142=""),"",O142+330)</f>
        <v/>
      </c>
      <c r="AC142" s="11" t="str">
        <f aca="false">IF(OR(I142="",I142&lt;13,O142=""),"",O142+360)</f>
        <v/>
      </c>
      <c r="AD142" s="11" t="str">
        <f aca="false">IF(OR(I142="",I142&lt;14,O142=""),"",O142+390)</f>
        <v/>
      </c>
      <c r="AE142" s="11" t="str">
        <f aca="false">IF(OR(I142="",I142&lt;15,O142=""),"",O142+420)</f>
        <v/>
      </c>
      <c r="AF142" s="11" t="str">
        <f aca="false">IF(OR(I142="",I142&lt;16,O142=""),"",O142+450)</f>
        <v/>
      </c>
      <c r="AG142" s="11" t="str">
        <f aca="false">IF(OR(I142="",I142&lt;17,O142=""),"",O142+480)</f>
        <v/>
      </c>
      <c r="AH142" s="11" t="str">
        <f aca="false">IF(OR(I142="",I142&lt;18,O142=""),"",O142+510)</f>
        <v/>
      </c>
      <c r="AI142" s="11" t="str">
        <f aca="false">IF(OR(I142="",I142&lt;19,O142=""),"",O142+540)</f>
        <v/>
      </c>
      <c r="AJ142" s="11" t="str">
        <f aca="false">IF(OR(I142="",I142&lt;20,O142=""),"",O142+570)</f>
        <v/>
      </c>
      <c r="AK142" s="11" t="str">
        <f aca="false">IF(OR(I142="",I142&lt;21,O142=""),"",O142+600)</f>
        <v/>
      </c>
      <c r="AL142" s="11" t="str">
        <f aca="false">IF(OR(I142="",I142&lt;22,O142=""),"",O142+630)</f>
        <v/>
      </c>
      <c r="AM142" s="11" t="str">
        <f aca="false">IF(OR(I142="",I142&lt;23,O142=""),"",O142+660)</f>
        <v/>
      </c>
      <c r="AN142" s="11" t="str">
        <f aca="false">IF(OR(I142="",I142&lt;24,O142=""),"",O142+690)</f>
        <v/>
      </c>
      <c r="AO142" s="7" t="str">
        <f aca="false">IF(J142="","",COUNTIF(Q142:AN142,TRUE())*J142)</f>
        <v/>
      </c>
      <c r="AP142" s="7" t="str">
        <f aca="false">IF(K142="","",K142-AO142)</f>
        <v/>
      </c>
      <c r="AQ142" s="7" t="str">
        <f aca="false">IF(K142="","",K142-F142-IF(N142="",0,N142))</f>
        <v/>
      </c>
    </row>
    <row r="143" customFormat="false" ht="15" hidden="false" customHeight="false" outlineLevel="0" collapsed="false">
      <c r="A143" s="12"/>
      <c r="B143" s="12"/>
      <c r="C143" s="12"/>
      <c r="D143" s="13"/>
      <c r="E143" s="13"/>
      <c r="F143" s="14"/>
      <c r="G143" s="12"/>
      <c r="H143" s="12"/>
      <c r="I143" s="12"/>
      <c r="J143" s="14"/>
      <c r="K143" s="15" t="str">
        <f aca="false">IF(OR(I143="",J143=""),"",I143*J143)</f>
        <v/>
      </c>
      <c r="L143" s="12"/>
      <c r="M143" s="16"/>
      <c r="N143" s="15" t="str">
        <f aca="false">IF(OR(L143="",M143="",K143=""),"",IF(L143="GANANCIA",(K143-F143)*M143,IF(L143="BRUTO",K143*M143,"")))</f>
        <v/>
      </c>
      <c r="O143" s="17" t="str">
        <f aca="false">IF(D143="","",D143)</f>
        <v/>
      </c>
      <c r="P143" s="18" t="str">
        <f aca="false">IF(I143="","",IF(COUNTIF(Q143:AN143,TRUE())&gt;=I143,"PAGADO",IF(COUNTIF(Q143:AN143,TRUE())&gt;0,"PARCIAL","VIGENTE")))</f>
        <v/>
      </c>
      <c r="Q143" s="19" t="str">
        <f aca="false">IF(OR(I143="",I143&lt;1,O143=""),"",O143+0)</f>
        <v/>
      </c>
      <c r="R143" s="19" t="str">
        <f aca="false">IF(OR(I143="",I143&lt;2,O143=""),"",O143+30)</f>
        <v/>
      </c>
      <c r="S143" s="19" t="str">
        <f aca="false">IF(OR(I143="",I143&lt;3,O143=""),"",O143+60)</f>
        <v/>
      </c>
      <c r="T143" s="19" t="str">
        <f aca="false">IF(OR(I143="",I143&lt;4,O143=""),"",O143+90)</f>
        <v/>
      </c>
      <c r="U143" s="19" t="str">
        <f aca="false">IF(OR(I143="",I143&lt;5,O143=""),"",O143+120)</f>
        <v/>
      </c>
      <c r="V143" s="19" t="str">
        <f aca="false">IF(OR(I143="",I143&lt;6,O143=""),"",O143+150)</f>
        <v/>
      </c>
      <c r="W143" s="19" t="str">
        <f aca="false">IF(OR(I143="",I143&lt;7,O143=""),"",O143+180)</f>
        <v/>
      </c>
      <c r="X143" s="19" t="str">
        <f aca="false">IF(OR(I143="",I143&lt;8,O143=""),"",O143+210)</f>
        <v/>
      </c>
      <c r="Y143" s="19" t="str">
        <f aca="false">IF(OR(I143="",I143&lt;9,O143=""),"",O143+240)</f>
        <v/>
      </c>
      <c r="Z143" s="19" t="str">
        <f aca="false">IF(OR(I143="",I143&lt;10,O143=""),"",O143+270)</f>
        <v/>
      </c>
      <c r="AA143" s="19" t="str">
        <f aca="false">IF(OR(I143="",I143&lt;11,O143=""),"",O143+300)</f>
        <v/>
      </c>
      <c r="AB143" s="19" t="str">
        <f aca="false">IF(OR(I143="",I143&lt;12,O143=""),"",O143+330)</f>
        <v/>
      </c>
      <c r="AC143" s="19" t="str">
        <f aca="false">IF(OR(I143="",I143&lt;13,O143=""),"",O143+360)</f>
        <v/>
      </c>
      <c r="AD143" s="19" t="str">
        <f aca="false">IF(OR(I143="",I143&lt;14,O143=""),"",O143+390)</f>
        <v/>
      </c>
      <c r="AE143" s="19" t="str">
        <f aca="false">IF(OR(I143="",I143&lt;15,O143=""),"",O143+420)</f>
        <v/>
      </c>
      <c r="AF143" s="19" t="str">
        <f aca="false">IF(OR(I143="",I143&lt;16,O143=""),"",O143+450)</f>
        <v/>
      </c>
      <c r="AG143" s="19" t="str">
        <f aca="false">IF(OR(I143="",I143&lt;17,O143=""),"",O143+480)</f>
        <v/>
      </c>
      <c r="AH143" s="19" t="str">
        <f aca="false">IF(OR(I143="",I143&lt;18,O143=""),"",O143+510)</f>
        <v/>
      </c>
      <c r="AI143" s="19" t="str">
        <f aca="false">IF(OR(I143="",I143&lt;19,O143=""),"",O143+540)</f>
        <v/>
      </c>
      <c r="AJ143" s="19" t="str">
        <f aca="false">IF(OR(I143="",I143&lt;20,O143=""),"",O143+570)</f>
        <v/>
      </c>
      <c r="AK143" s="19" t="str">
        <f aca="false">IF(OR(I143="",I143&lt;21,O143=""),"",O143+600)</f>
        <v/>
      </c>
      <c r="AL143" s="19" t="str">
        <f aca="false">IF(OR(I143="",I143&lt;22,O143=""),"",O143+630)</f>
        <v/>
      </c>
      <c r="AM143" s="19" t="str">
        <f aca="false">IF(OR(I143="",I143&lt;23,O143=""),"",O143+660)</f>
        <v/>
      </c>
      <c r="AN143" s="19" t="str">
        <f aca="false">IF(OR(I143="",I143&lt;24,O143=""),"",O143+690)</f>
        <v/>
      </c>
      <c r="AO143" s="15" t="str">
        <f aca="false">IF(J143="","",COUNTIF(Q143:AN143,TRUE())*J143)</f>
        <v/>
      </c>
      <c r="AP143" s="15" t="str">
        <f aca="false">IF(K143="","",K143-AO143)</f>
        <v/>
      </c>
      <c r="AQ143" s="15" t="str">
        <f aca="false">IF(K143="","",K143-F143-IF(N143="",0,N143))</f>
        <v/>
      </c>
    </row>
    <row r="144" customFormat="false" ht="15" hidden="false" customHeight="false" outlineLevel="0" collapsed="false">
      <c r="A144" s="4"/>
      <c r="B144" s="4"/>
      <c r="C144" s="4"/>
      <c r="D144" s="5"/>
      <c r="E144" s="5"/>
      <c r="F144" s="6"/>
      <c r="G144" s="4"/>
      <c r="H144" s="4"/>
      <c r="I144" s="4"/>
      <c r="J144" s="6"/>
      <c r="K144" s="7" t="str">
        <f aca="false">IF(OR(I144="",J144=""),"",I144*J144)</f>
        <v/>
      </c>
      <c r="L144" s="4"/>
      <c r="M144" s="8"/>
      <c r="N144" s="7" t="str">
        <f aca="false">IF(OR(L144="",M144="",K144=""),"",IF(L144="GANANCIA",(K144-F144)*M144,IF(L144="BRUTO",K144*M144,"")))</f>
        <v/>
      </c>
      <c r="O144" s="9" t="str">
        <f aca="false">IF(D144="","",D144)</f>
        <v/>
      </c>
      <c r="P144" s="10" t="str">
        <f aca="false">IF(I144="","",IF(COUNTIF(Q144:AN144,TRUE())&gt;=I144,"PAGADO",IF(COUNTIF(Q144:AN144,TRUE())&gt;0,"PARCIAL","VIGENTE")))</f>
        <v/>
      </c>
      <c r="Q144" s="11" t="str">
        <f aca="false">IF(OR(I144="",I144&lt;1,O144=""),"",O144+0)</f>
        <v/>
      </c>
      <c r="R144" s="11" t="str">
        <f aca="false">IF(OR(I144="",I144&lt;2,O144=""),"",O144+30)</f>
        <v/>
      </c>
      <c r="S144" s="11" t="str">
        <f aca="false">IF(OR(I144="",I144&lt;3,O144=""),"",O144+60)</f>
        <v/>
      </c>
      <c r="T144" s="11" t="str">
        <f aca="false">IF(OR(I144="",I144&lt;4,O144=""),"",O144+90)</f>
        <v/>
      </c>
      <c r="U144" s="11" t="str">
        <f aca="false">IF(OR(I144="",I144&lt;5,O144=""),"",O144+120)</f>
        <v/>
      </c>
      <c r="V144" s="11" t="str">
        <f aca="false">IF(OR(I144="",I144&lt;6,O144=""),"",O144+150)</f>
        <v/>
      </c>
      <c r="W144" s="11" t="str">
        <f aca="false">IF(OR(I144="",I144&lt;7,O144=""),"",O144+180)</f>
        <v/>
      </c>
      <c r="X144" s="11" t="str">
        <f aca="false">IF(OR(I144="",I144&lt;8,O144=""),"",O144+210)</f>
        <v/>
      </c>
      <c r="Y144" s="11" t="str">
        <f aca="false">IF(OR(I144="",I144&lt;9,O144=""),"",O144+240)</f>
        <v/>
      </c>
      <c r="Z144" s="11" t="str">
        <f aca="false">IF(OR(I144="",I144&lt;10,O144=""),"",O144+270)</f>
        <v/>
      </c>
      <c r="AA144" s="11" t="str">
        <f aca="false">IF(OR(I144="",I144&lt;11,O144=""),"",O144+300)</f>
        <v/>
      </c>
      <c r="AB144" s="11" t="str">
        <f aca="false">IF(OR(I144="",I144&lt;12,O144=""),"",O144+330)</f>
        <v/>
      </c>
      <c r="AC144" s="11" t="str">
        <f aca="false">IF(OR(I144="",I144&lt;13,O144=""),"",O144+360)</f>
        <v/>
      </c>
      <c r="AD144" s="11" t="str">
        <f aca="false">IF(OR(I144="",I144&lt;14,O144=""),"",O144+390)</f>
        <v/>
      </c>
      <c r="AE144" s="11" t="str">
        <f aca="false">IF(OR(I144="",I144&lt;15,O144=""),"",O144+420)</f>
        <v/>
      </c>
      <c r="AF144" s="11" t="str">
        <f aca="false">IF(OR(I144="",I144&lt;16,O144=""),"",O144+450)</f>
        <v/>
      </c>
      <c r="AG144" s="11" t="str">
        <f aca="false">IF(OR(I144="",I144&lt;17,O144=""),"",O144+480)</f>
        <v/>
      </c>
      <c r="AH144" s="11" t="str">
        <f aca="false">IF(OR(I144="",I144&lt;18,O144=""),"",O144+510)</f>
        <v/>
      </c>
      <c r="AI144" s="11" t="str">
        <f aca="false">IF(OR(I144="",I144&lt;19,O144=""),"",O144+540)</f>
        <v/>
      </c>
      <c r="AJ144" s="11" t="str">
        <f aca="false">IF(OR(I144="",I144&lt;20,O144=""),"",O144+570)</f>
        <v/>
      </c>
      <c r="AK144" s="11" t="str">
        <f aca="false">IF(OR(I144="",I144&lt;21,O144=""),"",O144+600)</f>
        <v/>
      </c>
      <c r="AL144" s="11" t="str">
        <f aca="false">IF(OR(I144="",I144&lt;22,O144=""),"",O144+630)</f>
        <v/>
      </c>
      <c r="AM144" s="11" t="str">
        <f aca="false">IF(OR(I144="",I144&lt;23,O144=""),"",O144+660)</f>
        <v/>
      </c>
      <c r="AN144" s="11" t="str">
        <f aca="false">IF(OR(I144="",I144&lt;24,O144=""),"",O144+690)</f>
        <v/>
      </c>
      <c r="AO144" s="7" t="str">
        <f aca="false">IF(J144="","",COUNTIF(Q144:AN144,TRUE())*J144)</f>
        <v/>
      </c>
      <c r="AP144" s="7" t="str">
        <f aca="false">IF(K144="","",K144-AO144)</f>
        <v/>
      </c>
      <c r="AQ144" s="7" t="str">
        <f aca="false">IF(K144="","",K144-F144-IF(N144="",0,N144))</f>
        <v/>
      </c>
    </row>
    <row r="145" customFormat="false" ht="15" hidden="false" customHeight="false" outlineLevel="0" collapsed="false">
      <c r="A145" s="12"/>
      <c r="B145" s="12"/>
      <c r="C145" s="12"/>
      <c r="D145" s="13"/>
      <c r="E145" s="13"/>
      <c r="F145" s="14"/>
      <c r="G145" s="12"/>
      <c r="H145" s="12"/>
      <c r="I145" s="12"/>
      <c r="J145" s="14"/>
      <c r="K145" s="15" t="str">
        <f aca="false">IF(OR(I145="",J145=""),"",I145*J145)</f>
        <v/>
      </c>
      <c r="L145" s="12"/>
      <c r="M145" s="16"/>
      <c r="N145" s="15" t="str">
        <f aca="false">IF(OR(L145="",M145="",K145=""),"",IF(L145="GANANCIA",(K145-F145)*M145,IF(L145="BRUTO",K145*M145,"")))</f>
        <v/>
      </c>
      <c r="O145" s="17" t="str">
        <f aca="false">IF(D145="","",D145)</f>
        <v/>
      </c>
      <c r="P145" s="18" t="str">
        <f aca="false">IF(I145="","",IF(COUNTIF(Q145:AN145,TRUE())&gt;=I145,"PAGADO",IF(COUNTIF(Q145:AN145,TRUE())&gt;0,"PARCIAL","VIGENTE")))</f>
        <v/>
      </c>
      <c r="Q145" s="19" t="str">
        <f aca="false">IF(OR(I145="",I145&lt;1,O145=""),"",O145+0)</f>
        <v/>
      </c>
      <c r="R145" s="19" t="str">
        <f aca="false">IF(OR(I145="",I145&lt;2,O145=""),"",O145+30)</f>
        <v/>
      </c>
      <c r="S145" s="19" t="str">
        <f aca="false">IF(OR(I145="",I145&lt;3,O145=""),"",O145+60)</f>
        <v/>
      </c>
      <c r="T145" s="19" t="str">
        <f aca="false">IF(OR(I145="",I145&lt;4,O145=""),"",O145+90)</f>
        <v/>
      </c>
      <c r="U145" s="19" t="str">
        <f aca="false">IF(OR(I145="",I145&lt;5,O145=""),"",O145+120)</f>
        <v/>
      </c>
      <c r="V145" s="19" t="str">
        <f aca="false">IF(OR(I145="",I145&lt;6,O145=""),"",O145+150)</f>
        <v/>
      </c>
      <c r="W145" s="19" t="str">
        <f aca="false">IF(OR(I145="",I145&lt;7,O145=""),"",O145+180)</f>
        <v/>
      </c>
      <c r="X145" s="19" t="str">
        <f aca="false">IF(OR(I145="",I145&lt;8,O145=""),"",O145+210)</f>
        <v/>
      </c>
      <c r="Y145" s="19" t="str">
        <f aca="false">IF(OR(I145="",I145&lt;9,O145=""),"",O145+240)</f>
        <v/>
      </c>
      <c r="Z145" s="19" t="str">
        <f aca="false">IF(OR(I145="",I145&lt;10,O145=""),"",O145+270)</f>
        <v/>
      </c>
      <c r="AA145" s="19" t="str">
        <f aca="false">IF(OR(I145="",I145&lt;11,O145=""),"",O145+300)</f>
        <v/>
      </c>
      <c r="AB145" s="19" t="str">
        <f aca="false">IF(OR(I145="",I145&lt;12,O145=""),"",O145+330)</f>
        <v/>
      </c>
      <c r="AC145" s="19" t="str">
        <f aca="false">IF(OR(I145="",I145&lt;13,O145=""),"",O145+360)</f>
        <v/>
      </c>
      <c r="AD145" s="19" t="str">
        <f aca="false">IF(OR(I145="",I145&lt;14,O145=""),"",O145+390)</f>
        <v/>
      </c>
      <c r="AE145" s="19" t="str">
        <f aca="false">IF(OR(I145="",I145&lt;15,O145=""),"",O145+420)</f>
        <v/>
      </c>
      <c r="AF145" s="19" t="str">
        <f aca="false">IF(OR(I145="",I145&lt;16,O145=""),"",O145+450)</f>
        <v/>
      </c>
      <c r="AG145" s="19" t="str">
        <f aca="false">IF(OR(I145="",I145&lt;17,O145=""),"",O145+480)</f>
        <v/>
      </c>
      <c r="AH145" s="19" t="str">
        <f aca="false">IF(OR(I145="",I145&lt;18,O145=""),"",O145+510)</f>
        <v/>
      </c>
      <c r="AI145" s="19" t="str">
        <f aca="false">IF(OR(I145="",I145&lt;19,O145=""),"",O145+540)</f>
        <v/>
      </c>
      <c r="AJ145" s="19" t="str">
        <f aca="false">IF(OR(I145="",I145&lt;20,O145=""),"",O145+570)</f>
        <v/>
      </c>
      <c r="AK145" s="19" t="str">
        <f aca="false">IF(OR(I145="",I145&lt;21,O145=""),"",O145+600)</f>
        <v/>
      </c>
      <c r="AL145" s="19" t="str">
        <f aca="false">IF(OR(I145="",I145&lt;22,O145=""),"",O145+630)</f>
        <v/>
      </c>
      <c r="AM145" s="19" t="str">
        <f aca="false">IF(OR(I145="",I145&lt;23,O145=""),"",O145+660)</f>
        <v/>
      </c>
      <c r="AN145" s="19" t="str">
        <f aca="false">IF(OR(I145="",I145&lt;24,O145=""),"",O145+690)</f>
        <v/>
      </c>
      <c r="AO145" s="15" t="str">
        <f aca="false">IF(J145="","",COUNTIF(Q145:AN145,TRUE())*J145)</f>
        <v/>
      </c>
      <c r="AP145" s="15" t="str">
        <f aca="false">IF(K145="","",K145-AO145)</f>
        <v/>
      </c>
      <c r="AQ145" s="15" t="str">
        <f aca="false">IF(K145="","",K145-F145-IF(N145="",0,N145))</f>
        <v/>
      </c>
    </row>
    <row r="146" customFormat="false" ht="15" hidden="false" customHeight="false" outlineLevel="0" collapsed="false">
      <c r="A146" s="4"/>
      <c r="B146" s="4"/>
      <c r="C146" s="4"/>
      <c r="D146" s="5"/>
      <c r="E146" s="5"/>
      <c r="F146" s="6"/>
      <c r="G146" s="4"/>
      <c r="H146" s="4"/>
      <c r="I146" s="4"/>
      <c r="J146" s="6"/>
      <c r="K146" s="7" t="str">
        <f aca="false">IF(OR(I146="",J146=""),"",I146*J146)</f>
        <v/>
      </c>
      <c r="L146" s="4"/>
      <c r="M146" s="8"/>
      <c r="N146" s="7" t="str">
        <f aca="false">IF(OR(L146="",M146="",K146=""),"",IF(L146="GANANCIA",(K146-F146)*M146,IF(L146="BRUTO",K146*M146,"")))</f>
        <v/>
      </c>
      <c r="O146" s="9" t="str">
        <f aca="false">IF(D146="","",D146)</f>
        <v/>
      </c>
      <c r="P146" s="10" t="str">
        <f aca="false">IF(I146="","",IF(COUNTIF(Q146:AN146,TRUE())&gt;=I146,"PAGADO",IF(COUNTIF(Q146:AN146,TRUE())&gt;0,"PARCIAL","VIGENTE")))</f>
        <v/>
      </c>
      <c r="Q146" s="11" t="str">
        <f aca="false">IF(OR(I146="",I146&lt;1,O146=""),"",O146+0)</f>
        <v/>
      </c>
      <c r="R146" s="11" t="str">
        <f aca="false">IF(OR(I146="",I146&lt;2,O146=""),"",O146+30)</f>
        <v/>
      </c>
      <c r="S146" s="11" t="str">
        <f aca="false">IF(OR(I146="",I146&lt;3,O146=""),"",O146+60)</f>
        <v/>
      </c>
      <c r="T146" s="11" t="str">
        <f aca="false">IF(OR(I146="",I146&lt;4,O146=""),"",O146+90)</f>
        <v/>
      </c>
      <c r="U146" s="11" t="str">
        <f aca="false">IF(OR(I146="",I146&lt;5,O146=""),"",O146+120)</f>
        <v/>
      </c>
      <c r="V146" s="11" t="str">
        <f aca="false">IF(OR(I146="",I146&lt;6,O146=""),"",O146+150)</f>
        <v/>
      </c>
      <c r="W146" s="11" t="str">
        <f aca="false">IF(OR(I146="",I146&lt;7,O146=""),"",O146+180)</f>
        <v/>
      </c>
      <c r="X146" s="11" t="str">
        <f aca="false">IF(OR(I146="",I146&lt;8,O146=""),"",O146+210)</f>
        <v/>
      </c>
      <c r="Y146" s="11" t="str">
        <f aca="false">IF(OR(I146="",I146&lt;9,O146=""),"",O146+240)</f>
        <v/>
      </c>
      <c r="Z146" s="11" t="str">
        <f aca="false">IF(OR(I146="",I146&lt;10,O146=""),"",O146+270)</f>
        <v/>
      </c>
      <c r="AA146" s="11" t="str">
        <f aca="false">IF(OR(I146="",I146&lt;11,O146=""),"",O146+300)</f>
        <v/>
      </c>
      <c r="AB146" s="11" t="str">
        <f aca="false">IF(OR(I146="",I146&lt;12,O146=""),"",O146+330)</f>
        <v/>
      </c>
      <c r="AC146" s="11" t="str">
        <f aca="false">IF(OR(I146="",I146&lt;13,O146=""),"",O146+360)</f>
        <v/>
      </c>
      <c r="AD146" s="11" t="str">
        <f aca="false">IF(OR(I146="",I146&lt;14,O146=""),"",O146+390)</f>
        <v/>
      </c>
      <c r="AE146" s="11" t="str">
        <f aca="false">IF(OR(I146="",I146&lt;15,O146=""),"",O146+420)</f>
        <v/>
      </c>
      <c r="AF146" s="11" t="str">
        <f aca="false">IF(OR(I146="",I146&lt;16,O146=""),"",O146+450)</f>
        <v/>
      </c>
      <c r="AG146" s="11" t="str">
        <f aca="false">IF(OR(I146="",I146&lt;17,O146=""),"",O146+480)</f>
        <v/>
      </c>
      <c r="AH146" s="11" t="str">
        <f aca="false">IF(OR(I146="",I146&lt;18,O146=""),"",O146+510)</f>
        <v/>
      </c>
      <c r="AI146" s="11" t="str">
        <f aca="false">IF(OR(I146="",I146&lt;19,O146=""),"",O146+540)</f>
        <v/>
      </c>
      <c r="AJ146" s="11" t="str">
        <f aca="false">IF(OR(I146="",I146&lt;20,O146=""),"",O146+570)</f>
        <v/>
      </c>
      <c r="AK146" s="11" t="str">
        <f aca="false">IF(OR(I146="",I146&lt;21,O146=""),"",O146+600)</f>
        <v/>
      </c>
      <c r="AL146" s="11" t="str">
        <f aca="false">IF(OR(I146="",I146&lt;22,O146=""),"",O146+630)</f>
        <v/>
      </c>
      <c r="AM146" s="11" t="str">
        <f aca="false">IF(OR(I146="",I146&lt;23,O146=""),"",O146+660)</f>
        <v/>
      </c>
      <c r="AN146" s="11" t="str">
        <f aca="false">IF(OR(I146="",I146&lt;24,O146=""),"",O146+690)</f>
        <v/>
      </c>
      <c r="AO146" s="7" t="str">
        <f aca="false">IF(J146="","",COUNTIF(Q146:AN146,TRUE())*J146)</f>
        <v/>
      </c>
      <c r="AP146" s="7" t="str">
        <f aca="false">IF(K146="","",K146-AO146)</f>
        <v/>
      </c>
      <c r="AQ146" s="7" t="str">
        <f aca="false">IF(K146="","",K146-F146-IF(N146="",0,N146))</f>
        <v/>
      </c>
    </row>
    <row r="147" customFormat="false" ht="15" hidden="false" customHeight="false" outlineLevel="0" collapsed="false">
      <c r="A147" s="12"/>
      <c r="B147" s="12"/>
      <c r="C147" s="12"/>
      <c r="D147" s="13"/>
      <c r="E147" s="13"/>
      <c r="F147" s="14"/>
      <c r="G147" s="12"/>
      <c r="H147" s="12"/>
      <c r="I147" s="12"/>
      <c r="J147" s="14"/>
      <c r="K147" s="15" t="str">
        <f aca="false">IF(OR(I147="",J147=""),"",I147*J147)</f>
        <v/>
      </c>
      <c r="L147" s="12"/>
      <c r="M147" s="16"/>
      <c r="N147" s="15" t="str">
        <f aca="false">IF(OR(L147="",M147="",K147=""),"",IF(L147="GANANCIA",(K147-F147)*M147,IF(L147="BRUTO",K147*M147,"")))</f>
        <v/>
      </c>
      <c r="O147" s="17" t="str">
        <f aca="false">IF(D147="","",D147)</f>
        <v/>
      </c>
      <c r="P147" s="18" t="str">
        <f aca="false">IF(I147="","",IF(COUNTIF(Q147:AN147,TRUE())&gt;=I147,"PAGADO",IF(COUNTIF(Q147:AN147,TRUE())&gt;0,"PARCIAL","VIGENTE")))</f>
        <v/>
      </c>
      <c r="Q147" s="19" t="str">
        <f aca="false">IF(OR(I147="",I147&lt;1,O147=""),"",O147+0)</f>
        <v/>
      </c>
      <c r="R147" s="19" t="str">
        <f aca="false">IF(OR(I147="",I147&lt;2,O147=""),"",O147+30)</f>
        <v/>
      </c>
      <c r="S147" s="19" t="str">
        <f aca="false">IF(OR(I147="",I147&lt;3,O147=""),"",O147+60)</f>
        <v/>
      </c>
      <c r="T147" s="19" t="str">
        <f aca="false">IF(OR(I147="",I147&lt;4,O147=""),"",O147+90)</f>
        <v/>
      </c>
      <c r="U147" s="19" t="str">
        <f aca="false">IF(OR(I147="",I147&lt;5,O147=""),"",O147+120)</f>
        <v/>
      </c>
      <c r="V147" s="19" t="str">
        <f aca="false">IF(OR(I147="",I147&lt;6,O147=""),"",O147+150)</f>
        <v/>
      </c>
      <c r="W147" s="19" t="str">
        <f aca="false">IF(OR(I147="",I147&lt;7,O147=""),"",O147+180)</f>
        <v/>
      </c>
      <c r="X147" s="19" t="str">
        <f aca="false">IF(OR(I147="",I147&lt;8,O147=""),"",O147+210)</f>
        <v/>
      </c>
      <c r="Y147" s="19" t="str">
        <f aca="false">IF(OR(I147="",I147&lt;9,O147=""),"",O147+240)</f>
        <v/>
      </c>
      <c r="Z147" s="19" t="str">
        <f aca="false">IF(OR(I147="",I147&lt;10,O147=""),"",O147+270)</f>
        <v/>
      </c>
      <c r="AA147" s="19" t="str">
        <f aca="false">IF(OR(I147="",I147&lt;11,O147=""),"",O147+300)</f>
        <v/>
      </c>
      <c r="AB147" s="19" t="str">
        <f aca="false">IF(OR(I147="",I147&lt;12,O147=""),"",O147+330)</f>
        <v/>
      </c>
      <c r="AC147" s="19" t="str">
        <f aca="false">IF(OR(I147="",I147&lt;13,O147=""),"",O147+360)</f>
        <v/>
      </c>
      <c r="AD147" s="19" t="str">
        <f aca="false">IF(OR(I147="",I147&lt;14,O147=""),"",O147+390)</f>
        <v/>
      </c>
      <c r="AE147" s="19" t="str">
        <f aca="false">IF(OR(I147="",I147&lt;15,O147=""),"",O147+420)</f>
        <v/>
      </c>
      <c r="AF147" s="19" t="str">
        <f aca="false">IF(OR(I147="",I147&lt;16,O147=""),"",O147+450)</f>
        <v/>
      </c>
      <c r="AG147" s="19" t="str">
        <f aca="false">IF(OR(I147="",I147&lt;17,O147=""),"",O147+480)</f>
        <v/>
      </c>
      <c r="AH147" s="19" t="str">
        <f aca="false">IF(OR(I147="",I147&lt;18,O147=""),"",O147+510)</f>
        <v/>
      </c>
      <c r="AI147" s="19" t="str">
        <f aca="false">IF(OR(I147="",I147&lt;19,O147=""),"",O147+540)</f>
        <v/>
      </c>
      <c r="AJ147" s="19" t="str">
        <f aca="false">IF(OR(I147="",I147&lt;20,O147=""),"",O147+570)</f>
        <v/>
      </c>
      <c r="AK147" s="19" t="str">
        <f aca="false">IF(OR(I147="",I147&lt;21,O147=""),"",O147+600)</f>
        <v/>
      </c>
      <c r="AL147" s="19" t="str">
        <f aca="false">IF(OR(I147="",I147&lt;22,O147=""),"",O147+630)</f>
        <v/>
      </c>
      <c r="AM147" s="19" t="str">
        <f aca="false">IF(OR(I147="",I147&lt;23,O147=""),"",O147+660)</f>
        <v/>
      </c>
      <c r="AN147" s="19" t="str">
        <f aca="false">IF(OR(I147="",I147&lt;24,O147=""),"",O147+690)</f>
        <v/>
      </c>
      <c r="AO147" s="15" t="str">
        <f aca="false">IF(J147="","",COUNTIF(Q147:AN147,TRUE())*J147)</f>
        <v/>
      </c>
      <c r="AP147" s="15" t="str">
        <f aca="false">IF(K147="","",K147-AO147)</f>
        <v/>
      </c>
      <c r="AQ147" s="15" t="str">
        <f aca="false">IF(K147="","",K147-F147-IF(N147="",0,N147))</f>
        <v/>
      </c>
    </row>
    <row r="148" customFormat="false" ht="15" hidden="false" customHeight="false" outlineLevel="0" collapsed="false">
      <c r="A148" s="4"/>
      <c r="B148" s="4"/>
      <c r="C148" s="4"/>
      <c r="D148" s="5"/>
      <c r="E148" s="5"/>
      <c r="F148" s="6"/>
      <c r="G148" s="4"/>
      <c r="H148" s="4"/>
      <c r="I148" s="4"/>
      <c r="J148" s="6"/>
      <c r="K148" s="7" t="str">
        <f aca="false">IF(OR(I148="",J148=""),"",I148*J148)</f>
        <v/>
      </c>
      <c r="L148" s="4"/>
      <c r="M148" s="8"/>
      <c r="N148" s="7" t="str">
        <f aca="false">IF(OR(L148="",M148="",K148=""),"",IF(L148="GANANCIA",(K148-F148)*M148,IF(L148="BRUTO",K148*M148,"")))</f>
        <v/>
      </c>
      <c r="O148" s="9" t="str">
        <f aca="false">IF(D148="","",D148)</f>
        <v/>
      </c>
      <c r="P148" s="10" t="str">
        <f aca="false">IF(I148="","",IF(COUNTIF(Q148:AN148,TRUE())&gt;=I148,"PAGADO",IF(COUNTIF(Q148:AN148,TRUE())&gt;0,"PARCIAL","VIGENTE")))</f>
        <v/>
      </c>
      <c r="Q148" s="11" t="str">
        <f aca="false">IF(OR(I148="",I148&lt;1,O148=""),"",O148+0)</f>
        <v/>
      </c>
      <c r="R148" s="11" t="str">
        <f aca="false">IF(OR(I148="",I148&lt;2,O148=""),"",O148+30)</f>
        <v/>
      </c>
      <c r="S148" s="11" t="str">
        <f aca="false">IF(OR(I148="",I148&lt;3,O148=""),"",O148+60)</f>
        <v/>
      </c>
      <c r="T148" s="11" t="str">
        <f aca="false">IF(OR(I148="",I148&lt;4,O148=""),"",O148+90)</f>
        <v/>
      </c>
      <c r="U148" s="11" t="str">
        <f aca="false">IF(OR(I148="",I148&lt;5,O148=""),"",O148+120)</f>
        <v/>
      </c>
      <c r="V148" s="11" t="str">
        <f aca="false">IF(OR(I148="",I148&lt;6,O148=""),"",O148+150)</f>
        <v/>
      </c>
      <c r="W148" s="11" t="str">
        <f aca="false">IF(OR(I148="",I148&lt;7,O148=""),"",O148+180)</f>
        <v/>
      </c>
      <c r="X148" s="11" t="str">
        <f aca="false">IF(OR(I148="",I148&lt;8,O148=""),"",O148+210)</f>
        <v/>
      </c>
      <c r="Y148" s="11" t="str">
        <f aca="false">IF(OR(I148="",I148&lt;9,O148=""),"",O148+240)</f>
        <v/>
      </c>
      <c r="Z148" s="11" t="str">
        <f aca="false">IF(OR(I148="",I148&lt;10,O148=""),"",O148+270)</f>
        <v/>
      </c>
      <c r="AA148" s="11" t="str">
        <f aca="false">IF(OR(I148="",I148&lt;11,O148=""),"",O148+300)</f>
        <v/>
      </c>
      <c r="AB148" s="11" t="str">
        <f aca="false">IF(OR(I148="",I148&lt;12,O148=""),"",O148+330)</f>
        <v/>
      </c>
      <c r="AC148" s="11" t="str">
        <f aca="false">IF(OR(I148="",I148&lt;13,O148=""),"",O148+360)</f>
        <v/>
      </c>
      <c r="AD148" s="11" t="str">
        <f aca="false">IF(OR(I148="",I148&lt;14,O148=""),"",O148+390)</f>
        <v/>
      </c>
      <c r="AE148" s="11" t="str">
        <f aca="false">IF(OR(I148="",I148&lt;15,O148=""),"",O148+420)</f>
        <v/>
      </c>
      <c r="AF148" s="11" t="str">
        <f aca="false">IF(OR(I148="",I148&lt;16,O148=""),"",O148+450)</f>
        <v/>
      </c>
      <c r="AG148" s="11" t="str">
        <f aca="false">IF(OR(I148="",I148&lt;17,O148=""),"",O148+480)</f>
        <v/>
      </c>
      <c r="AH148" s="11" t="str">
        <f aca="false">IF(OR(I148="",I148&lt;18,O148=""),"",O148+510)</f>
        <v/>
      </c>
      <c r="AI148" s="11" t="str">
        <f aca="false">IF(OR(I148="",I148&lt;19,O148=""),"",O148+540)</f>
        <v/>
      </c>
      <c r="AJ148" s="11" t="str">
        <f aca="false">IF(OR(I148="",I148&lt;20,O148=""),"",O148+570)</f>
        <v/>
      </c>
      <c r="AK148" s="11" t="str">
        <f aca="false">IF(OR(I148="",I148&lt;21,O148=""),"",O148+600)</f>
        <v/>
      </c>
      <c r="AL148" s="11" t="str">
        <f aca="false">IF(OR(I148="",I148&lt;22,O148=""),"",O148+630)</f>
        <v/>
      </c>
      <c r="AM148" s="11" t="str">
        <f aca="false">IF(OR(I148="",I148&lt;23,O148=""),"",O148+660)</f>
        <v/>
      </c>
      <c r="AN148" s="11" t="str">
        <f aca="false">IF(OR(I148="",I148&lt;24,O148=""),"",O148+690)</f>
        <v/>
      </c>
      <c r="AO148" s="7" t="str">
        <f aca="false">IF(J148="","",COUNTIF(Q148:AN148,TRUE())*J148)</f>
        <v/>
      </c>
      <c r="AP148" s="7" t="str">
        <f aca="false">IF(K148="","",K148-AO148)</f>
        <v/>
      </c>
      <c r="AQ148" s="7" t="str">
        <f aca="false">IF(K148="","",K148-F148-IF(N148="",0,N148))</f>
        <v/>
      </c>
    </row>
    <row r="149" customFormat="false" ht="15" hidden="false" customHeight="false" outlineLevel="0" collapsed="false">
      <c r="A149" s="12"/>
      <c r="B149" s="12"/>
      <c r="C149" s="12"/>
      <c r="D149" s="13"/>
      <c r="E149" s="13"/>
      <c r="F149" s="14"/>
      <c r="G149" s="12"/>
      <c r="H149" s="12"/>
      <c r="I149" s="12"/>
      <c r="J149" s="14"/>
      <c r="K149" s="15" t="str">
        <f aca="false">IF(OR(I149="",J149=""),"",I149*J149)</f>
        <v/>
      </c>
      <c r="L149" s="12"/>
      <c r="M149" s="16"/>
      <c r="N149" s="15" t="str">
        <f aca="false">IF(OR(L149="",M149="",K149=""),"",IF(L149="GANANCIA",(K149-F149)*M149,IF(L149="BRUTO",K149*M149,"")))</f>
        <v/>
      </c>
      <c r="O149" s="17" t="str">
        <f aca="false">IF(D149="","",D149)</f>
        <v/>
      </c>
      <c r="P149" s="18" t="str">
        <f aca="false">IF(I149="","",IF(COUNTIF(Q149:AN149,TRUE())&gt;=I149,"PAGADO",IF(COUNTIF(Q149:AN149,TRUE())&gt;0,"PARCIAL","VIGENTE")))</f>
        <v/>
      </c>
      <c r="Q149" s="19" t="str">
        <f aca="false">IF(OR(I149="",I149&lt;1,O149=""),"",O149+0)</f>
        <v/>
      </c>
      <c r="R149" s="19" t="str">
        <f aca="false">IF(OR(I149="",I149&lt;2,O149=""),"",O149+30)</f>
        <v/>
      </c>
      <c r="S149" s="19" t="str">
        <f aca="false">IF(OR(I149="",I149&lt;3,O149=""),"",O149+60)</f>
        <v/>
      </c>
      <c r="T149" s="19" t="str">
        <f aca="false">IF(OR(I149="",I149&lt;4,O149=""),"",O149+90)</f>
        <v/>
      </c>
      <c r="U149" s="19" t="str">
        <f aca="false">IF(OR(I149="",I149&lt;5,O149=""),"",O149+120)</f>
        <v/>
      </c>
      <c r="V149" s="19" t="str">
        <f aca="false">IF(OR(I149="",I149&lt;6,O149=""),"",O149+150)</f>
        <v/>
      </c>
      <c r="W149" s="19" t="str">
        <f aca="false">IF(OR(I149="",I149&lt;7,O149=""),"",O149+180)</f>
        <v/>
      </c>
      <c r="X149" s="19" t="str">
        <f aca="false">IF(OR(I149="",I149&lt;8,O149=""),"",O149+210)</f>
        <v/>
      </c>
      <c r="Y149" s="19" t="str">
        <f aca="false">IF(OR(I149="",I149&lt;9,O149=""),"",O149+240)</f>
        <v/>
      </c>
      <c r="Z149" s="19" t="str">
        <f aca="false">IF(OR(I149="",I149&lt;10,O149=""),"",O149+270)</f>
        <v/>
      </c>
      <c r="AA149" s="19" t="str">
        <f aca="false">IF(OR(I149="",I149&lt;11,O149=""),"",O149+300)</f>
        <v/>
      </c>
      <c r="AB149" s="19" t="str">
        <f aca="false">IF(OR(I149="",I149&lt;12,O149=""),"",O149+330)</f>
        <v/>
      </c>
      <c r="AC149" s="19" t="str">
        <f aca="false">IF(OR(I149="",I149&lt;13,O149=""),"",O149+360)</f>
        <v/>
      </c>
      <c r="AD149" s="19" t="str">
        <f aca="false">IF(OR(I149="",I149&lt;14,O149=""),"",O149+390)</f>
        <v/>
      </c>
      <c r="AE149" s="19" t="str">
        <f aca="false">IF(OR(I149="",I149&lt;15,O149=""),"",O149+420)</f>
        <v/>
      </c>
      <c r="AF149" s="19" t="str">
        <f aca="false">IF(OR(I149="",I149&lt;16,O149=""),"",O149+450)</f>
        <v/>
      </c>
      <c r="AG149" s="19" t="str">
        <f aca="false">IF(OR(I149="",I149&lt;17,O149=""),"",O149+480)</f>
        <v/>
      </c>
      <c r="AH149" s="19" t="str">
        <f aca="false">IF(OR(I149="",I149&lt;18,O149=""),"",O149+510)</f>
        <v/>
      </c>
      <c r="AI149" s="19" t="str">
        <f aca="false">IF(OR(I149="",I149&lt;19,O149=""),"",O149+540)</f>
        <v/>
      </c>
      <c r="AJ149" s="19" t="str">
        <f aca="false">IF(OR(I149="",I149&lt;20,O149=""),"",O149+570)</f>
        <v/>
      </c>
      <c r="AK149" s="19" t="str">
        <f aca="false">IF(OR(I149="",I149&lt;21,O149=""),"",O149+600)</f>
        <v/>
      </c>
      <c r="AL149" s="19" t="str">
        <f aca="false">IF(OR(I149="",I149&lt;22,O149=""),"",O149+630)</f>
        <v/>
      </c>
      <c r="AM149" s="19" t="str">
        <f aca="false">IF(OR(I149="",I149&lt;23,O149=""),"",O149+660)</f>
        <v/>
      </c>
      <c r="AN149" s="19" t="str">
        <f aca="false">IF(OR(I149="",I149&lt;24,O149=""),"",O149+690)</f>
        <v/>
      </c>
      <c r="AO149" s="15" t="str">
        <f aca="false">IF(J149="","",COUNTIF(Q149:AN149,TRUE())*J149)</f>
        <v/>
      </c>
      <c r="AP149" s="15" t="str">
        <f aca="false">IF(K149="","",K149-AO149)</f>
        <v/>
      </c>
      <c r="AQ149" s="15" t="str">
        <f aca="false">IF(K149="","",K149-F149-IF(N149="",0,N149))</f>
        <v/>
      </c>
    </row>
    <row r="150" customFormat="false" ht="15" hidden="false" customHeight="false" outlineLevel="0" collapsed="false">
      <c r="A150" s="4"/>
      <c r="B150" s="4"/>
      <c r="C150" s="4"/>
      <c r="D150" s="5"/>
      <c r="E150" s="5"/>
      <c r="F150" s="6"/>
      <c r="G150" s="4"/>
      <c r="H150" s="4"/>
      <c r="I150" s="4"/>
      <c r="J150" s="6"/>
      <c r="K150" s="7" t="str">
        <f aca="false">IF(OR(I150="",J150=""),"",I150*J150)</f>
        <v/>
      </c>
      <c r="L150" s="4"/>
      <c r="M150" s="8"/>
      <c r="N150" s="7" t="str">
        <f aca="false">IF(OR(L150="",M150="",K150=""),"",IF(L150="GANANCIA",(K150-F150)*M150,IF(L150="BRUTO",K150*M150,"")))</f>
        <v/>
      </c>
      <c r="O150" s="9" t="str">
        <f aca="false">IF(D150="","",D150)</f>
        <v/>
      </c>
      <c r="P150" s="10" t="str">
        <f aca="false">IF(I150="","",IF(COUNTIF(Q150:AN150,TRUE())&gt;=I150,"PAGADO",IF(COUNTIF(Q150:AN150,TRUE())&gt;0,"PARCIAL","VIGENTE")))</f>
        <v/>
      </c>
      <c r="Q150" s="11" t="str">
        <f aca="false">IF(OR(I150="",I150&lt;1,O150=""),"",O150+0)</f>
        <v/>
      </c>
      <c r="R150" s="11" t="str">
        <f aca="false">IF(OR(I150="",I150&lt;2,O150=""),"",O150+30)</f>
        <v/>
      </c>
      <c r="S150" s="11" t="str">
        <f aca="false">IF(OR(I150="",I150&lt;3,O150=""),"",O150+60)</f>
        <v/>
      </c>
      <c r="T150" s="11" t="str">
        <f aca="false">IF(OR(I150="",I150&lt;4,O150=""),"",O150+90)</f>
        <v/>
      </c>
      <c r="U150" s="11" t="str">
        <f aca="false">IF(OR(I150="",I150&lt;5,O150=""),"",O150+120)</f>
        <v/>
      </c>
      <c r="V150" s="11" t="str">
        <f aca="false">IF(OR(I150="",I150&lt;6,O150=""),"",O150+150)</f>
        <v/>
      </c>
      <c r="W150" s="11" t="str">
        <f aca="false">IF(OR(I150="",I150&lt;7,O150=""),"",O150+180)</f>
        <v/>
      </c>
      <c r="X150" s="11" t="str">
        <f aca="false">IF(OR(I150="",I150&lt;8,O150=""),"",O150+210)</f>
        <v/>
      </c>
      <c r="Y150" s="11" t="str">
        <f aca="false">IF(OR(I150="",I150&lt;9,O150=""),"",O150+240)</f>
        <v/>
      </c>
      <c r="Z150" s="11" t="str">
        <f aca="false">IF(OR(I150="",I150&lt;10,O150=""),"",O150+270)</f>
        <v/>
      </c>
      <c r="AA150" s="11" t="str">
        <f aca="false">IF(OR(I150="",I150&lt;11,O150=""),"",O150+300)</f>
        <v/>
      </c>
      <c r="AB150" s="11" t="str">
        <f aca="false">IF(OR(I150="",I150&lt;12,O150=""),"",O150+330)</f>
        <v/>
      </c>
      <c r="AC150" s="11" t="str">
        <f aca="false">IF(OR(I150="",I150&lt;13,O150=""),"",O150+360)</f>
        <v/>
      </c>
      <c r="AD150" s="11" t="str">
        <f aca="false">IF(OR(I150="",I150&lt;14,O150=""),"",O150+390)</f>
        <v/>
      </c>
      <c r="AE150" s="11" t="str">
        <f aca="false">IF(OR(I150="",I150&lt;15,O150=""),"",O150+420)</f>
        <v/>
      </c>
      <c r="AF150" s="11" t="str">
        <f aca="false">IF(OR(I150="",I150&lt;16,O150=""),"",O150+450)</f>
        <v/>
      </c>
      <c r="AG150" s="11" t="str">
        <f aca="false">IF(OR(I150="",I150&lt;17,O150=""),"",O150+480)</f>
        <v/>
      </c>
      <c r="AH150" s="11" t="str">
        <f aca="false">IF(OR(I150="",I150&lt;18,O150=""),"",O150+510)</f>
        <v/>
      </c>
      <c r="AI150" s="11" t="str">
        <f aca="false">IF(OR(I150="",I150&lt;19,O150=""),"",O150+540)</f>
        <v/>
      </c>
      <c r="AJ150" s="11" t="str">
        <f aca="false">IF(OR(I150="",I150&lt;20,O150=""),"",O150+570)</f>
        <v/>
      </c>
      <c r="AK150" s="11" t="str">
        <f aca="false">IF(OR(I150="",I150&lt;21,O150=""),"",O150+600)</f>
        <v/>
      </c>
      <c r="AL150" s="11" t="str">
        <f aca="false">IF(OR(I150="",I150&lt;22,O150=""),"",O150+630)</f>
        <v/>
      </c>
      <c r="AM150" s="11" t="str">
        <f aca="false">IF(OR(I150="",I150&lt;23,O150=""),"",O150+660)</f>
        <v/>
      </c>
      <c r="AN150" s="11" t="str">
        <f aca="false">IF(OR(I150="",I150&lt;24,O150=""),"",O150+690)</f>
        <v/>
      </c>
      <c r="AO150" s="7" t="str">
        <f aca="false">IF(J150="","",COUNTIF(Q150:AN150,TRUE())*J150)</f>
        <v/>
      </c>
      <c r="AP150" s="7" t="str">
        <f aca="false">IF(K150="","",K150-AO150)</f>
        <v/>
      </c>
      <c r="AQ150" s="7" t="str">
        <f aca="false">IF(K150="","",K150-F150-IF(N150="",0,N150))</f>
        <v/>
      </c>
    </row>
    <row r="151" customFormat="false" ht="15" hidden="false" customHeight="false" outlineLevel="0" collapsed="false">
      <c r="A151" s="12"/>
      <c r="B151" s="12"/>
      <c r="C151" s="12"/>
      <c r="D151" s="13"/>
      <c r="E151" s="13"/>
      <c r="F151" s="14"/>
      <c r="G151" s="12"/>
      <c r="H151" s="12"/>
      <c r="I151" s="12"/>
      <c r="J151" s="14"/>
      <c r="K151" s="15" t="str">
        <f aca="false">IF(OR(I151="",J151=""),"",I151*J151)</f>
        <v/>
      </c>
      <c r="L151" s="12"/>
      <c r="M151" s="16"/>
      <c r="N151" s="15" t="str">
        <f aca="false">IF(OR(L151="",M151="",K151=""),"",IF(L151="GANANCIA",(K151-F151)*M151,IF(L151="BRUTO",K151*M151,"")))</f>
        <v/>
      </c>
      <c r="O151" s="17" t="str">
        <f aca="false">IF(D151="","",D151)</f>
        <v/>
      </c>
      <c r="P151" s="18" t="str">
        <f aca="false">IF(I151="","",IF(COUNTIF(Q151:AN151,TRUE())&gt;=I151,"PAGADO",IF(COUNTIF(Q151:AN151,TRUE())&gt;0,"PARCIAL","VIGENTE")))</f>
        <v/>
      </c>
      <c r="Q151" s="19" t="str">
        <f aca="false">IF(OR(I151="",I151&lt;1,O151=""),"",O151+0)</f>
        <v/>
      </c>
      <c r="R151" s="19" t="str">
        <f aca="false">IF(OR(I151="",I151&lt;2,O151=""),"",O151+30)</f>
        <v/>
      </c>
      <c r="S151" s="19" t="str">
        <f aca="false">IF(OR(I151="",I151&lt;3,O151=""),"",O151+60)</f>
        <v/>
      </c>
      <c r="T151" s="19" t="str">
        <f aca="false">IF(OR(I151="",I151&lt;4,O151=""),"",O151+90)</f>
        <v/>
      </c>
      <c r="U151" s="19" t="str">
        <f aca="false">IF(OR(I151="",I151&lt;5,O151=""),"",O151+120)</f>
        <v/>
      </c>
      <c r="V151" s="19" t="str">
        <f aca="false">IF(OR(I151="",I151&lt;6,O151=""),"",O151+150)</f>
        <v/>
      </c>
      <c r="W151" s="19" t="str">
        <f aca="false">IF(OR(I151="",I151&lt;7,O151=""),"",O151+180)</f>
        <v/>
      </c>
      <c r="X151" s="19" t="str">
        <f aca="false">IF(OR(I151="",I151&lt;8,O151=""),"",O151+210)</f>
        <v/>
      </c>
      <c r="Y151" s="19" t="str">
        <f aca="false">IF(OR(I151="",I151&lt;9,O151=""),"",O151+240)</f>
        <v/>
      </c>
      <c r="Z151" s="19" t="str">
        <f aca="false">IF(OR(I151="",I151&lt;10,O151=""),"",O151+270)</f>
        <v/>
      </c>
      <c r="AA151" s="19" t="str">
        <f aca="false">IF(OR(I151="",I151&lt;11,O151=""),"",O151+300)</f>
        <v/>
      </c>
      <c r="AB151" s="19" t="str">
        <f aca="false">IF(OR(I151="",I151&lt;12,O151=""),"",O151+330)</f>
        <v/>
      </c>
      <c r="AC151" s="19" t="str">
        <f aca="false">IF(OR(I151="",I151&lt;13,O151=""),"",O151+360)</f>
        <v/>
      </c>
      <c r="AD151" s="19" t="str">
        <f aca="false">IF(OR(I151="",I151&lt;14,O151=""),"",O151+390)</f>
        <v/>
      </c>
      <c r="AE151" s="19" t="str">
        <f aca="false">IF(OR(I151="",I151&lt;15,O151=""),"",O151+420)</f>
        <v/>
      </c>
      <c r="AF151" s="19" t="str">
        <f aca="false">IF(OR(I151="",I151&lt;16,O151=""),"",O151+450)</f>
        <v/>
      </c>
      <c r="AG151" s="19" t="str">
        <f aca="false">IF(OR(I151="",I151&lt;17,O151=""),"",O151+480)</f>
        <v/>
      </c>
      <c r="AH151" s="19" t="str">
        <f aca="false">IF(OR(I151="",I151&lt;18,O151=""),"",O151+510)</f>
        <v/>
      </c>
      <c r="AI151" s="19" t="str">
        <f aca="false">IF(OR(I151="",I151&lt;19,O151=""),"",O151+540)</f>
        <v/>
      </c>
      <c r="AJ151" s="19" t="str">
        <f aca="false">IF(OR(I151="",I151&lt;20,O151=""),"",O151+570)</f>
        <v/>
      </c>
      <c r="AK151" s="19" t="str">
        <f aca="false">IF(OR(I151="",I151&lt;21,O151=""),"",O151+600)</f>
        <v/>
      </c>
      <c r="AL151" s="19" t="str">
        <f aca="false">IF(OR(I151="",I151&lt;22,O151=""),"",O151+630)</f>
        <v/>
      </c>
      <c r="AM151" s="19" t="str">
        <f aca="false">IF(OR(I151="",I151&lt;23,O151=""),"",O151+660)</f>
        <v/>
      </c>
      <c r="AN151" s="19" t="str">
        <f aca="false">IF(OR(I151="",I151&lt;24,O151=""),"",O151+690)</f>
        <v/>
      </c>
      <c r="AO151" s="15" t="str">
        <f aca="false">IF(J151="","",COUNTIF(Q151:AN151,TRUE())*J151)</f>
        <v/>
      </c>
      <c r="AP151" s="15" t="str">
        <f aca="false">IF(K151="","",K151-AO151)</f>
        <v/>
      </c>
      <c r="AQ151" s="15" t="str">
        <f aca="false">IF(K151="","",K151-F151-IF(N151="",0,N151))</f>
        <v/>
      </c>
    </row>
    <row r="152" customFormat="false" ht="15" hidden="false" customHeight="false" outlineLevel="0" collapsed="false">
      <c r="A152" s="4"/>
      <c r="B152" s="4"/>
      <c r="C152" s="4"/>
      <c r="D152" s="5"/>
      <c r="E152" s="5"/>
      <c r="F152" s="6"/>
      <c r="G152" s="4"/>
      <c r="H152" s="4"/>
      <c r="I152" s="4"/>
      <c r="J152" s="6"/>
      <c r="K152" s="7" t="str">
        <f aca="false">IF(OR(I152="",J152=""),"",I152*J152)</f>
        <v/>
      </c>
      <c r="L152" s="4"/>
      <c r="M152" s="8"/>
      <c r="N152" s="7" t="str">
        <f aca="false">IF(OR(L152="",M152="",K152=""),"",IF(L152="GANANCIA",(K152-F152)*M152,IF(L152="BRUTO",K152*M152,"")))</f>
        <v/>
      </c>
      <c r="O152" s="9" t="str">
        <f aca="false">IF(D152="","",D152)</f>
        <v/>
      </c>
      <c r="P152" s="10" t="str">
        <f aca="false">IF(I152="","",IF(COUNTIF(Q152:AN152,TRUE())&gt;=I152,"PAGADO",IF(COUNTIF(Q152:AN152,TRUE())&gt;0,"PARCIAL","VIGENTE")))</f>
        <v/>
      </c>
      <c r="Q152" s="11" t="str">
        <f aca="false">IF(OR(I152="",I152&lt;1,O152=""),"",O152+0)</f>
        <v/>
      </c>
      <c r="R152" s="11" t="str">
        <f aca="false">IF(OR(I152="",I152&lt;2,O152=""),"",O152+30)</f>
        <v/>
      </c>
      <c r="S152" s="11" t="str">
        <f aca="false">IF(OR(I152="",I152&lt;3,O152=""),"",O152+60)</f>
        <v/>
      </c>
      <c r="T152" s="11" t="str">
        <f aca="false">IF(OR(I152="",I152&lt;4,O152=""),"",O152+90)</f>
        <v/>
      </c>
      <c r="U152" s="11" t="str">
        <f aca="false">IF(OR(I152="",I152&lt;5,O152=""),"",O152+120)</f>
        <v/>
      </c>
      <c r="V152" s="11" t="str">
        <f aca="false">IF(OR(I152="",I152&lt;6,O152=""),"",O152+150)</f>
        <v/>
      </c>
      <c r="W152" s="11" t="str">
        <f aca="false">IF(OR(I152="",I152&lt;7,O152=""),"",O152+180)</f>
        <v/>
      </c>
      <c r="X152" s="11" t="str">
        <f aca="false">IF(OR(I152="",I152&lt;8,O152=""),"",O152+210)</f>
        <v/>
      </c>
      <c r="Y152" s="11" t="str">
        <f aca="false">IF(OR(I152="",I152&lt;9,O152=""),"",O152+240)</f>
        <v/>
      </c>
      <c r="Z152" s="11" t="str">
        <f aca="false">IF(OR(I152="",I152&lt;10,O152=""),"",O152+270)</f>
        <v/>
      </c>
      <c r="AA152" s="11" t="str">
        <f aca="false">IF(OR(I152="",I152&lt;11,O152=""),"",O152+300)</f>
        <v/>
      </c>
      <c r="AB152" s="11" t="str">
        <f aca="false">IF(OR(I152="",I152&lt;12,O152=""),"",O152+330)</f>
        <v/>
      </c>
      <c r="AC152" s="11" t="str">
        <f aca="false">IF(OR(I152="",I152&lt;13,O152=""),"",O152+360)</f>
        <v/>
      </c>
      <c r="AD152" s="11" t="str">
        <f aca="false">IF(OR(I152="",I152&lt;14,O152=""),"",O152+390)</f>
        <v/>
      </c>
      <c r="AE152" s="11" t="str">
        <f aca="false">IF(OR(I152="",I152&lt;15,O152=""),"",O152+420)</f>
        <v/>
      </c>
      <c r="AF152" s="11" t="str">
        <f aca="false">IF(OR(I152="",I152&lt;16,O152=""),"",O152+450)</f>
        <v/>
      </c>
      <c r="AG152" s="11" t="str">
        <f aca="false">IF(OR(I152="",I152&lt;17,O152=""),"",O152+480)</f>
        <v/>
      </c>
      <c r="AH152" s="11" t="str">
        <f aca="false">IF(OR(I152="",I152&lt;18,O152=""),"",O152+510)</f>
        <v/>
      </c>
      <c r="AI152" s="11" t="str">
        <f aca="false">IF(OR(I152="",I152&lt;19,O152=""),"",O152+540)</f>
        <v/>
      </c>
      <c r="AJ152" s="11" t="str">
        <f aca="false">IF(OR(I152="",I152&lt;20,O152=""),"",O152+570)</f>
        <v/>
      </c>
      <c r="AK152" s="11" t="str">
        <f aca="false">IF(OR(I152="",I152&lt;21,O152=""),"",O152+600)</f>
        <v/>
      </c>
      <c r="AL152" s="11" t="str">
        <f aca="false">IF(OR(I152="",I152&lt;22,O152=""),"",O152+630)</f>
        <v/>
      </c>
      <c r="AM152" s="11" t="str">
        <f aca="false">IF(OR(I152="",I152&lt;23,O152=""),"",O152+660)</f>
        <v/>
      </c>
      <c r="AN152" s="11" t="str">
        <f aca="false">IF(OR(I152="",I152&lt;24,O152=""),"",O152+690)</f>
        <v/>
      </c>
      <c r="AO152" s="7" t="str">
        <f aca="false">IF(J152="","",COUNTIF(Q152:AN152,TRUE())*J152)</f>
        <v/>
      </c>
      <c r="AP152" s="7" t="str">
        <f aca="false">IF(K152="","",K152-AO152)</f>
        <v/>
      </c>
      <c r="AQ152" s="7" t="str">
        <f aca="false">IF(K152="","",K152-F152-IF(N152="",0,N152))</f>
        <v/>
      </c>
    </row>
    <row r="153" customFormat="false" ht="15" hidden="false" customHeight="false" outlineLevel="0" collapsed="false">
      <c r="A153" s="12"/>
      <c r="B153" s="12"/>
      <c r="C153" s="12"/>
      <c r="D153" s="13"/>
      <c r="E153" s="13"/>
      <c r="F153" s="14"/>
      <c r="G153" s="12"/>
      <c r="H153" s="12"/>
      <c r="I153" s="12"/>
      <c r="J153" s="14"/>
      <c r="K153" s="15" t="str">
        <f aca="false">IF(OR(I153="",J153=""),"",I153*J153)</f>
        <v/>
      </c>
      <c r="L153" s="12"/>
      <c r="M153" s="16"/>
      <c r="N153" s="15" t="str">
        <f aca="false">IF(OR(L153="",M153="",K153=""),"",IF(L153="GANANCIA",(K153-F153)*M153,IF(L153="BRUTO",K153*M153,"")))</f>
        <v/>
      </c>
      <c r="O153" s="17" t="str">
        <f aca="false">IF(D153="","",D153)</f>
        <v/>
      </c>
      <c r="P153" s="18" t="str">
        <f aca="false">IF(I153="","",IF(COUNTIF(Q153:AN153,TRUE())&gt;=I153,"PAGADO",IF(COUNTIF(Q153:AN153,TRUE())&gt;0,"PARCIAL","VIGENTE")))</f>
        <v/>
      </c>
      <c r="Q153" s="19" t="str">
        <f aca="false">IF(OR(I153="",I153&lt;1,O153=""),"",O153+0)</f>
        <v/>
      </c>
      <c r="R153" s="19" t="str">
        <f aca="false">IF(OR(I153="",I153&lt;2,O153=""),"",O153+30)</f>
        <v/>
      </c>
      <c r="S153" s="19" t="str">
        <f aca="false">IF(OR(I153="",I153&lt;3,O153=""),"",O153+60)</f>
        <v/>
      </c>
      <c r="T153" s="19" t="str">
        <f aca="false">IF(OR(I153="",I153&lt;4,O153=""),"",O153+90)</f>
        <v/>
      </c>
      <c r="U153" s="19" t="str">
        <f aca="false">IF(OR(I153="",I153&lt;5,O153=""),"",O153+120)</f>
        <v/>
      </c>
      <c r="V153" s="19" t="str">
        <f aca="false">IF(OR(I153="",I153&lt;6,O153=""),"",O153+150)</f>
        <v/>
      </c>
      <c r="W153" s="19" t="str">
        <f aca="false">IF(OR(I153="",I153&lt;7,O153=""),"",O153+180)</f>
        <v/>
      </c>
      <c r="X153" s="19" t="str">
        <f aca="false">IF(OR(I153="",I153&lt;8,O153=""),"",O153+210)</f>
        <v/>
      </c>
      <c r="Y153" s="19" t="str">
        <f aca="false">IF(OR(I153="",I153&lt;9,O153=""),"",O153+240)</f>
        <v/>
      </c>
      <c r="Z153" s="19" t="str">
        <f aca="false">IF(OR(I153="",I153&lt;10,O153=""),"",O153+270)</f>
        <v/>
      </c>
      <c r="AA153" s="19" t="str">
        <f aca="false">IF(OR(I153="",I153&lt;11,O153=""),"",O153+300)</f>
        <v/>
      </c>
      <c r="AB153" s="19" t="str">
        <f aca="false">IF(OR(I153="",I153&lt;12,O153=""),"",O153+330)</f>
        <v/>
      </c>
      <c r="AC153" s="19" t="str">
        <f aca="false">IF(OR(I153="",I153&lt;13,O153=""),"",O153+360)</f>
        <v/>
      </c>
      <c r="AD153" s="19" t="str">
        <f aca="false">IF(OR(I153="",I153&lt;14,O153=""),"",O153+390)</f>
        <v/>
      </c>
      <c r="AE153" s="19" t="str">
        <f aca="false">IF(OR(I153="",I153&lt;15,O153=""),"",O153+420)</f>
        <v/>
      </c>
      <c r="AF153" s="19" t="str">
        <f aca="false">IF(OR(I153="",I153&lt;16,O153=""),"",O153+450)</f>
        <v/>
      </c>
      <c r="AG153" s="19" t="str">
        <f aca="false">IF(OR(I153="",I153&lt;17,O153=""),"",O153+480)</f>
        <v/>
      </c>
      <c r="AH153" s="19" t="str">
        <f aca="false">IF(OR(I153="",I153&lt;18,O153=""),"",O153+510)</f>
        <v/>
      </c>
      <c r="AI153" s="19" t="str">
        <f aca="false">IF(OR(I153="",I153&lt;19,O153=""),"",O153+540)</f>
        <v/>
      </c>
      <c r="AJ153" s="19" t="str">
        <f aca="false">IF(OR(I153="",I153&lt;20,O153=""),"",O153+570)</f>
        <v/>
      </c>
      <c r="AK153" s="19" t="str">
        <f aca="false">IF(OR(I153="",I153&lt;21,O153=""),"",O153+600)</f>
        <v/>
      </c>
      <c r="AL153" s="19" t="str">
        <f aca="false">IF(OR(I153="",I153&lt;22,O153=""),"",O153+630)</f>
        <v/>
      </c>
      <c r="AM153" s="19" t="str">
        <f aca="false">IF(OR(I153="",I153&lt;23,O153=""),"",O153+660)</f>
        <v/>
      </c>
      <c r="AN153" s="19" t="str">
        <f aca="false">IF(OR(I153="",I153&lt;24,O153=""),"",O153+690)</f>
        <v/>
      </c>
      <c r="AO153" s="15" t="str">
        <f aca="false">IF(J153="","",COUNTIF(Q153:AN153,TRUE())*J153)</f>
        <v/>
      </c>
      <c r="AP153" s="15" t="str">
        <f aca="false">IF(K153="","",K153-AO153)</f>
        <v/>
      </c>
      <c r="AQ153" s="15" t="str">
        <f aca="false">IF(K153="","",K153-F153-IF(N153="",0,N153))</f>
        <v/>
      </c>
    </row>
    <row r="154" customFormat="false" ht="15" hidden="false" customHeight="false" outlineLevel="0" collapsed="false">
      <c r="A154" s="4"/>
      <c r="B154" s="4"/>
      <c r="C154" s="4"/>
      <c r="D154" s="5"/>
      <c r="E154" s="5"/>
      <c r="F154" s="6"/>
      <c r="G154" s="4"/>
      <c r="H154" s="4"/>
      <c r="I154" s="4"/>
      <c r="J154" s="6"/>
      <c r="K154" s="7" t="str">
        <f aca="false">IF(OR(I154="",J154=""),"",I154*J154)</f>
        <v/>
      </c>
      <c r="L154" s="4"/>
      <c r="M154" s="8"/>
      <c r="N154" s="7" t="str">
        <f aca="false">IF(OR(L154="",M154="",K154=""),"",IF(L154="GANANCIA",(K154-F154)*M154,IF(L154="BRUTO",K154*M154,"")))</f>
        <v/>
      </c>
      <c r="O154" s="9" t="str">
        <f aca="false">IF(D154="","",D154)</f>
        <v/>
      </c>
      <c r="P154" s="10" t="str">
        <f aca="false">IF(I154="","",IF(COUNTIF(Q154:AN154,TRUE())&gt;=I154,"PAGADO",IF(COUNTIF(Q154:AN154,TRUE())&gt;0,"PARCIAL","VIGENTE")))</f>
        <v/>
      </c>
      <c r="Q154" s="11" t="str">
        <f aca="false">IF(OR(I154="",I154&lt;1,O154=""),"",O154+0)</f>
        <v/>
      </c>
      <c r="R154" s="11" t="str">
        <f aca="false">IF(OR(I154="",I154&lt;2,O154=""),"",O154+30)</f>
        <v/>
      </c>
      <c r="S154" s="11" t="str">
        <f aca="false">IF(OR(I154="",I154&lt;3,O154=""),"",O154+60)</f>
        <v/>
      </c>
      <c r="T154" s="11" t="str">
        <f aca="false">IF(OR(I154="",I154&lt;4,O154=""),"",O154+90)</f>
        <v/>
      </c>
      <c r="U154" s="11" t="str">
        <f aca="false">IF(OR(I154="",I154&lt;5,O154=""),"",O154+120)</f>
        <v/>
      </c>
      <c r="V154" s="11" t="str">
        <f aca="false">IF(OR(I154="",I154&lt;6,O154=""),"",O154+150)</f>
        <v/>
      </c>
      <c r="W154" s="11" t="str">
        <f aca="false">IF(OR(I154="",I154&lt;7,O154=""),"",O154+180)</f>
        <v/>
      </c>
      <c r="X154" s="11" t="str">
        <f aca="false">IF(OR(I154="",I154&lt;8,O154=""),"",O154+210)</f>
        <v/>
      </c>
      <c r="Y154" s="11" t="str">
        <f aca="false">IF(OR(I154="",I154&lt;9,O154=""),"",O154+240)</f>
        <v/>
      </c>
      <c r="Z154" s="11" t="str">
        <f aca="false">IF(OR(I154="",I154&lt;10,O154=""),"",O154+270)</f>
        <v/>
      </c>
      <c r="AA154" s="11" t="str">
        <f aca="false">IF(OR(I154="",I154&lt;11,O154=""),"",O154+300)</f>
        <v/>
      </c>
      <c r="AB154" s="11" t="str">
        <f aca="false">IF(OR(I154="",I154&lt;12,O154=""),"",O154+330)</f>
        <v/>
      </c>
      <c r="AC154" s="11" t="str">
        <f aca="false">IF(OR(I154="",I154&lt;13,O154=""),"",O154+360)</f>
        <v/>
      </c>
      <c r="AD154" s="11" t="str">
        <f aca="false">IF(OR(I154="",I154&lt;14,O154=""),"",O154+390)</f>
        <v/>
      </c>
      <c r="AE154" s="11" t="str">
        <f aca="false">IF(OR(I154="",I154&lt;15,O154=""),"",O154+420)</f>
        <v/>
      </c>
      <c r="AF154" s="11" t="str">
        <f aca="false">IF(OR(I154="",I154&lt;16,O154=""),"",O154+450)</f>
        <v/>
      </c>
      <c r="AG154" s="11" t="str">
        <f aca="false">IF(OR(I154="",I154&lt;17,O154=""),"",O154+480)</f>
        <v/>
      </c>
      <c r="AH154" s="11" t="str">
        <f aca="false">IF(OR(I154="",I154&lt;18,O154=""),"",O154+510)</f>
        <v/>
      </c>
      <c r="AI154" s="11" t="str">
        <f aca="false">IF(OR(I154="",I154&lt;19,O154=""),"",O154+540)</f>
        <v/>
      </c>
      <c r="AJ154" s="11" t="str">
        <f aca="false">IF(OR(I154="",I154&lt;20,O154=""),"",O154+570)</f>
        <v/>
      </c>
      <c r="AK154" s="11" t="str">
        <f aca="false">IF(OR(I154="",I154&lt;21,O154=""),"",O154+600)</f>
        <v/>
      </c>
      <c r="AL154" s="11" t="str">
        <f aca="false">IF(OR(I154="",I154&lt;22,O154=""),"",O154+630)</f>
        <v/>
      </c>
      <c r="AM154" s="11" t="str">
        <f aca="false">IF(OR(I154="",I154&lt;23,O154=""),"",O154+660)</f>
        <v/>
      </c>
      <c r="AN154" s="11" t="str">
        <f aca="false">IF(OR(I154="",I154&lt;24,O154=""),"",O154+690)</f>
        <v/>
      </c>
      <c r="AO154" s="7" t="str">
        <f aca="false">IF(J154="","",COUNTIF(Q154:AN154,TRUE())*J154)</f>
        <v/>
      </c>
      <c r="AP154" s="7" t="str">
        <f aca="false">IF(K154="","",K154-AO154)</f>
        <v/>
      </c>
      <c r="AQ154" s="7" t="str">
        <f aca="false">IF(K154="","",K154-F154-IF(N154="",0,N154))</f>
        <v/>
      </c>
    </row>
    <row r="155" customFormat="false" ht="15" hidden="false" customHeight="false" outlineLevel="0" collapsed="false">
      <c r="A155" s="12"/>
      <c r="B155" s="12"/>
      <c r="C155" s="12"/>
      <c r="D155" s="13"/>
      <c r="E155" s="13"/>
      <c r="F155" s="14"/>
      <c r="G155" s="12"/>
      <c r="H155" s="12"/>
      <c r="I155" s="12"/>
      <c r="J155" s="14"/>
      <c r="K155" s="15" t="str">
        <f aca="false">IF(OR(I155="",J155=""),"",I155*J155)</f>
        <v/>
      </c>
      <c r="L155" s="12"/>
      <c r="M155" s="16"/>
      <c r="N155" s="15" t="str">
        <f aca="false">IF(OR(L155="",M155="",K155=""),"",IF(L155="GANANCIA",(K155-F155)*M155,IF(L155="BRUTO",K155*M155,"")))</f>
        <v/>
      </c>
      <c r="O155" s="17" t="str">
        <f aca="false">IF(D155="","",D155)</f>
        <v/>
      </c>
      <c r="P155" s="18" t="str">
        <f aca="false">IF(I155="","",IF(COUNTIF(Q155:AN155,TRUE())&gt;=I155,"PAGADO",IF(COUNTIF(Q155:AN155,TRUE())&gt;0,"PARCIAL","VIGENTE")))</f>
        <v/>
      </c>
      <c r="Q155" s="19" t="str">
        <f aca="false">IF(OR(I155="",I155&lt;1,O155=""),"",O155+0)</f>
        <v/>
      </c>
      <c r="R155" s="19" t="str">
        <f aca="false">IF(OR(I155="",I155&lt;2,O155=""),"",O155+30)</f>
        <v/>
      </c>
      <c r="S155" s="19" t="str">
        <f aca="false">IF(OR(I155="",I155&lt;3,O155=""),"",O155+60)</f>
        <v/>
      </c>
      <c r="T155" s="19" t="str">
        <f aca="false">IF(OR(I155="",I155&lt;4,O155=""),"",O155+90)</f>
        <v/>
      </c>
      <c r="U155" s="19" t="str">
        <f aca="false">IF(OR(I155="",I155&lt;5,O155=""),"",O155+120)</f>
        <v/>
      </c>
      <c r="V155" s="19" t="str">
        <f aca="false">IF(OR(I155="",I155&lt;6,O155=""),"",O155+150)</f>
        <v/>
      </c>
      <c r="W155" s="19" t="str">
        <f aca="false">IF(OR(I155="",I155&lt;7,O155=""),"",O155+180)</f>
        <v/>
      </c>
      <c r="X155" s="19" t="str">
        <f aca="false">IF(OR(I155="",I155&lt;8,O155=""),"",O155+210)</f>
        <v/>
      </c>
      <c r="Y155" s="19" t="str">
        <f aca="false">IF(OR(I155="",I155&lt;9,O155=""),"",O155+240)</f>
        <v/>
      </c>
      <c r="Z155" s="19" t="str">
        <f aca="false">IF(OR(I155="",I155&lt;10,O155=""),"",O155+270)</f>
        <v/>
      </c>
      <c r="AA155" s="19" t="str">
        <f aca="false">IF(OR(I155="",I155&lt;11,O155=""),"",O155+300)</f>
        <v/>
      </c>
      <c r="AB155" s="19" t="str">
        <f aca="false">IF(OR(I155="",I155&lt;12,O155=""),"",O155+330)</f>
        <v/>
      </c>
      <c r="AC155" s="19" t="str">
        <f aca="false">IF(OR(I155="",I155&lt;13,O155=""),"",O155+360)</f>
        <v/>
      </c>
      <c r="AD155" s="19" t="str">
        <f aca="false">IF(OR(I155="",I155&lt;14,O155=""),"",O155+390)</f>
        <v/>
      </c>
      <c r="AE155" s="19" t="str">
        <f aca="false">IF(OR(I155="",I155&lt;15,O155=""),"",O155+420)</f>
        <v/>
      </c>
      <c r="AF155" s="19" t="str">
        <f aca="false">IF(OR(I155="",I155&lt;16,O155=""),"",O155+450)</f>
        <v/>
      </c>
      <c r="AG155" s="19" t="str">
        <f aca="false">IF(OR(I155="",I155&lt;17,O155=""),"",O155+480)</f>
        <v/>
      </c>
      <c r="AH155" s="19" t="str">
        <f aca="false">IF(OR(I155="",I155&lt;18,O155=""),"",O155+510)</f>
        <v/>
      </c>
      <c r="AI155" s="19" t="str">
        <f aca="false">IF(OR(I155="",I155&lt;19,O155=""),"",O155+540)</f>
        <v/>
      </c>
      <c r="AJ155" s="19" t="str">
        <f aca="false">IF(OR(I155="",I155&lt;20,O155=""),"",O155+570)</f>
        <v/>
      </c>
      <c r="AK155" s="19" t="str">
        <f aca="false">IF(OR(I155="",I155&lt;21,O155=""),"",O155+600)</f>
        <v/>
      </c>
      <c r="AL155" s="19" t="str">
        <f aca="false">IF(OR(I155="",I155&lt;22,O155=""),"",O155+630)</f>
        <v/>
      </c>
      <c r="AM155" s="19" t="str">
        <f aca="false">IF(OR(I155="",I155&lt;23,O155=""),"",O155+660)</f>
        <v/>
      </c>
      <c r="AN155" s="19" t="str">
        <f aca="false">IF(OR(I155="",I155&lt;24,O155=""),"",O155+690)</f>
        <v/>
      </c>
      <c r="AO155" s="15" t="str">
        <f aca="false">IF(J155="","",COUNTIF(Q155:AN155,TRUE())*J155)</f>
        <v/>
      </c>
      <c r="AP155" s="15" t="str">
        <f aca="false">IF(K155="","",K155-AO155)</f>
        <v/>
      </c>
      <c r="AQ155" s="15" t="str">
        <f aca="false">IF(K155="","",K155-F155-IF(N155="",0,N155))</f>
        <v/>
      </c>
    </row>
    <row r="156" customFormat="false" ht="15" hidden="false" customHeight="false" outlineLevel="0" collapsed="false">
      <c r="A156" s="4"/>
      <c r="B156" s="4"/>
      <c r="C156" s="4"/>
      <c r="D156" s="5"/>
      <c r="E156" s="5"/>
      <c r="F156" s="6"/>
      <c r="G156" s="4"/>
      <c r="H156" s="4"/>
      <c r="I156" s="4"/>
      <c r="J156" s="6"/>
      <c r="K156" s="7" t="str">
        <f aca="false">IF(OR(I156="",J156=""),"",I156*J156)</f>
        <v/>
      </c>
      <c r="L156" s="4"/>
      <c r="M156" s="8"/>
      <c r="N156" s="7" t="str">
        <f aca="false">IF(OR(L156="",M156="",K156=""),"",IF(L156="GANANCIA",(K156-F156)*M156,IF(L156="BRUTO",K156*M156,"")))</f>
        <v/>
      </c>
      <c r="O156" s="9" t="str">
        <f aca="false">IF(D156="","",D156)</f>
        <v/>
      </c>
      <c r="P156" s="10" t="str">
        <f aca="false">IF(I156="","",IF(COUNTIF(Q156:AN156,TRUE())&gt;=I156,"PAGADO",IF(COUNTIF(Q156:AN156,TRUE())&gt;0,"PARCIAL","VIGENTE")))</f>
        <v/>
      </c>
      <c r="Q156" s="11" t="str">
        <f aca="false">IF(OR(I156="",I156&lt;1,O156=""),"",O156+0)</f>
        <v/>
      </c>
      <c r="R156" s="11" t="str">
        <f aca="false">IF(OR(I156="",I156&lt;2,O156=""),"",O156+30)</f>
        <v/>
      </c>
      <c r="S156" s="11" t="str">
        <f aca="false">IF(OR(I156="",I156&lt;3,O156=""),"",O156+60)</f>
        <v/>
      </c>
      <c r="T156" s="11" t="str">
        <f aca="false">IF(OR(I156="",I156&lt;4,O156=""),"",O156+90)</f>
        <v/>
      </c>
      <c r="U156" s="11" t="str">
        <f aca="false">IF(OR(I156="",I156&lt;5,O156=""),"",O156+120)</f>
        <v/>
      </c>
      <c r="V156" s="11" t="str">
        <f aca="false">IF(OR(I156="",I156&lt;6,O156=""),"",O156+150)</f>
        <v/>
      </c>
      <c r="W156" s="11" t="str">
        <f aca="false">IF(OR(I156="",I156&lt;7,O156=""),"",O156+180)</f>
        <v/>
      </c>
      <c r="X156" s="11" t="str">
        <f aca="false">IF(OR(I156="",I156&lt;8,O156=""),"",O156+210)</f>
        <v/>
      </c>
      <c r="Y156" s="11" t="str">
        <f aca="false">IF(OR(I156="",I156&lt;9,O156=""),"",O156+240)</f>
        <v/>
      </c>
      <c r="Z156" s="11" t="str">
        <f aca="false">IF(OR(I156="",I156&lt;10,O156=""),"",O156+270)</f>
        <v/>
      </c>
      <c r="AA156" s="11" t="str">
        <f aca="false">IF(OR(I156="",I156&lt;11,O156=""),"",O156+300)</f>
        <v/>
      </c>
      <c r="AB156" s="11" t="str">
        <f aca="false">IF(OR(I156="",I156&lt;12,O156=""),"",O156+330)</f>
        <v/>
      </c>
      <c r="AC156" s="11" t="str">
        <f aca="false">IF(OR(I156="",I156&lt;13,O156=""),"",O156+360)</f>
        <v/>
      </c>
      <c r="AD156" s="11" t="str">
        <f aca="false">IF(OR(I156="",I156&lt;14,O156=""),"",O156+390)</f>
        <v/>
      </c>
      <c r="AE156" s="11" t="str">
        <f aca="false">IF(OR(I156="",I156&lt;15,O156=""),"",O156+420)</f>
        <v/>
      </c>
      <c r="AF156" s="11" t="str">
        <f aca="false">IF(OR(I156="",I156&lt;16,O156=""),"",O156+450)</f>
        <v/>
      </c>
      <c r="AG156" s="11" t="str">
        <f aca="false">IF(OR(I156="",I156&lt;17,O156=""),"",O156+480)</f>
        <v/>
      </c>
      <c r="AH156" s="11" t="str">
        <f aca="false">IF(OR(I156="",I156&lt;18,O156=""),"",O156+510)</f>
        <v/>
      </c>
      <c r="AI156" s="11" t="str">
        <f aca="false">IF(OR(I156="",I156&lt;19,O156=""),"",O156+540)</f>
        <v/>
      </c>
      <c r="AJ156" s="11" t="str">
        <f aca="false">IF(OR(I156="",I156&lt;20,O156=""),"",O156+570)</f>
        <v/>
      </c>
      <c r="AK156" s="11" t="str">
        <f aca="false">IF(OR(I156="",I156&lt;21,O156=""),"",O156+600)</f>
        <v/>
      </c>
      <c r="AL156" s="11" t="str">
        <f aca="false">IF(OR(I156="",I156&lt;22,O156=""),"",O156+630)</f>
        <v/>
      </c>
      <c r="AM156" s="11" t="str">
        <f aca="false">IF(OR(I156="",I156&lt;23,O156=""),"",O156+660)</f>
        <v/>
      </c>
      <c r="AN156" s="11" t="str">
        <f aca="false">IF(OR(I156="",I156&lt;24,O156=""),"",O156+690)</f>
        <v/>
      </c>
      <c r="AO156" s="7" t="str">
        <f aca="false">IF(J156="","",COUNTIF(Q156:AN156,TRUE())*J156)</f>
        <v/>
      </c>
      <c r="AP156" s="7" t="str">
        <f aca="false">IF(K156="","",K156-AO156)</f>
        <v/>
      </c>
      <c r="AQ156" s="7" t="str">
        <f aca="false">IF(K156="","",K156-F156-IF(N156="",0,N156))</f>
        <v/>
      </c>
    </row>
    <row r="157" customFormat="false" ht="15" hidden="false" customHeight="false" outlineLevel="0" collapsed="false">
      <c r="A157" s="12"/>
      <c r="B157" s="12"/>
      <c r="C157" s="12"/>
      <c r="D157" s="13"/>
      <c r="E157" s="13"/>
      <c r="F157" s="14"/>
      <c r="G157" s="12"/>
      <c r="H157" s="12"/>
      <c r="I157" s="12"/>
      <c r="J157" s="14"/>
      <c r="K157" s="15" t="str">
        <f aca="false">IF(OR(I157="",J157=""),"",I157*J157)</f>
        <v/>
      </c>
      <c r="L157" s="12"/>
      <c r="M157" s="16"/>
      <c r="N157" s="15" t="str">
        <f aca="false">IF(OR(L157="",M157="",K157=""),"",IF(L157="GANANCIA",(K157-F157)*M157,IF(L157="BRUTO",K157*M157,"")))</f>
        <v/>
      </c>
      <c r="O157" s="17" t="str">
        <f aca="false">IF(D157="","",D157)</f>
        <v/>
      </c>
      <c r="P157" s="18" t="str">
        <f aca="false">IF(I157="","",IF(COUNTIF(Q157:AN157,TRUE())&gt;=I157,"PAGADO",IF(COUNTIF(Q157:AN157,TRUE())&gt;0,"PARCIAL","VIGENTE")))</f>
        <v/>
      </c>
      <c r="Q157" s="19" t="str">
        <f aca="false">IF(OR(I157="",I157&lt;1,O157=""),"",O157+0)</f>
        <v/>
      </c>
      <c r="R157" s="19" t="str">
        <f aca="false">IF(OR(I157="",I157&lt;2,O157=""),"",O157+30)</f>
        <v/>
      </c>
      <c r="S157" s="19" t="str">
        <f aca="false">IF(OR(I157="",I157&lt;3,O157=""),"",O157+60)</f>
        <v/>
      </c>
      <c r="T157" s="19" t="str">
        <f aca="false">IF(OR(I157="",I157&lt;4,O157=""),"",O157+90)</f>
        <v/>
      </c>
      <c r="U157" s="19" t="str">
        <f aca="false">IF(OR(I157="",I157&lt;5,O157=""),"",O157+120)</f>
        <v/>
      </c>
      <c r="V157" s="19" t="str">
        <f aca="false">IF(OR(I157="",I157&lt;6,O157=""),"",O157+150)</f>
        <v/>
      </c>
      <c r="W157" s="19" t="str">
        <f aca="false">IF(OR(I157="",I157&lt;7,O157=""),"",O157+180)</f>
        <v/>
      </c>
      <c r="X157" s="19" t="str">
        <f aca="false">IF(OR(I157="",I157&lt;8,O157=""),"",O157+210)</f>
        <v/>
      </c>
      <c r="Y157" s="19" t="str">
        <f aca="false">IF(OR(I157="",I157&lt;9,O157=""),"",O157+240)</f>
        <v/>
      </c>
      <c r="Z157" s="19" t="str">
        <f aca="false">IF(OR(I157="",I157&lt;10,O157=""),"",O157+270)</f>
        <v/>
      </c>
      <c r="AA157" s="19" t="str">
        <f aca="false">IF(OR(I157="",I157&lt;11,O157=""),"",O157+300)</f>
        <v/>
      </c>
      <c r="AB157" s="19" t="str">
        <f aca="false">IF(OR(I157="",I157&lt;12,O157=""),"",O157+330)</f>
        <v/>
      </c>
      <c r="AC157" s="19" t="str">
        <f aca="false">IF(OR(I157="",I157&lt;13,O157=""),"",O157+360)</f>
        <v/>
      </c>
      <c r="AD157" s="19" t="str">
        <f aca="false">IF(OR(I157="",I157&lt;14,O157=""),"",O157+390)</f>
        <v/>
      </c>
      <c r="AE157" s="19" t="str">
        <f aca="false">IF(OR(I157="",I157&lt;15,O157=""),"",O157+420)</f>
        <v/>
      </c>
      <c r="AF157" s="19" t="str">
        <f aca="false">IF(OR(I157="",I157&lt;16,O157=""),"",O157+450)</f>
        <v/>
      </c>
      <c r="AG157" s="19" t="str">
        <f aca="false">IF(OR(I157="",I157&lt;17,O157=""),"",O157+480)</f>
        <v/>
      </c>
      <c r="AH157" s="19" t="str">
        <f aca="false">IF(OR(I157="",I157&lt;18,O157=""),"",O157+510)</f>
        <v/>
      </c>
      <c r="AI157" s="19" t="str">
        <f aca="false">IF(OR(I157="",I157&lt;19,O157=""),"",O157+540)</f>
        <v/>
      </c>
      <c r="AJ157" s="19" t="str">
        <f aca="false">IF(OR(I157="",I157&lt;20,O157=""),"",O157+570)</f>
        <v/>
      </c>
      <c r="AK157" s="19" t="str">
        <f aca="false">IF(OR(I157="",I157&lt;21,O157=""),"",O157+600)</f>
        <v/>
      </c>
      <c r="AL157" s="19" t="str">
        <f aca="false">IF(OR(I157="",I157&lt;22,O157=""),"",O157+630)</f>
        <v/>
      </c>
      <c r="AM157" s="19" t="str">
        <f aca="false">IF(OR(I157="",I157&lt;23,O157=""),"",O157+660)</f>
        <v/>
      </c>
      <c r="AN157" s="19" t="str">
        <f aca="false">IF(OR(I157="",I157&lt;24,O157=""),"",O157+690)</f>
        <v/>
      </c>
      <c r="AO157" s="15" t="str">
        <f aca="false">IF(J157="","",COUNTIF(Q157:AN157,TRUE())*J157)</f>
        <v/>
      </c>
      <c r="AP157" s="15" t="str">
        <f aca="false">IF(K157="","",K157-AO157)</f>
        <v/>
      </c>
      <c r="AQ157" s="15" t="str">
        <f aca="false">IF(K157="","",K157-F157-IF(N157="",0,N157))</f>
        <v/>
      </c>
    </row>
    <row r="158" customFormat="false" ht="15" hidden="false" customHeight="false" outlineLevel="0" collapsed="false">
      <c r="A158" s="4"/>
      <c r="B158" s="4"/>
      <c r="C158" s="4"/>
      <c r="D158" s="5"/>
      <c r="E158" s="5"/>
      <c r="F158" s="6"/>
      <c r="G158" s="4"/>
      <c r="H158" s="4"/>
      <c r="I158" s="4"/>
      <c r="J158" s="6"/>
      <c r="K158" s="7" t="str">
        <f aca="false">IF(OR(I158="",J158=""),"",I158*J158)</f>
        <v/>
      </c>
      <c r="L158" s="4"/>
      <c r="M158" s="8"/>
      <c r="N158" s="7" t="str">
        <f aca="false">IF(OR(L158="",M158="",K158=""),"",IF(L158="GANANCIA",(K158-F158)*M158,IF(L158="BRUTO",K158*M158,"")))</f>
        <v/>
      </c>
      <c r="O158" s="9" t="str">
        <f aca="false">IF(D158="","",D158)</f>
        <v/>
      </c>
      <c r="P158" s="10" t="str">
        <f aca="false">IF(I158="","",IF(COUNTIF(Q158:AN158,TRUE())&gt;=I158,"PAGADO",IF(COUNTIF(Q158:AN158,TRUE())&gt;0,"PARCIAL","VIGENTE")))</f>
        <v/>
      </c>
      <c r="Q158" s="11" t="str">
        <f aca="false">IF(OR(I158="",I158&lt;1,O158=""),"",O158+0)</f>
        <v/>
      </c>
      <c r="R158" s="11" t="str">
        <f aca="false">IF(OR(I158="",I158&lt;2,O158=""),"",O158+30)</f>
        <v/>
      </c>
      <c r="S158" s="11" t="str">
        <f aca="false">IF(OR(I158="",I158&lt;3,O158=""),"",O158+60)</f>
        <v/>
      </c>
      <c r="T158" s="11" t="str">
        <f aca="false">IF(OR(I158="",I158&lt;4,O158=""),"",O158+90)</f>
        <v/>
      </c>
      <c r="U158" s="11" t="str">
        <f aca="false">IF(OR(I158="",I158&lt;5,O158=""),"",O158+120)</f>
        <v/>
      </c>
      <c r="V158" s="11" t="str">
        <f aca="false">IF(OR(I158="",I158&lt;6,O158=""),"",O158+150)</f>
        <v/>
      </c>
      <c r="W158" s="11" t="str">
        <f aca="false">IF(OR(I158="",I158&lt;7,O158=""),"",O158+180)</f>
        <v/>
      </c>
      <c r="X158" s="11" t="str">
        <f aca="false">IF(OR(I158="",I158&lt;8,O158=""),"",O158+210)</f>
        <v/>
      </c>
      <c r="Y158" s="11" t="str">
        <f aca="false">IF(OR(I158="",I158&lt;9,O158=""),"",O158+240)</f>
        <v/>
      </c>
      <c r="Z158" s="11" t="str">
        <f aca="false">IF(OR(I158="",I158&lt;10,O158=""),"",O158+270)</f>
        <v/>
      </c>
      <c r="AA158" s="11" t="str">
        <f aca="false">IF(OR(I158="",I158&lt;11,O158=""),"",O158+300)</f>
        <v/>
      </c>
      <c r="AB158" s="11" t="str">
        <f aca="false">IF(OR(I158="",I158&lt;12,O158=""),"",O158+330)</f>
        <v/>
      </c>
      <c r="AC158" s="11" t="str">
        <f aca="false">IF(OR(I158="",I158&lt;13,O158=""),"",O158+360)</f>
        <v/>
      </c>
      <c r="AD158" s="11" t="str">
        <f aca="false">IF(OR(I158="",I158&lt;14,O158=""),"",O158+390)</f>
        <v/>
      </c>
      <c r="AE158" s="11" t="str">
        <f aca="false">IF(OR(I158="",I158&lt;15,O158=""),"",O158+420)</f>
        <v/>
      </c>
      <c r="AF158" s="11" t="str">
        <f aca="false">IF(OR(I158="",I158&lt;16,O158=""),"",O158+450)</f>
        <v/>
      </c>
      <c r="AG158" s="11" t="str">
        <f aca="false">IF(OR(I158="",I158&lt;17,O158=""),"",O158+480)</f>
        <v/>
      </c>
      <c r="AH158" s="11" t="str">
        <f aca="false">IF(OR(I158="",I158&lt;18,O158=""),"",O158+510)</f>
        <v/>
      </c>
      <c r="AI158" s="11" t="str">
        <f aca="false">IF(OR(I158="",I158&lt;19,O158=""),"",O158+540)</f>
        <v/>
      </c>
      <c r="AJ158" s="11" t="str">
        <f aca="false">IF(OR(I158="",I158&lt;20,O158=""),"",O158+570)</f>
        <v/>
      </c>
      <c r="AK158" s="11" t="str">
        <f aca="false">IF(OR(I158="",I158&lt;21,O158=""),"",O158+600)</f>
        <v/>
      </c>
      <c r="AL158" s="11" t="str">
        <f aca="false">IF(OR(I158="",I158&lt;22,O158=""),"",O158+630)</f>
        <v/>
      </c>
      <c r="AM158" s="11" t="str">
        <f aca="false">IF(OR(I158="",I158&lt;23,O158=""),"",O158+660)</f>
        <v/>
      </c>
      <c r="AN158" s="11" t="str">
        <f aca="false">IF(OR(I158="",I158&lt;24,O158=""),"",O158+690)</f>
        <v/>
      </c>
      <c r="AO158" s="7" t="str">
        <f aca="false">IF(J158="","",COUNTIF(Q158:AN158,TRUE())*J158)</f>
        <v/>
      </c>
      <c r="AP158" s="7" t="str">
        <f aca="false">IF(K158="","",K158-AO158)</f>
        <v/>
      </c>
      <c r="AQ158" s="7" t="str">
        <f aca="false">IF(K158="","",K158-F158-IF(N158="",0,N158))</f>
        <v/>
      </c>
    </row>
    <row r="159" customFormat="false" ht="15" hidden="false" customHeight="false" outlineLevel="0" collapsed="false">
      <c r="A159" s="12"/>
      <c r="B159" s="12"/>
      <c r="C159" s="12"/>
      <c r="D159" s="13"/>
      <c r="E159" s="13"/>
      <c r="F159" s="14"/>
      <c r="G159" s="12"/>
      <c r="H159" s="12"/>
      <c r="I159" s="12"/>
      <c r="J159" s="14"/>
      <c r="K159" s="15" t="str">
        <f aca="false">IF(OR(I159="",J159=""),"",I159*J159)</f>
        <v/>
      </c>
      <c r="L159" s="12"/>
      <c r="M159" s="16"/>
      <c r="N159" s="15" t="str">
        <f aca="false">IF(OR(L159="",M159="",K159=""),"",IF(L159="GANANCIA",(K159-F159)*M159,IF(L159="BRUTO",K159*M159,"")))</f>
        <v/>
      </c>
      <c r="O159" s="17" t="str">
        <f aca="false">IF(D159="","",D159)</f>
        <v/>
      </c>
      <c r="P159" s="18" t="str">
        <f aca="false">IF(I159="","",IF(COUNTIF(Q159:AN159,TRUE())&gt;=I159,"PAGADO",IF(COUNTIF(Q159:AN159,TRUE())&gt;0,"PARCIAL","VIGENTE")))</f>
        <v/>
      </c>
      <c r="Q159" s="19" t="str">
        <f aca="false">IF(OR(I159="",I159&lt;1,O159=""),"",O159+0)</f>
        <v/>
      </c>
      <c r="R159" s="19" t="str">
        <f aca="false">IF(OR(I159="",I159&lt;2,O159=""),"",O159+30)</f>
        <v/>
      </c>
      <c r="S159" s="19" t="str">
        <f aca="false">IF(OR(I159="",I159&lt;3,O159=""),"",O159+60)</f>
        <v/>
      </c>
      <c r="T159" s="19" t="str">
        <f aca="false">IF(OR(I159="",I159&lt;4,O159=""),"",O159+90)</f>
        <v/>
      </c>
      <c r="U159" s="19" t="str">
        <f aca="false">IF(OR(I159="",I159&lt;5,O159=""),"",O159+120)</f>
        <v/>
      </c>
      <c r="V159" s="19" t="str">
        <f aca="false">IF(OR(I159="",I159&lt;6,O159=""),"",O159+150)</f>
        <v/>
      </c>
      <c r="W159" s="19" t="str">
        <f aca="false">IF(OR(I159="",I159&lt;7,O159=""),"",O159+180)</f>
        <v/>
      </c>
      <c r="X159" s="19" t="str">
        <f aca="false">IF(OR(I159="",I159&lt;8,O159=""),"",O159+210)</f>
        <v/>
      </c>
      <c r="Y159" s="19" t="str">
        <f aca="false">IF(OR(I159="",I159&lt;9,O159=""),"",O159+240)</f>
        <v/>
      </c>
      <c r="Z159" s="19" t="str">
        <f aca="false">IF(OR(I159="",I159&lt;10,O159=""),"",O159+270)</f>
        <v/>
      </c>
      <c r="AA159" s="19" t="str">
        <f aca="false">IF(OR(I159="",I159&lt;11,O159=""),"",O159+300)</f>
        <v/>
      </c>
      <c r="AB159" s="19" t="str">
        <f aca="false">IF(OR(I159="",I159&lt;12,O159=""),"",O159+330)</f>
        <v/>
      </c>
      <c r="AC159" s="19" t="str">
        <f aca="false">IF(OR(I159="",I159&lt;13,O159=""),"",O159+360)</f>
        <v/>
      </c>
      <c r="AD159" s="19" t="str">
        <f aca="false">IF(OR(I159="",I159&lt;14,O159=""),"",O159+390)</f>
        <v/>
      </c>
      <c r="AE159" s="19" t="str">
        <f aca="false">IF(OR(I159="",I159&lt;15,O159=""),"",O159+420)</f>
        <v/>
      </c>
      <c r="AF159" s="19" t="str">
        <f aca="false">IF(OR(I159="",I159&lt;16,O159=""),"",O159+450)</f>
        <v/>
      </c>
      <c r="AG159" s="19" t="str">
        <f aca="false">IF(OR(I159="",I159&lt;17,O159=""),"",O159+480)</f>
        <v/>
      </c>
      <c r="AH159" s="19" t="str">
        <f aca="false">IF(OR(I159="",I159&lt;18,O159=""),"",O159+510)</f>
        <v/>
      </c>
      <c r="AI159" s="19" t="str">
        <f aca="false">IF(OR(I159="",I159&lt;19,O159=""),"",O159+540)</f>
        <v/>
      </c>
      <c r="AJ159" s="19" t="str">
        <f aca="false">IF(OR(I159="",I159&lt;20,O159=""),"",O159+570)</f>
        <v/>
      </c>
      <c r="AK159" s="19" t="str">
        <f aca="false">IF(OR(I159="",I159&lt;21,O159=""),"",O159+600)</f>
        <v/>
      </c>
      <c r="AL159" s="19" t="str">
        <f aca="false">IF(OR(I159="",I159&lt;22,O159=""),"",O159+630)</f>
        <v/>
      </c>
      <c r="AM159" s="19" t="str">
        <f aca="false">IF(OR(I159="",I159&lt;23,O159=""),"",O159+660)</f>
        <v/>
      </c>
      <c r="AN159" s="19" t="str">
        <f aca="false">IF(OR(I159="",I159&lt;24,O159=""),"",O159+690)</f>
        <v/>
      </c>
      <c r="AO159" s="15" t="str">
        <f aca="false">IF(J159="","",COUNTIF(Q159:AN159,TRUE())*J159)</f>
        <v/>
      </c>
      <c r="AP159" s="15" t="str">
        <f aca="false">IF(K159="","",K159-AO159)</f>
        <v/>
      </c>
      <c r="AQ159" s="15" t="str">
        <f aca="false">IF(K159="","",K159-F159-IF(N159="",0,N159))</f>
        <v/>
      </c>
    </row>
    <row r="160" customFormat="false" ht="15" hidden="false" customHeight="false" outlineLevel="0" collapsed="false">
      <c r="A160" s="4"/>
      <c r="B160" s="4"/>
      <c r="C160" s="4"/>
      <c r="D160" s="5"/>
      <c r="E160" s="5"/>
      <c r="F160" s="6"/>
      <c r="G160" s="4"/>
      <c r="H160" s="4"/>
      <c r="I160" s="4"/>
      <c r="J160" s="6"/>
      <c r="K160" s="7" t="str">
        <f aca="false">IF(OR(I160="",J160=""),"",I160*J160)</f>
        <v/>
      </c>
      <c r="L160" s="4"/>
      <c r="M160" s="8"/>
      <c r="N160" s="7" t="str">
        <f aca="false">IF(OR(L160="",M160="",K160=""),"",IF(L160="GANANCIA",(K160-F160)*M160,IF(L160="BRUTO",K160*M160,"")))</f>
        <v/>
      </c>
      <c r="O160" s="9" t="str">
        <f aca="false">IF(D160="","",D160)</f>
        <v/>
      </c>
      <c r="P160" s="10" t="str">
        <f aca="false">IF(I160="","",IF(COUNTIF(Q160:AN160,TRUE())&gt;=I160,"PAGADO",IF(COUNTIF(Q160:AN160,TRUE())&gt;0,"PARCIAL","VIGENTE")))</f>
        <v/>
      </c>
      <c r="Q160" s="11" t="str">
        <f aca="false">IF(OR(I160="",I160&lt;1,O160=""),"",O160+0)</f>
        <v/>
      </c>
      <c r="R160" s="11" t="str">
        <f aca="false">IF(OR(I160="",I160&lt;2,O160=""),"",O160+30)</f>
        <v/>
      </c>
      <c r="S160" s="11" t="str">
        <f aca="false">IF(OR(I160="",I160&lt;3,O160=""),"",O160+60)</f>
        <v/>
      </c>
      <c r="T160" s="11" t="str">
        <f aca="false">IF(OR(I160="",I160&lt;4,O160=""),"",O160+90)</f>
        <v/>
      </c>
      <c r="U160" s="11" t="str">
        <f aca="false">IF(OR(I160="",I160&lt;5,O160=""),"",O160+120)</f>
        <v/>
      </c>
      <c r="V160" s="11" t="str">
        <f aca="false">IF(OR(I160="",I160&lt;6,O160=""),"",O160+150)</f>
        <v/>
      </c>
      <c r="W160" s="11" t="str">
        <f aca="false">IF(OR(I160="",I160&lt;7,O160=""),"",O160+180)</f>
        <v/>
      </c>
      <c r="X160" s="11" t="str">
        <f aca="false">IF(OR(I160="",I160&lt;8,O160=""),"",O160+210)</f>
        <v/>
      </c>
      <c r="Y160" s="11" t="str">
        <f aca="false">IF(OR(I160="",I160&lt;9,O160=""),"",O160+240)</f>
        <v/>
      </c>
      <c r="Z160" s="11" t="str">
        <f aca="false">IF(OR(I160="",I160&lt;10,O160=""),"",O160+270)</f>
        <v/>
      </c>
      <c r="AA160" s="11" t="str">
        <f aca="false">IF(OR(I160="",I160&lt;11,O160=""),"",O160+300)</f>
        <v/>
      </c>
      <c r="AB160" s="11" t="str">
        <f aca="false">IF(OR(I160="",I160&lt;12,O160=""),"",O160+330)</f>
        <v/>
      </c>
      <c r="AC160" s="11" t="str">
        <f aca="false">IF(OR(I160="",I160&lt;13,O160=""),"",O160+360)</f>
        <v/>
      </c>
      <c r="AD160" s="11" t="str">
        <f aca="false">IF(OR(I160="",I160&lt;14,O160=""),"",O160+390)</f>
        <v/>
      </c>
      <c r="AE160" s="11" t="str">
        <f aca="false">IF(OR(I160="",I160&lt;15,O160=""),"",O160+420)</f>
        <v/>
      </c>
      <c r="AF160" s="11" t="str">
        <f aca="false">IF(OR(I160="",I160&lt;16,O160=""),"",O160+450)</f>
        <v/>
      </c>
      <c r="AG160" s="11" t="str">
        <f aca="false">IF(OR(I160="",I160&lt;17,O160=""),"",O160+480)</f>
        <v/>
      </c>
      <c r="AH160" s="11" t="str">
        <f aca="false">IF(OR(I160="",I160&lt;18,O160=""),"",O160+510)</f>
        <v/>
      </c>
      <c r="AI160" s="11" t="str">
        <f aca="false">IF(OR(I160="",I160&lt;19,O160=""),"",O160+540)</f>
        <v/>
      </c>
      <c r="AJ160" s="11" t="str">
        <f aca="false">IF(OR(I160="",I160&lt;20,O160=""),"",O160+570)</f>
        <v/>
      </c>
      <c r="AK160" s="11" t="str">
        <f aca="false">IF(OR(I160="",I160&lt;21,O160=""),"",O160+600)</f>
        <v/>
      </c>
      <c r="AL160" s="11" t="str">
        <f aca="false">IF(OR(I160="",I160&lt;22,O160=""),"",O160+630)</f>
        <v/>
      </c>
      <c r="AM160" s="11" t="str">
        <f aca="false">IF(OR(I160="",I160&lt;23,O160=""),"",O160+660)</f>
        <v/>
      </c>
      <c r="AN160" s="11" t="str">
        <f aca="false">IF(OR(I160="",I160&lt;24,O160=""),"",O160+690)</f>
        <v/>
      </c>
      <c r="AO160" s="7" t="str">
        <f aca="false">IF(J160="","",COUNTIF(Q160:AN160,TRUE())*J160)</f>
        <v/>
      </c>
      <c r="AP160" s="7" t="str">
        <f aca="false">IF(K160="","",K160-AO160)</f>
        <v/>
      </c>
      <c r="AQ160" s="7" t="str">
        <f aca="false">IF(K160="","",K160-F160-IF(N160="",0,N160))</f>
        <v/>
      </c>
    </row>
    <row r="161" customFormat="false" ht="15" hidden="false" customHeight="false" outlineLevel="0" collapsed="false">
      <c r="A161" s="12"/>
      <c r="B161" s="12"/>
      <c r="C161" s="12"/>
      <c r="D161" s="13"/>
      <c r="E161" s="13"/>
      <c r="F161" s="14"/>
      <c r="G161" s="12"/>
      <c r="H161" s="12"/>
      <c r="I161" s="12"/>
      <c r="J161" s="14"/>
      <c r="K161" s="15" t="str">
        <f aca="false">IF(OR(I161="",J161=""),"",I161*J161)</f>
        <v/>
      </c>
      <c r="L161" s="12"/>
      <c r="M161" s="16"/>
      <c r="N161" s="15" t="str">
        <f aca="false">IF(OR(L161="",M161="",K161=""),"",IF(L161="GANANCIA",(K161-F161)*M161,IF(L161="BRUTO",K161*M161,"")))</f>
        <v/>
      </c>
      <c r="O161" s="17" t="str">
        <f aca="false">IF(D161="","",D161)</f>
        <v/>
      </c>
      <c r="P161" s="18" t="str">
        <f aca="false">IF(I161="","",IF(COUNTIF(Q161:AN161,TRUE())&gt;=I161,"PAGADO",IF(COUNTIF(Q161:AN161,TRUE())&gt;0,"PARCIAL","VIGENTE")))</f>
        <v/>
      </c>
      <c r="Q161" s="19" t="str">
        <f aca="false">IF(OR(I161="",I161&lt;1,O161=""),"",O161+0)</f>
        <v/>
      </c>
      <c r="R161" s="19" t="str">
        <f aca="false">IF(OR(I161="",I161&lt;2,O161=""),"",O161+30)</f>
        <v/>
      </c>
      <c r="S161" s="19" t="str">
        <f aca="false">IF(OR(I161="",I161&lt;3,O161=""),"",O161+60)</f>
        <v/>
      </c>
      <c r="T161" s="19" t="str">
        <f aca="false">IF(OR(I161="",I161&lt;4,O161=""),"",O161+90)</f>
        <v/>
      </c>
      <c r="U161" s="19" t="str">
        <f aca="false">IF(OR(I161="",I161&lt;5,O161=""),"",O161+120)</f>
        <v/>
      </c>
      <c r="V161" s="19" t="str">
        <f aca="false">IF(OR(I161="",I161&lt;6,O161=""),"",O161+150)</f>
        <v/>
      </c>
      <c r="W161" s="19" t="str">
        <f aca="false">IF(OR(I161="",I161&lt;7,O161=""),"",O161+180)</f>
        <v/>
      </c>
      <c r="X161" s="19" t="str">
        <f aca="false">IF(OR(I161="",I161&lt;8,O161=""),"",O161+210)</f>
        <v/>
      </c>
      <c r="Y161" s="19" t="str">
        <f aca="false">IF(OR(I161="",I161&lt;9,O161=""),"",O161+240)</f>
        <v/>
      </c>
      <c r="Z161" s="19" t="str">
        <f aca="false">IF(OR(I161="",I161&lt;10,O161=""),"",O161+270)</f>
        <v/>
      </c>
      <c r="AA161" s="19" t="str">
        <f aca="false">IF(OR(I161="",I161&lt;11,O161=""),"",O161+300)</f>
        <v/>
      </c>
      <c r="AB161" s="19" t="str">
        <f aca="false">IF(OR(I161="",I161&lt;12,O161=""),"",O161+330)</f>
        <v/>
      </c>
      <c r="AC161" s="19" t="str">
        <f aca="false">IF(OR(I161="",I161&lt;13,O161=""),"",O161+360)</f>
        <v/>
      </c>
      <c r="AD161" s="19" t="str">
        <f aca="false">IF(OR(I161="",I161&lt;14,O161=""),"",O161+390)</f>
        <v/>
      </c>
      <c r="AE161" s="19" t="str">
        <f aca="false">IF(OR(I161="",I161&lt;15,O161=""),"",O161+420)</f>
        <v/>
      </c>
      <c r="AF161" s="19" t="str">
        <f aca="false">IF(OR(I161="",I161&lt;16,O161=""),"",O161+450)</f>
        <v/>
      </c>
      <c r="AG161" s="19" t="str">
        <f aca="false">IF(OR(I161="",I161&lt;17,O161=""),"",O161+480)</f>
        <v/>
      </c>
      <c r="AH161" s="19" t="str">
        <f aca="false">IF(OR(I161="",I161&lt;18,O161=""),"",O161+510)</f>
        <v/>
      </c>
      <c r="AI161" s="19" t="str">
        <f aca="false">IF(OR(I161="",I161&lt;19,O161=""),"",O161+540)</f>
        <v/>
      </c>
      <c r="AJ161" s="19" t="str">
        <f aca="false">IF(OR(I161="",I161&lt;20,O161=""),"",O161+570)</f>
        <v/>
      </c>
      <c r="AK161" s="19" t="str">
        <f aca="false">IF(OR(I161="",I161&lt;21,O161=""),"",O161+600)</f>
        <v/>
      </c>
      <c r="AL161" s="19" t="str">
        <f aca="false">IF(OR(I161="",I161&lt;22,O161=""),"",O161+630)</f>
        <v/>
      </c>
      <c r="AM161" s="19" t="str">
        <f aca="false">IF(OR(I161="",I161&lt;23,O161=""),"",O161+660)</f>
        <v/>
      </c>
      <c r="AN161" s="19" t="str">
        <f aca="false">IF(OR(I161="",I161&lt;24,O161=""),"",O161+690)</f>
        <v/>
      </c>
      <c r="AO161" s="15" t="str">
        <f aca="false">IF(J161="","",COUNTIF(Q161:AN161,TRUE())*J161)</f>
        <v/>
      </c>
      <c r="AP161" s="15" t="str">
        <f aca="false">IF(K161="","",K161-AO161)</f>
        <v/>
      </c>
      <c r="AQ161" s="15" t="str">
        <f aca="false">IF(K161="","",K161-F161-IF(N161="",0,N161))</f>
        <v/>
      </c>
    </row>
    <row r="162" customFormat="false" ht="15" hidden="false" customHeight="false" outlineLevel="0" collapsed="false">
      <c r="A162" s="4"/>
      <c r="B162" s="4"/>
      <c r="C162" s="4"/>
      <c r="D162" s="5"/>
      <c r="E162" s="5"/>
      <c r="F162" s="6"/>
      <c r="G162" s="4"/>
      <c r="H162" s="4"/>
      <c r="I162" s="4"/>
      <c r="J162" s="6"/>
      <c r="K162" s="7" t="str">
        <f aca="false">IF(OR(I162="",J162=""),"",I162*J162)</f>
        <v/>
      </c>
      <c r="L162" s="4"/>
      <c r="M162" s="8"/>
      <c r="N162" s="7" t="str">
        <f aca="false">IF(OR(L162="",M162="",K162=""),"",IF(L162="GANANCIA",(K162-F162)*M162,IF(L162="BRUTO",K162*M162,"")))</f>
        <v/>
      </c>
      <c r="O162" s="9" t="str">
        <f aca="false">IF(D162="","",D162)</f>
        <v/>
      </c>
      <c r="P162" s="10" t="str">
        <f aca="false">IF(I162="","",IF(COUNTIF(Q162:AN162,TRUE())&gt;=I162,"PAGADO",IF(COUNTIF(Q162:AN162,TRUE())&gt;0,"PARCIAL","VIGENTE")))</f>
        <v/>
      </c>
      <c r="Q162" s="11" t="str">
        <f aca="false">IF(OR(I162="",I162&lt;1,O162=""),"",O162+0)</f>
        <v/>
      </c>
      <c r="R162" s="11" t="str">
        <f aca="false">IF(OR(I162="",I162&lt;2,O162=""),"",O162+30)</f>
        <v/>
      </c>
      <c r="S162" s="11" t="str">
        <f aca="false">IF(OR(I162="",I162&lt;3,O162=""),"",O162+60)</f>
        <v/>
      </c>
      <c r="T162" s="11" t="str">
        <f aca="false">IF(OR(I162="",I162&lt;4,O162=""),"",O162+90)</f>
        <v/>
      </c>
      <c r="U162" s="11" t="str">
        <f aca="false">IF(OR(I162="",I162&lt;5,O162=""),"",O162+120)</f>
        <v/>
      </c>
      <c r="V162" s="11" t="str">
        <f aca="false">IF(OR(I162="",I162&lt;6,O162=""),"",O162+150)</f>
        <v/>
      </c>
      <c r="W162" s="11" t="str">
        <f aca="false">IF(OR(I162="",I162&lt;7,O162=""),"",O162+180)</f>
        <v/>
      </c>
      <c r="X162" s="11" t="str">
        <f aca="false">IF(OR(I162="",I162&lt;8,O162=""),"",O162+210)</f>
        <v/>
      </c>
      <c r="Y162" s="11" t="str">
        <f aca="false">IF(OR(I162="",I162&lt;9,O162=""),"",O162+240)</f>
        <v/>
      </c>
      <c r="Z162" s="11" t="str">
        <f aca="false">IF(OR(I162="",I162&lt;10,O162=""),"",O162+270)</f>
        <v/>
      </c>
      <c r="AA162" s="11" t="str">
        <f aca="false">IF(OR(I162="",I162&lt;11,O162=""),"",O162+300)</f>
        <v/>
      </c>
      <c r="AB162" s="11" t="str">
        <f aca="false">IF(OR(I162="",I162&lt;12,O162=""),"",O162+330)</f>
        <v/>
      </c>
      <c r="AC162" s="11" t="str">
        <f aca="false">IF(OR(I162="",I162&lt;13,O162=""),"",O162+360)</f>
        <v/>
      </c>
      <c r="AD162" s="11" t="str">
        <f aca="false">IF(OR(I162="",I162&lt;14,O162=""),"",O162+390)</f>
        <v/>
      </c>
      <c r="AE162" s="11" t="str">
        <f aca="false">IF(OR(I162="",I162&lt;15,O162=""),"",O162+420)</f>
        <v/>
      </c>
      <c r="AF162" s="11" t="str">
        <f aca="false">IF(OR(I162="",I162&lt;16,O162=""),"",O162+450)</f>
        <v/>
      </c>
      <c r="AG162" s="11" t="str">
        <f aca="false">IF(OR(I162="",I162&lt;17,O162=""),"",O162+480)</f>
        <v/>
      </c>
      <c r="AH162" s="11" t="str">
        <f aca="false">IF(OR(I162="",I162&lt;18,O162=""),"",O162+510)</f>
        <v/>
      </c>
      <c r="AI162" s="11" t="str">
        <f aca="false">IF(OR(I162="",I162&lt;19,O162=""),"",O162+540)</f>
        <v/>
      </c>
      <c r="AJ162" s="11" t="str">
        <f aca="false">IF(OR(I162="",I162&lt;20,O162=""),"",O162+570)</f>
        <v/>
      </c>
      <c r="AK162" s="11" t="str">
        <f aca="false">IF(OR(I162="",I162&lt;21,O162=""),"",O162+600)</f>
        <v/>
      </c>
      <c r="AL162" s="11" t="str">
        <f aca="false">IF(OR(I162="",I162&lt;22,O162=""),"",O162+630)</f>
        <v/>
      </c>
      <c r="AM162" s="11" t="str">
        <f aca="false">IF(OR(I162="",I162&lt;23,O162=""),"",O162+660)</f>
        <v/>
      </c>
      <c r="AN162" s="11" t="str">
        <f aca="false">IF(OR(I162="",I162&lt;24,O162=""),"",O162+690)</f>
        <v/>
      </c>
      <c r="AO162" s="7" t="str">
        <f aca="false">IF(J162="","",COUNTIF(Q162:AN162,TRUE())*J162)</f>
        <v/>
      </c>
      <c r="AP162" s="7" t="str">
        <f aca="false">IF(K162="","",K162-AO162)</f>
        <v/>
      </c>
      <c r="AQ162" s="7" t="str">
        <f aca="false">IF(K162="","",K162-F162-IF(N162="",0,N162))</f>
        <v/>
      </c>
    </row>
    <row r="163" customFormat="false" ht="15" hidden="false" customHeight="false" outlineLevel="0" collapsed="false">
      <c r="A163" s="12"/>
      <c r="B163" s="12"/>
      <c r="C163" s="12"/>
      <c r="D163" s="13"/>
      <c r="E163" s="13"/>
      <c r="F163" s="14"/>
      <c r="G163" s="12"/>
      <c r="H163" s="12"/>
      <c r="I163" s="12"/>
      <c r="J163" s="14"/>
      <c r="K163" s="15" t="str">
        <f aca="false">IF(OR(I163="",J163=""),"",I163*J163)</f>
        <v/>
      </c>
      <c r="L163" s="12"/>
      <c r="M163" s="16"/>
      <c r="N163" s="15" t="str">
        <f aca="false">IF(OR(L163="",M163="",K163=""),"",IF(L163="GANANCIA",(K163-F163)*M163,IF(L163="BRUTO",K163*M163,"")))</f>
        <v/>
      </c>
      <c r="O163" s="17" t="str">
        <f aca="false">IF(D163="","",D163)</f>
        <v/>
      </c>
      <c r="P163" s="18" t="str">
        <f aca="false">IF(I163="","",IF(COUNTIF(Q163:AN163,TRUE())&gt;=I163,"PAGADO",IF(COUNTIF(Q163:AN163,TRUE())&gt;0,"PARCIAL","VIGENTE")))</f>
        <v/>
      </c>
      <c r="Q163" s="19" t="str">
        <f aca="false">IF(OR(I163="",I163&lt;1,O163=""),"",O163+0)</f>
        <v/>
      </c>
      <c r="R163" s="19" t="str">
        <f aca="false">IF(OR(I163="",I163&lt;2,O163=""),"",O163+30)</f>
        <v/>
      </c>
      <c r="S163" s="19" t="str">
        <f aca="false">IF(OR(I163="",I163&lt;3,O163=""),"",O163+60)</f>
        <v/>
      </c>
      <c r="T163" s="19" t="str">
        <f aca="false">IF(OR(I163="",I163&lt;4,O163=""),"",O163+90)</f>
        <v/>
      </c>
      <c r="U163" s="19" t="str">
        <f aca="false">IF(OR(I163="",I163&lt;5,O163=""),"",O163+120)</f>
        <v/>
      </c>
      <c r="V163" s="19" t="str">
        <f aca="false">IF(OR(I163="",I163&lt;6,O163=""),"",O163+150)</f>
        <v/>
      </c>
      <c r="W163" s="19" t="str">
        <f aca="false">IF(OR(I163="",I163&lt;7,O163=""),"",O163+180)</f>
        <v/>
      </c>
      <c r="X163" s="19" t="str">
        <f aca="false">IF(OR(I163="",I163&lt;8,O163=""),"",O163+210)</f>
        <v/>
      </c>
      <c r="Y163" s="19" t="str">
        <f aca="false">IF(OR(I163="",I163&lt;9,O163=""),"",O163+240)</f>
        <v/>
      </c>
      <c r="Z163" s="19" t="str">
        <f aca="false">IF(OR(I163="",I163&lt;10,O163=""),"",O163+270)</f>
        <v/>
      </c>
      <c r="AA163" s="19" t="str">
        <f aca="false">IF(OR(I163="",I163&lt;11,O163=""),"",O163+300)</f>
        <v/>
      </c>
      <c r="AB163" s="19" t="str">
        <f aca="false">IF(OR(I163="",I163&lt;12,O163=""),"",O163+330)</f>
        <v/>
      </c>
      <c r="AC163" s="19" t="str">
        <f aca="false">IF(OR(I163="",I163&lt;13,O163=""),"",O163+360)</f>
        <v/>
      </c>
      <c r="AD163" s="19" t="str">
        <f aca="false">IF(OR(I163="",I163&lt;14,O163=""),"",O163+390)</f>
        <v/>
      </c>
      <c r="AE163" s="19" t="str">
        <f aca="false">IF(OR(I163="",I163&lt;15,O163=""),"",O163+420)</f>
        <v/>
      </c>
      <c r="AF163" s="19" t="str">
        <f aca="false">IF(OR(I163="",I163&lt;16,O163=""),"",O163+450)</f>
        <v/>
      </c>
      <c r="AG163" s="19" t="str">
        <f aca="false">IF(OR(I163="",I163&lt;17,O163=""),"",O163+480)</f>
        <v/>
      </c>
      <c r="AH163" s="19" t="str">
        <f aca="false">IF(OR(I163="",I163&lt;18,O163=""),"",O163+510)</f>
        <v/>
      </c>
      <c r="AI163" s="19" t="str">
        <f aca="false">IF(OR(I163="",I163&lt;19,O163=""),"",O163+540)</f>
        <v/>
      </c>
      <c r="AJ163" s="19" t="str">
        <f aca="false">IF(OR(I163="",I163&lt;20,O163=""),"",O163+570)</f>
        <v/>
      </c>
      <c r="AK163" s="19" t="str">
        <f aca="false">IF(OR(I163="",I163&lt;21,O163=""),"",O163+600)</f>
        <v/>
      </c>
      <c r="AL163" s="19" t="str">
        <f aca="false">IF(OR(I163="",I163&lt;22,O163=""),"",O163+630)</f>
        <v/>
      </c>
      <c r="AM163" s="19" t="str">
        <f aca="false">IF(OR(I163="",I163&lt;23,O163=""),"",O163+660)</f>
        <v/>
      </c>
      <c r="AN163" s="19" t="str">
        <f aca="false">IF(OR(I163="",I163&lt;24,O163=""),"",O163+690)</f>
        <v/>
      </c>
      <c r="AO163" s="15" t="str">
        <f aca="false">IF(J163="","",COUNTIF(Q163:AN163,TRUE())*J163)</f>
        <v/>
      </c>
      <c r="AP163" s="15" t="str">
        <f aca="false">IF(K163="","",K163-AO163)</f>
        <v/>
      </c>
      <c r="AQ163" s="15" t="str">
        <f aca="false">IF(K163="","",K163-F163-IF(N163="",0,N163))</f>
        <v/>
      </c>
    </row>
    <row r="164" customFormat="false" ht="15" hidden="false" customHeight="false" outlineLevel="0" collapsed="false">
      <c r="A164" s="4"/>
      <c r="B164" s="4"/>
      <c r="C164" s="4"/>
      <c r="D164" s="5"/>
      <c r="E164" s="5"/>
      <c r="F164" s="6"/>
      <c r="G164" s="4"/>
      <c r="H164" s="4"/>
      <c r="I164" s="4"/>
      <c r="J164" s="6"/>
      <c r="K164" s="7" t="str">
        <f aca="false">IF(OR(I164="",J164=""),"",I164*J164)</f>
        <v/>
      </c>
      <c r="L164" s="4"/>
      <c r="M164" s="8"/>
      <c r="N164" s="7" t="str">
        <f aca="false">IF(OR(L164="",M164="",K164=""),"",IF(L164="GANANCIA",(K164-F164)*M164,IF(L164="BRUTO",K164*M164,"")))</f>
        <v/>
      </c>
      <c r="O164" s="9" t="str">
        <f aca="false">IF(D164="","",D164)</f>
        <v/>
      </c>
      <c r="P164" s="10" t="str">
        <f aca="false">IF(I164="","",IF(COUNTIF(Q164:AN164,TRUE())&gt;=I164,"PAGADO",IF(COUNTIF(Q164:AN164,TRUE())&gt;0,"PARCIAL","VIGENTE")))</f>
        <v/>
      </c>
      <c r="Q164" s="11" t="str">
        <f aca="false">IF(OR(I164="",I164&lt;1,O164=""),"",O164+0)</f>
        <v/>
      </c>
      <c r="R164" s="11" t="str">
        <f aca="false">IF(OR(I164="",I164&lt;2,O164=""),"",O164+30)</f>
        <v/>
      </c>
      <c r="S164" s="11" t="str">
        <f aca="false">IF(OR(I164="",I164&lt;3,O164=""),"",O164+60)</f>
        <v/>
      </c>
      <c r="T164" s="11" t="str">
        <f aca="false">IF(OR(I164="",I164&lt;4,O164=""),"",O164+90)</f>
        <v/>
      </c>
      <c r="U164" s="11" t="str">
        <f aca="false">IF(OR(I164="",I164&lt;5,O164=""),"",O164+120)</f>
        <v/>
      </c>
      <c r="V164" s="11" t="str">
        <f aca="false">IF(OR(I164="",I164&lt;6,O164=""),"",O164+150)</f>
        <v/>
      </c>
      <c r="W164" s="11" t="str">
        <f aca="false">IF(OR(I164="",I164&lt;7,O164=""),"",O164+180)</f>
        <v/>
      </c>
      <c r="X164" s="11" t="str">
        <f aca="false">IF(OR(I164="",I164&lt;8,O164=""),"",O164+210)</f>
        <v/>
      </c>
      <c r="Y164" s="11" t="str">
        <f aca="false">IF(OR(I164="",I164&lt;9,O164=""),"",O164+240)</f>
        <v/>
      </c>
      <c r="Z164" s="11" t="str">
        <f aca="false">IF(OR(I164="",I164&lt;10,O164=""),"",O164+270)</f>
        <v/>
      </c>
      <c r="AA164" s="11" t="str">
        <f aca="false">IF(OR(I164="",I164&lt;11,O164=""),"",O164+300)</f>
        <v/>
      </c>
      <c r="AB164" s="11" t="str">
        <f aca="false">IF(OR(I164="",I164&lt;12,O164=""),"",O164+330)</f>
        <v/>
      </c>
      <c r="AC164" s="11" t="str">
        <f aca="false">IF(OR(I164="",I164&lt;13,O164=""),"",O164+360)</f>
        <v/>
      </c>
      <c r="AD164" s="11" t="str">
        <f aca="false">IF(OR(I164="",I164&lt;14,O164=""),"",O164+390)</f>
        <v/>
      </c>
      <c r="AE164" s="11" t="str">
        <f aca="false">IF(OR(I164="",I164&lt;15,O164=""),"",O164+420)</f>
        <v/>
      </c>
      <c r="AF164" s="11" t="str">
        <f aca="false">IF(OR(I164="",I164&lt;16,O164=""),"",O164+450)</f>
        <v/>
      </c>
      <c r="AG164" s="11" t="str">
        <f aca="false">IF(OR(I164="",I164&lt;17,O164=""),"",O164+480)</f>
        <v/>
      </c>
      <c r="AH164" s="11" t="str">
        <f aca="false">IF(OR(I164="",I164&lt;18,O164=""),"",O164+510)</f>
        <v/>
      </c>
      <c r="AI164" s="11" t="str">
        <f aca="false">IF(OR(I164="",I164&lt;19,O164=""),"",O164+540)</f>
        <v/>
      </c>
      <c r="AJ164" s="11" t="str">
        <f aca="false">IF(OR(I164="",I164&lt;20,O164=""),"",O164+570)</f>
        <v/>
      </c>
      <c r="AK164" s="11" t="str">
        <f aca="false">IF(OR(I164="",I164&lt;21,O164=""),"",O164+600)</f>
        <v/>
      </c>
      <c r="AL164" s="11" t="str">
        <f aca="false">IF(OR(I164="",I164&lt;22,O164=""),"",O164+630)</f>
        <v/>
      </c>
      <c r="AM164" s="11" t="str">
        <f aca="false">IF(OR(I164="",I164&lt;23,O164=""),"",O164+660)</f>
        <v/>
      </c>
      <c r="AN164" s="11" t="str">
        <f aca="false">IF(OR(I164="",I164&lt;24,O164=""),"",O164+690)</f>
        <v/>
      </c>
      <c r="AO164" s="7" t="str">
        <f aca="false">IF(J164="","",COUNTIF(Q164:AN164,TRUE())*J164)</f>
        <v/>
      </c>
      <c r="AP164" s="7" t="str">
        <f aca="false">IF(K164="","",K164-AO164)</f>
        <v/>
      </c>
      <c r="AQ164" s="7" t="str">
        <f aca="false">IF(K164="","",K164-F164-IF(N164="",0,N164))</f>
        <v/>
      </c>
    </row>
    <row r="165" customFormat="false" ht="15" hidden="false" customHeight="false" outlineLevel="0" collapsed="false">
      <c r="A165" s="12"/>
      <c r="B165" s="12"/>
      <c r="C165" s="12"/>
      <c r="D165" s="13"/>
      <c r="E165" s="13"/>
      <c r="F165" s="14"/>
      <c r="G165" s="12"/>
      <c r="H165" s="12"/>
      <c r="I165" s="12"/>
      <c r="J165" s="14"/>
      <c r="K165" s="15" t="str">
        <f aca="false">IF(OR(I165="",J165=""),"",I165*J165)</f>
        <v/>
      </c>
      <c r="L165" s="12"/>
      <c r="M165" s="16"/>
      <c r="N165" s="15" t="str">
        <f aca="false">IF(OR(L165="",M165="",K165=""),"",IF(L165="GANANCIA",(K165-F165)*M165,IF(L165="BRUTO",K165*M165,"")))</f>
        <v/>
      </c>
      <c r="O165" s="17" t="str">
        <f aca="false">IF(D165="","",D165)</f>
        <v/>
      </c>
      <c r="P165" s="18" t="str">
        <f aca="false">IF(I165="","",IF(COUNTIF(Q165:AN165,TRUE())&gt;=I165,"PAGADO",IF(COUNTIF(Q165:AN165,TRUE())&gt;0,"PARCIAL","VIGENTE")))</f>
        <v/>
      </c>
      <c r="Q165" s="19" t="str">
        <f aca="false">IF(OR(I165="",I165&lt;1,O165=""),"",O165+0)</f>
        <v/>
      </c>
      <c r="R165" s="19" t="str">
        <f aca="false">IF(OR(I165="",I165&lt;2,O165=""),"",O165+30)</f>
        <v/>
      </c>
      <c r="S165" s="19" t="str">
        <f aca="false">IF(OR(I165="",I165&lt;3,O165=""),"",O165+60)</f>
        <v/>
      </c>
      <c r="T165" s="19" t="str">
        <f aca="false">IF(OR(I165="",I165&lt;4,O165=""),"",O165+90)</f>
        <v/>
      </c>
      <c r="U165" s="19" t="str">
        <f aca="false">IF(OR(I165="",I165&lt;5,O165=""),"",O165+120)</f>
        <v/>
      </c>
      <c r="V165" s="19" t="str">
        <f aca="false">IF(OR(I165="",I165&lt;6,O165=""),"",O165+150)</f>
        <v/>
      </c>
      <c r="W165" s="19" t="str">
        <f aca="false">IF(OR(I165="",I165&lt;7,O165=""),"",O165+180)</f>
        <v/>
      </c>
      <c r="X165" s="19" t="str">
        <f aca="false">IF(OR(I165="",I165&lt;8,O165=""),"",O165+210)</f>
        <v/>
      </c>
      <c r="Y165" s="19" t="str">
        <f aca="false">IF(OR(I165="",I165&lt;9,O165=""),"",O165+240)</f>
        <v/>
      </c>
      <c r="Z165" s="19" t="str">
        <f aca="false">IF(OR(I165="",I165&lt;10,O165=""),"",O165+270)</f>
        <v/>
      </c>
      <c r="AA165" s="19" t="str">
        <f aca="false">IF(OR(I165="",I165&lt;11,O165=""),"",O165+300)</f>
        <v/>
      </c>
      <c r="AB165" s="19" t="str">
        <f aca="false">IF(OR(I165="",I165&lt;12,O165=""),"",O165+330)</f>
        <v/>
      </c>
      <c r="AC165" s="19" t="str">
        <f aca="false">IF(OR(I165="",I165&lt;13,O165=""),"",O165+360)</f>
        <v/>
      </c>
      <c r="AD165" s="19" t="str">
        <f aca="false">IF(OR(I165="",I165&lt;14,O165=""),"",O165+390)</f>
        <v/>
      </c>
      <c r="AE165" s="19" t="str">
        <f aca="false">IF(OR(I165="",I165&lt;15,O165=""),"",O165+420)</f>
        <v/>
      </c>
      <c r="AF165" s="19" t="str">
        <f aca="false">IF(OR(I165="",I165&lt;16,O165=""),"",O165+450)</f>
        <v/>
      </c>
      <c r="AG165" s="19" t="str">
        <f aca="false">IF(OR(I165="",I165&lt;17,O165=""),"",O165+480)</f>
        <v/>
      </c>
      <c r="AH165" s="19" t="str">
        <f aca="false">IF(OR(I165="",I165&lt;18,O165=""),"",O165+510)</f>
        <v/>
      </c>
      <c r="AI165" s="19" t="str">
        <f aca="false">IF(OR(I165="",I165&lt;19,O165=""),"",O165+540)</f>
        <v/>
      </c>
      <c r="AJ165" s="19" t="str">
        <f aca="false">IF(OR(I165="",I165&lt;20,O165=""),"",O165+570)</f>
        <v/>
      </c>
      <c r="AK165" s="19" t="str">
        <f aca="false">IF(OR(I165="",I165&lt;21,O165=""),"",O165+600)</f>
        <v/>
      </c>
      <c r="AL165" s="19" t="str">
        <f aca="false">IF(OR(I165="",I165&lt;22,O165=""),"",O165+630)</f>
        <v/>
      </c>
      <c r="AM165" s="19" t="str">
        <f aca="false">IF(OR(I165="",I165&lt;23,O165=""),"",O165+660)</f>
        <v/>
      </c>
      <c r="AN165" s="19" t="str">
        <f aca="false">IF(OR(I165="",I165&lt;24,O165=""),"",O165+690)</f>
        <v/>
      </c>
      <c r="AO165" s="15" t="str">
        <f aca="false">IF(J165="","",COUNTIF(Q165:AN165,TRUE())*J165)</f>
        <v/>
      </c>
      <c r="AP165" s="15" t="str">
        <f aca="false">IF(K165="","",K165-AO165)</f>
        <v/>
      </c>
      <c r="AQ165" s="15" t="str">
        <f aca="false">IF(K165="","",K165-F165-IF(N165="",0,N165))</f>
        <v/>
      </c>
    </row>
    <row r="166" customFormat="false" ht="15" hidden="false" customHeight="false" outlineLevel="0" collapsed="false">
      <c r="A166" s="4"/>
      <c r="B166" s="4"/>
      <c r="C166" s="4"/>
      <c r="D166" s="5"/>
      <c r="E166" s="5"/>
      <c r="F166" s="6"/>
      <c r="G166" s="4"/>
      <c r="H166" s="4"/>
      <c r="I166" s="4"/>
      <c r="J166" s="6"/>
      <c r="K166" s="7" t="str">
        <f aca="false">IF(OR(I166="",J166=""),"",I166*J166)</f>
        <v/>
      </c>
      <c r="L166" s="4"/>
      <c r="M166" s="8"/>
      <c r="N166" s="7" t="str">
        <f aca="false">IF(OR(L166="",M166="",K166=""),"",IF(L166="GANANCIA",(K166-F166)*M166,IF(L166="BRUTO",K166*M166,"")))</f>
        <v/>
      </c>
      <c r="O166" s="9" t="str">
        <f aca="false">IF(D166="","",D166)</f>
        <v/>
      </c>
      <c r="P166" s="10" t="str">
        <f aca="false">IF(I166="","",IF(COUNTIF(Q166:AN166,TRUE())&gt;=I166,"PAGADO",IF(COUNTIF(Q166:AN166,TRUE())&gt;0,"PARCIAL","VIGENTE")))</f>
        <v/>
      </c>
      <c r="Q166" s="11" t="str">
        <f aca="false">IF(OR(I166="",I166&lt;1,O166=""),"",O166+0)</f>
        <v/>
      </c>
      <c r="R166" s="11" t="str">
        <f aca="false">IF(OR(I166="",I166&lt;2,O166=""),"",O166+30)</f>
        <v/>
      </c>
      <c r="S166" s="11" t="str">
        <f aca="false">IF(OR(I166="",I166&lt;3,O166=""),"",O166+60)</f>
        <v/>
      </c>
      <c r="T166" s="11" t="str">
        <f aca="false">IF(OR(I166="",I166&lt;4,O166=""),"",O166+90)</f>
        <v/>
      </c>
      <c r="U166" s="11" t="str">
        <f aca="false">IF(OR(I166="",I166&lt;5,O166=""),"",O166+120)</f>
        <v/>
      </c>
      <c r="V166" s="11" t="str">
        <f aca="false">IF(OR(I166="",I166&lt;6,O166=""),"",O166+150)</f>
        <v/>
      </c>
      <c r="W166" s="11" t="str">
        <f aca="false">IF(OR(I166="",I166&lt;7,O166=""),"",O166+180)</f>
        <v/>
      </c>
      <c r="X166" s="11" t="str">
        <f aca="false">IF(OR(I166="",I166&lt;8,O166=""),"",O166+210)</f>
        <v/>
      </c>
      <c r="Y166" s="11" t="str">
        <f aca="false">IF(OR(I166="",I166&lt;9,O166=""),"",O166+240)</f>
        <v/>
      </c>
      <c r="Z166" s="11" t="str">
        <f aca="false">IF(OR(I166="",I166&lt;10,O166=""),"",O166+270)</f>
        <v/>
      </c>
      <c r="AA166" s="11" t="str">
        <f aca="false">IF(OR(I166="",I166&lt;11,O166=""),"",O166+300)</f>
        <v/>
      </c>
      <c r="AB166" s="11" t="str">
        <f aca="false">IF(OR(I166="",I166&lt;12,O166=""),"",O166+330)</f>
        <v/>
      </c>
      <c r="AC166" s="11" t="str">
        <f aca="false">IF(OR(I166="",I166&lt;13,O166=""),"",O166+360)</f>
        <v/>
      </c>
      <c r="AD166" s="11" t="str">
        <f aca="false">IF(OR(I166="",I166&lt;14,O166=""),"",O166+390)</f>
        <v/>
      </c>
      <c r="AE166" s="11" t="str">
        <f aca="false">IF(OR(I166="",I166&lt;15,O166=""),"",O166+420)</f>
        <v/>
      </c>
      <c r="AF166" s="11" t="str">
        <f aca="false">IF(OR(I166="",I166&lt;16,O166=""),"",O166+450)</f>
        <v/>
      </c>
      <c r="AG166" s="11" t="str">
        <f aca="false">IF(OR(I166="",I166&lt;17,O166=""),"",O166+480)</f>
        <v/>
      </c>
      <c r="AH166" s="11" t="str">
        <f aca="false">IF(OR(I166="",I166&lt;18,O166=""),"",O166+510)</f>
        <v/>
      </c>
      <c r="AI166" s="11" t="str">
        <f aca="false">IF(OR(I166="",I166&lt;19,O166=""),"",O166+540)</f>
        <v/>
      </c>
      <c r="AJ166" s="11" t="str">
        <f aca="false">IF(OR(I166="",I166&lt;20,O166=""),"",O166+570)</f>
        <v/>
      </c>
      <c r="AK166" s="11" t="str">
        <f aca="false">IF(OR(I166="",I166&lt;21,O166=""),"",O166+600)</f>
        <v/>
      </c>
      <c r="AL166" s="11" t="str">
        <f aca="false">IF(OR(I166="",I166&lt;22,O166=""),"",O166+630)</f>
        <v/>
      </c>
      <c r="AM166" s="11" t="str">
        <f aca="false">IF(OR(I166="",I166&lt;23,O166=""),"",O166+660)</f>
        <v/>
      </c>
      <c r="AN166" s="11" t="str">
        <f aca="false">IF(OR(I166="",I166&lt;24,O166=""),"",O166+690)</f>
        <v/>
      </c>
      <c r="AO166" s="7" t="str">
        <f aca="false">IF(J166="","",COUNTIF(Q166:AN166,TRUE())*J166)</f>
        <v/>
      </c>
      <c r="AP166" s="7" t="str">
        <f aca="false">IF(K166="","",K166-AO166)</f>
        <v/>
      </c>
      <c r="AQ166" s="7" t="str">
        <f aca="false">IF(K166="","",K166-F166-IF(N166="",0,N166))</f>
        <v/>
      </c>
    </row>
    <row r="167" customFormat="false" ht="15" hidden="false" customHeight="false" outlineLevel="0" collapsed="false">
      <c r="A167" s="12"/>
      <c r="B167" s="12"/>
      <c r="C167" s="12"/>
      <c r="D167" s="13"/>
      <c r="E167" s="13"/>
      <c r="F167" s="14"/>
      <c r="G167" s="12"/>
      <c r="H167" s="12"/>
      <c r="I167" s="12"/>
      <c r="J167" s="14"/>
      <c r="K167" s="15" t="str">
        <f aca="false">IF(OR(I167="",J167=""),"",I167*J167)</f>
        <v/>
      </c>
      <c r="L167" s="12"/>
      <c r="M167" s="16"/>
      <c r="N167" s="15" t="str">
        <f aca="false">IF(OR(L167="",M167="",K167=""),"",IF(L167="GANANCIA",(K167-F167)*M167,IF(L167="BRUTO",K167*M167,"")))</f>
        <v/>
      </c>
      <c r="O167" s="17" t="str">
        <f aca="false">IF(D167="","",D167)</f>
        <v/>
      </c>
      <c r="P167" s="18" t="str">
        <f aca="false">IF(I167="","",IF(COUNTIF(Q167:AN167,TRUE())&gt;=I167,"PAGADO",IF(COUNTIF(Q167:AN167,TRUE())&gt;0,"PARCIAL","VIGENTE")))</f>
        <v/>
      </c>
      <c r="Q167" s="19" t="str">
        <f aca="false">IF(OR(I167="",I167&lt;1,O167=""),"",O167+0)</f>
        <v/>
      </c>
      <c r="R167" s="19" t="str">
        <f aca="false">IF(OR(I167="",I167&lt;2,O167=""),"",O167+30)</f>
        <v/>
      </c>
      <c r="S167" s="19" t="str">
        <f aca="false">IF(OR(I167="",I167&lt;3,O167=""),"",O167+60)</f>
        <v/>
      </c>
      <c r="T167" s="19" t="str">
        <f aca="false">IF(OR(I167="",I167&lt;4,O167=""),"",O167+90)</f>
        <v/>
      </c>
      <c r="U167" s="19" t="str">
        <f aca="false">IF(OR(I167="",I167&lt;5,O167=""),"",O167+120)</f>
        <v/>
      </c>
      <c r="V167" s="19" t="str">
        <f aca="false">IF(OR(I167="",I167&lt;6,O167=""),"",O167+150)</f>
        <v/>
      </c>
      <c r="W167" s="19" t="str">
        <f aca="false">IF(OR(I167="",I167&lt;7,O167=""),"",O167+180)</f>
        <v/>
      </c>
      <c r="X167" s="19" t="str">
        <f aca="false">IF(OR(I167="",I167&lt;8,O167=""),"",O167+210)</f>
        <v/>
      </c>
      <c r="Y167" s="19" t="str">
        <f aca="false">IF(OR(I167="",I167&lt;9,O167=""),"",O167+240)</f>
        <v/>
      </c>
      <c r="Z167" s="19" t="str">
        <f aca="false">IF(OR(I167="",I167&lt;10,O167=""),"",O167+270)</f>
        <v/>
      </c>
      <c r="AA167" s="19" t="str">
        <f aca="false">IF(OR(I167="",I167&lt;11,O167=""),"",O167+300)</f>
        <v/>
      </c>
      <c r="AB167" s="19" t="str">
        <f aca="false">IF(OR(I167="",I167&lt;12,O167=""),"",O167+330)</f>
        <v/>
      </c>
      <c r="AC167" s="19" t="str">
        <f aca="false">IF(OR(I167="",I167&lt;13,O167=""),"",O167+360)</f>
        <v/>
      </c>
      <c r="AD167" s="19" t="str">
        <f aca="false">IF(OR(I167="",I167&lt;14,O167=""),"",O167+390)</f>
        <v/>
      </c>
      <c r="AE167" s="19" t="str">
        <f aca="false">IF(OR(I167="",I167&lt;15,O167=""),"",O167+420)</f>
        <v/>
      </c>
      <c r="AF167" s="19" t="str">
        <f aca="false">IF(OR(I167="",I167&lt;16,O167=""),"",O167+450)</f>
        <v/>
      </c>
      <c r="AG167" s="19" t="str">
        <f aca="false">IF(OR(I167="",I167&lt;17,O167=""),"",O167+480)</f>
        <v/>
      </c>
      <c r="AH167" s="19" t="str">
        <f aca="false">IF(OR(I167="",I167&lt;18,O167=""),"",O167+510)</f>
        <v/>
      </c>
      <c r="AI167" s="19" t="str">
        <f aca="false">IF(OR(I167="",I167&lt;19,O167=""),"",O167+540)</f>
        <v/>
      </c>
      <c r="AJ167" s="19" t="str">
        <f aca="false">IF(OR(I167="",I167&lt;20,O167=""),"",O167+570)</f>
        <v/>
      </c>
      <c r="AK167" s="19" t="str">
        <f aca="false">IF(OR(I167="",I167&lt;21,O167=""),"",O167+600)</f>
        <v/>
      </c>
      <c r="AL167" s="19" t="str">
        <f aca="false">IF(OR(I167="",I167&lt;22,O167=""),"",O167+630)</f>
        <v/>
      </c>
      <c r="AM167" s="19" t="str">
        <f aca="false">IF(OR(I167="",I167&lt;23,O167=""),"",O167+660)</f>
        <v/>
      </c>
      <c r="AN167" s="19" t="str">
        <f aca="false">IF(OR(I167="",I167&lt;24,O167=""),"",O167+690)</f>
        <v/>
      </c>
      <c r="AO167" s="15" t="str">
        <f aca="false">IF(J167="","",COUNTIF(Q167:AN167,TRUE())*J167)</f>
        <v/>
      </c>
      <c r="AP167" s="15" t="str">
        <f aca="false">IF(K167="","",K167-AO167)</f>
        <v/>
      </c>
      <c r="AQ167" s="15" t="str">
        <f aca="false">IF(K167="","",K167-F167-IF(N167="",0,N167))</f>
        <v/>
      </c>
    </row>
    <row r="168" customFormat="false" ht="15" hidden="false" customHeight="false" outlineLevel="0" collapsed="false">
      <c r="A168" s="4"/>
      <c r="B168" s="4"/>
      <c r="C168" s="4"/>
      <c r="D168" s="5"/>
      <c r="E168" s="5"/>
      <c r="F168" s="6"/>
      <c r="G168" s="4"/>
      <c r="H168" s="4"/>
      <c r="I168" s="4"/>
      <c r="J168" s="6"/>
      <c r="K168" s="7" t="str">
        <f aca="false">IF(OR(I168="",J168=""),"",I168*J168)</f>
        <v/>
      </c>
      <c r="L168" s="4"/>
      <c r="M168" s="8"/>
      <c r="N168" s="7" t="str">
        <f aca="false">IF(OR(L168="",M168="",K168=""),"",IF(L168="GANANCIA",(K168-F168)*M168,IF(L168="BRUTO",K168*M168,"")))</f>
        <v/>
      </c>
      <c r="O168" s="9" t="str">
        <f aca="false">IF(D168="","",D168)</f>
        <v/>
      </c>
      <c r="P168" s="10" t="str">
        <f aca="false">IF(I168="","",IF(COUNTIF(Q168:AN168,TRUE())&gt;=I168,"PAGADO",IF(COUNTIF(Q168:AN168,TRUE())&gt;0,"PARCIAL","VIGENTE")))</f>
        <v/>
      </c>
      <c r="Q168" s="11" t="str">
        <f aca="false">IF(OR(I168="",I168&lt;1,O168=""),"",O168+0)</f>
        <v/>
      </c>
      <c r="R168" s="11" t="str">
        <f aca="false">IF(OR(I168="",I168&lt;2,O168=""),"",O168+30)</f>
        <v/>
      </c>
      <c r="S168" s="11" t="str">
        <f aca="false">IF(OR(I168="",I168&lt;3,O168=""),"",O168+60)</f>
        <v/>
      </c>
      <c r="T168" s="11" t="str">
        <f aca="false">IF(OR(I168="",I168&lt;4,O168=""),"",O168+90)</f>
        <v/>
      </c>
      <c r="U168" s="11" t="str">
        <f aca="false">IF(OR(I168="",I168&lt;5,O168=""),"",O168+120)</f>
        <v/>
      </c>
      <c r="V168" s="11" t="str">
        <f aca="false">IF(OR(I168="",I168&lt;6,O168=""),"",O168+150)</f>
        <v/>
      </c>
      <c r="W168" s="11" t="str">
        <f aca="false">IF(OR(I168="",I168&lt;7,O168=""),"",O168+180)</f>
        <v/>
      </c>
      <c r="X168" s="11" t="str">
        <f aca="false">IF(OR(I168="",I168&lt;8,O168=""),"",O168+210)</f>
        <v/>
      </c>
      <c r="Y168" s="11" t="str">
        <f aca="false">IF(OR(I168="",I168&lt;9,O168=""),"",O168+240)</f>
        <v/>
      </c>
      <c r="Z168" s="11" t="str">
        <f aca="false">IF(OR(I168="",I168&lt;10,O168=""),"",O168+270)</f>
        <v/>
      </c>
      <c r="AA168" s="11" t="str">
        <f aca="false">IF(OR(I168="",I168&lt;11,O168=""),"",O168+300)</f>
        <v/>
      </c>
      <c r="AB168" s="11" t="str">
        <f aca="false">IF(OR(I168="",I168&lt;12,O168=""),"",O168+330)</f>
        <v/>
      </c>
      <c r="AC168" s="11" t="str">
        <f aca="false">IF(OR(I168="",I168&lt;13,O168=""),"",O168+360)</f>
        <v/>
      </c>
      <c r="AD168" s="11" t="str">
        <f aca="false">IF(OR(I168="",I168&lt;14,O168=""),"",O168+390)</f>
        <v/>
      </c>
      <c r="AE168" s="11" t="str">
        <f aca="false">IF(OR(I168="",I168&lt;15,O168=""),"",O168+420)</f>
        <v/>
      </c>
      <c r="AF168" s="11" t="str">
        <f aca="false">IF(OR(I168="",I168&lt;16,O168=""),"",O168+450)</f>
        <v/>
      </c>
      <c r="AG168" s="11" t="str">
        <f aca="false">IF(OR(I168="",I168&lt;17,O168=""),"",O168+480)</f>
        <v/>
      </c>
      <c r="AH168" s="11" t="str">
        <f aca="false">IF(OR(I168="",I168&lt;18,O168=""),"",O168+510)</f>
        <v/>
      </c>
      <c r="AI168" s="11" t="str">
        <f aca="false">IF(OR(I168="",I168&lt;19,O168=""),"",O168+540)</f>
        <v/>
      </c>
      <c r="AJ168" s="11" t="str">
        <f aca="false">IF(OR(I168="",I168&lt;20,O168=""),"",O168+570)</f>
        <v/>
      </c>
      <c r="AK168" s="11" t="str">
        <f aca="false">IF(OR(I168="",I168&lt;21,O168=""),"",O168+600)</f>
        <v/>
      </c>
      <c r="AL168" s="11" t="str">
        <f aca="false">IF(OR(I168="",I168&lt;22,O168=""),"",O168+630)</f>
        <v/>
      </c>
      <c r="AM168" s="11" t="str">
        <f aca="false">IF(OR(I168="",I168&lt;23,O168=""),"",O168+660)</f>
        <v/>
      </c>
      <c r="AN168" s="11" t="str">
        <f aca="false">IF(OR(I168="",I168&lt;24,O168=""),"",O168+690)</f>
        <v/>
      </c>
      <c r="AO168" s="7" t="str">
        <f aca="false">IF(J168="","",COUNTIF(Q168:AN168,TRUE())*J168)</f>
        <v/>
      </c>
      <c r="AP168" s="7" t="str">
        <f aca="false">IF(K168="","",K168-AO168)</f>
        <v/>
      </c>
      <c r="AQ168" s="7" t="str">
        <f aca="false">IF(K168="","",K168-F168-IF(N168="",0,N168))</f>
        <v/>
      </c>
    </row>
    <row r="169" customFormat="false" ht="15" hidden="false" customHeight="false" outlineLevel="0" collapsed="false">
      <c r="A169" s="12"/>
      <c r="B169" s="12"/>
      <c r="C169" s="12"/>
      <c r="D169" s="13"/>
      <c r="E169" s="13"/>
      <c r="F169" s="14"/>
      <c r="G169" s="12"/>
      <c r="H169" s="12"/>
      <c r="I169" s="12"/>
      <c r="J169" s="14"/>
      <c r="K169" s="15" t="str">
        <f aca="false">IF(OR(I169="",J169=""),"",I169*J169)</f>
        <v/>
      </c>
      <c r="L169" s="12"/>
      <c r="M169" s="16"/>
      <c r="N169" s="15" t="str">
        <f aca="false">IF(OR(L169="",M169="",K169=""),"",IF(L169="GANANCIA",(K169-F169)*M169,IF(L169="BRUTO",K169*M169,"")))</f>
        <v/>
      </c>
      <c r="O169" s="17" t="str">
        <f aca="false">IF(D169="","",D169)</f>
        <v/>
      </c>
      <c r="P169" s="18" t="str">
        <f aca="false">IF(I169="","",IF(COUNTIF(Q169:AN169,TRUE())&gt;=I169,"PAGADO",IF(COUNTIF(Q169:AN169,TRUE())&gt;0,"PARCIAL","VIGENTE")))</f>
        <v/>
      </c>
      <c r="Q169" s="19" t="str">
        <f aca="false">IF(OR(I169="",I169&lt;1,O169=""),"",O169+0)</f>
        <v/>
      </c>
      <c r="R169" s="19" t="str">
        <f aca="false">IF(OR(I169="",I169&lt;2,O169=""),"",O169+30)</f>
        <v/>
      </c>
      <c r="S169" s="19" t="str">
        <f aca="false">IF(OR(I169="",I169&lt;3,O169=""),"",O169+60)</f>
        <v/>
      </c>
      <c r="T169" s="19" t="str">
        <f aca="false">IF(OR(I169="",I169&lt;4,O169=""),"",O169+90)</f>
        <v/>
      </c>
      <c r="U169" s="19" t="str">
        <f aca="false">IF(OR(I169="",I169&lt;5,O169=""),"",O169+120)</f>
        <v/>
      </c>
      <c r="V169" s="19" t="str">
        <f aca="false">IF(OR(I169="",I169&lt;6,O169=""),"",O169+150)</f>
        <v/>
      </c>
      <c r="W169" s="19" t="str">
        <f aca="false">IF(OR(I169="",I169&lt;7,O169=""),"",O169+180)</f>
        <v/>
      </c>
      <c r="X169" s="19" t="str">
        <f aca="false">IF(OR(I169="",I169&lt;8,O169=""),"",O169+210)</f>
        <v/>
      </c>
      <c r="Y169" s="19" t="str">
        <f aca="false">IF(OR(I169="",I169&lt;9,O169=""),"",O169+240)</f>
        <v/>
      </c>
      <c r="Z169" s="19" t="str">
        <f aca="false">IF(OR(I169="",I169&lt;10,O169=""),"",O169+270)</f>
        <v/>
      </c>
      <c r="AA169" s="19" t="str">
        <f aca="false">IF(OR(I169="",I169&lt;11,O169=""),"",O169+300)</f>
        <v/>
      </c>
      <c r="AB169" s="19" t="str">
        <f aca="false">IF(OR(I169="",I169&lt;12,O169=""),"",O169+330)</f>
        <v/>
      </c>
      <c r="AC169" s="19" t="str">
        <f aca="false">IF(OR(I169="",I169&lt;13,O169=""),"",O169+360)</f>
        <v/>
      </c>
      <c r="AD169" s="19" t="str">
        <f aca="false">IF(OR(I169="",I169&lt;14,O169=""),"",O169+390)</f>
        <v/>
      </c>
      <c r="AE169" s="19" t="str">
        <f aca="false">IF(OR(I169="",I169&lt;15,O169=""),"",O169+420)</f>
        <v/>
      </c>
      <c r="AF169" s="19" t="str">
        <f aca="false">IF(OR(I169="",I169&lt;16,O169=""),"",O169+450)</f>
        <v/>
      </c>
      <c r="AG169" s="19" t="str">
        <f aca="false">IF(OR(I169="",I169&lt;17,O169=""),"",O169+480)</f>
        <v/>
      </c>
      <c r="AH169" s="19" t="str">
        <f aca="false">IF(OR(I169="",I169&lt;18,O169=""),"",O169+510)</f>
        <v/>
      </c>
      <c r="AI169" s="19" t="str">
        <f aca="false">IF(OR(I169="",I169&lt;19,O169=""),"",O169+540)</f>
        <v/>
      </c>
      <c r="AJ169" s="19" t="str">
        <f aca="false">IF(OR(I169="",I169&lt;20,O169=""),"",O169+570)</f>
        <v/>
      </c>
      <c r="AK169" s="19" t="str">
        <f aca="false">IF(OR(I169="",I169&lt;21,O169=""),"",O169+600)</f>
        <v/>
      </c>
      <c r="AL169" s="19" t="str">
        <f aca="false">IF(OR(I169="",I169&lt;22,O169=""),"",O169+630)</f>
        <v/>
      </c>
      <c r="AM169" s="19" t="str">
        <f aca="false">IF(OR(I169="",I169&lt;23,O169=""),"",O169+660)</f>
        <v/>
      </c>
      <c r="AN169" s="19" t="str">
        <f aca="false">IF(OR(I169="",I169&lt;24,O169=""),"",O169+690)</f>
        <v/>
      </c>
      <c r="AO169" s="15" t="str">
        <f aca="false">IF(J169="","",COUNTIF(Q169:AN169,TRUE())*J169)</f>
        <v/>
      </c>
      <c r="AP169" s="15" t="str">
        <f aca="false">IF(K169="","",K169-AO169)</f>
        <v/>
      </c>
      <c r="AQ169" s="15" t="str">
        <f aca="false">IF(K169="","",K169-F169-IF(N169="",0,N169))</f>
        <v/>
      </c>
    </row>
    <row r="170" customFormat="false" ht="15" hidden="false" customHeight="false" outlineLevel="0" collapsed="false">
      <c r="A170" s="4"/>
      <c r="B170" s="4"/>
      <c r="C170" s="4"/>
      <c r="D170" s="5"/>
      <c r="E170" s="5"/>
      <c r="F170" s="6"/>
      <c r="G170" s="4"/>
      <c r="H170" s="4"/>
      <c r="I170" s="4"/>
      <c r="J170" s="6"/>
      <c r="K170" s="7" t="str">
        <f aca="false">IF(OR(I170="",J170=""),"",I170*J170)</f>
        <v/>
      </c>
      <c r="L170" s="4"/>
      <c r="M170" s="8"/>
      <c r="N170" s="7" t="str">
        <f aca="false">IF(OR(L170="",M170="",K170=""),"",IF(L170="GANANCIA",(K170-F170)*M170,IF(L170="BRUTO",K170*M170,"")))</f>
        <v/>
      </c>
      <c r="O170" s="9" t="str">
        <f aca="false">IF(D170="","",D170)</f>
        <v/>
      </c>
      <c r="P170" s="10" t="str">
        <f aca="false">IF(I170="","",IF(COUNTIF(Q170:AN170,TRUE())&gt;=I170,"PAGADO",IF(COUNTIF(Q170:AN170,TRUE())&gt;0,"PARCIAL","VIGENTE")))</f>
        <v/>
      </c>
      <c r="Q170" s="11" t="str">
        <f aca="false">IF(OR(I170="",I170&lt;1,O170=""),"",O170+0)</f>
        <v/>
      </c>
      <c r="R170" s="11" t="str">
        <f aca="false">IF(OR(I170="",I170&lt;2,O170=""),"",O170+30)</f>
        <v/>
      </c>
      <c r="S170" s="11" t="str">
        <f aca="false">IF(OR(I170="",I170&lt;3,O170=""),"",O170+60)</f>
        <v/>
      </c>
      <c r="T170" s="11" t="str">
        <f aca="false">IF(OR(I170="",I170&lt;4,O170=""),"",O170+90)</f>
        <v/>
      </c>
      <c r="U170" s="11" t="str">
        <f aca="false">IF(OR(I170="",I170&lt;5,O170=""),"",O170+120)</f>
        <v/>
      </c>
      <c r="V170" s="11" t="str">
        <f aca="false">IF(OR(I170="",I170&lt;6,O170=""),"",O170+150)</f>
        <v/>
      </c>
      <c r="W170" s="11" t="str">
        <f aca="false">IF(OR(I170="",I170&lt;7,O170=""),"",O170+180)</f>
        <v/>
      </c>
      <c r="X170" s="11" t="str">
        <f aca="false">IF(OR(I170="",I170&lt;8,O170=""),"",O170+210)</f>
        <v/>
      </c>
      <c r="Y170" s="11" t="str">
        <f aca="false">IF(OR(I170="",I170&lt;9,O170=""),"",O170+240)</f>
        <v/>
      </c>
      <c r="Z170" s="11" t="str">
        <f aca="false">IF(OR(I170="",I170&lt;10,O170=""),"",O170+270)</f>
        <v/>
      </c>
      <c r="AA170" s="11" t="str">
        <f aca="false">IF(OR(I170="",I170&lt;11,O170=""),"",O170+300)</f>
        <v/>
      </c>
      <c r="AB170" s="11" t="str">
        <f aca="false">IF(OR(I170="",I170&lt;12,O170=""),"",O170+330)</f>
        <v/>
      </c>
      <c r="AC170" s="11" t="str">
        <f aca="false">IF(OR(I170="",I170&lt;13,O170=""),"",O170+360)</f>
        <v/>
      </c>
      <c r="AD170" s="11" t="str">
        <f aca="false">IF(OR(I170="",I170&lt;14,O170=""),"",O170+390)</f>
        <v/>
      </c>
      <c r="AE170" s="11" t="str">
        <f aca="false">IF(OR(I170="",I170&lt;15,O170=""),"",O170+420)</f>
        <v/>
      </c>
      <c r="AF170" s="11" t="str">
        <f aca="false">IF(OR(I170="",I170&lt;16,O170=""),"",O170+450)</f>
        <v/>
      </c>
      <c r="AG170" s="11" t="str">
        <f aca="false">IF(OR(I170="",I170&lt;17,O170=""),"",O170+480)</f>
        <v/>
      </c>
      <c r="AH170" s="11" t="str">
        <f aca="false">IF(OR(I170="",I170&lt;18,O170=""),"",O170+510)</f>
        <v/>
      </c>
      <c r="AI170" s="11" t="str">
        <f aca="false">IF(OR(I170="",I170&lt;19,O170=""),"",O170+540)</f>
        <v/>
      </c>
      <c r="AJ170" s="11" t="str">
        <f aca="false">IF(OR(I170="",I170&lt;20,O170=""),"",O170+570)</f>
        <v/>
      </c>
      <c r="AK170" s="11" t="str">
        <f aca="false">IF(OR(I170="",I170&lt;21,O170=""),"",O170+600)</f>
        <v/>
      </c>
      <c r="AL170" s="11" t="str">
        <f aca="false">IF(OR(I170="",I170&lt;22,O170=""),"",O170+630)</f>
        <v/>
      </c>
      <c r="AM170" s="11" t="str">
        <f aca="false">IF(OR(I170="",I170&lt;23,O170=""),"",O170+660)</f>
        <v/>
      </c>
      <c r="AN170" s="11" t="str">
        <f aca="false">IF(OR(I170="",I170&lt;24,O170=""),"",O170+690)</f>
        <v/>
      </c>
      <c r="AO170" s="7" t="str">
        <f aca="false">IF(J170="","",COUNTIF(Q170:AN170,TRUE())*J170)</f>
        <v/>
      </c>
      <c r="AP170" s="7" t="str">
        <f aca="false">IF(K170="","",K170-AO170)</f>
        <v/>
      </c>
      <c r="AQ170" s="7" t="str">
        <f aca="false">IF(K170="","",K170-F170-IF(N170="",0,N170))</f>
        <v/>
      </c>
    </row>
    <row r="171" customFormat="false" ht="15" hidden="false" customHeight="false" outlineLevel="0" collapsed="false">
      <c r="A171" s="12"/>
      <c r="B171" s="12"/>
      <c r="C171" s="12"/>
      <c r="D171" s="13"/>
      <c r="E171" s="13"/>
      <c r="F171" s="14"/>
      <c r="G171" s="12"/>
      <c r="H171" s="12"/>
      <c r="I171" s="12"/>
      <c r="J171" s="14"/>
      <c r="K171" s="15" t="str">
        <f aca="false">IF(OR(I171="",J171=""),"",I171*J171)</f>
        <v/>
      </c>
      <c r="L171" s="12"/>
      <c r="M171" s="16"/>
      <c r="N171" s="15" t="str">
        <f aca="false">IF(OR(L171="",M171="",K171=""),"",IF(L171="GANANCIA",(K171-F171)*M171,IF(L171="BRUTO",K171*M171,"")))</f>
        <v/>
      </c>
      <c r="O171" s="17" t="str">
        <f aca="false">IF(D171="","",D171)</f>
        <v/>
      </c>
      <c r="P171" s="18" t="str">
        <f aca="false">IF(I171="","",IF(COUNTIF(Q171:AN171,TRUE())&gt;=I171,"PAGADO",IF(COUNTIF(Q171:AN171,TRUE())&gt;0,"PARCIAL","VIGENTE")))</f>
        <v/>
      </c>
      <c r="Q171" s="19" t="str">
        <f aca="false">IF(OR(I171="",I171&lt;1,O171=""),"",O171+0)</f>
        <v/>
      </c>
      <c r="R171" s="19" t="str">
        <f aca="false">IF(OR(I171="",I171&lt;2,O171=""),"",O171+30)</f>
        <v/>
      </c>
      <c r="S171" s="19" t="str">
        <f aca="false">IF(OR(I171="",I171&lt;3,O171=""),"",O171+60)</f>
        <v/>
      </c>
      <c r="T171" s="19" t="str">
        <f aca="false">IF(OR(I171="",I171&lt;4,O171=""),"",O171+90)</f>
        <v/>
      </c>
      <c r="U171" s="19" t="str">
        <f aca="false">IF(OR(I171="",I171&lt;5,O171=""),"",O171+120)</f>
        <v/>
      </c>
      <c r="V171" s="19" t="str">
        <f aca="false">IF(OR(I171="",I171&lt;6,O171=""),"",O171+150)</f>
        <v/>
      </c>
      <c r="W171" s="19" t="str">
        <f aca="false">IF(OR(I171="",I171&lt;7,O171=""),"",O171+180)</f>
        <v/>
      </c>
      <c r="X171" s="19" t="str">
        <f aca="false">IF(OR(I171="",I171&lt;8,O171=""),"",O171+210)</f>
        <v/>
      </c>
      <c r="Y171" s="19" t="str">
        <f aca="false">IF(OR(I171="",I171&lt;9,O171=""),"",O171+240)</f>
        <v/>
      </c>
      <c r="Z171" s="19" t="str">
        <f aca="false">IF(OR(I171="",I171&lt;10,O171=""),"",O171+270)</f>
        <v/>
      </c>
      <c r="AA171" s="19" t="str">
        <f aca="false">IF(OR(I171="",I171&lt;11,O171=""),"",O171+300)</f>
        <v/>
      </c>
      <c r="AB171" s="19" t="str">
        <f aca="false">IF(OR(I171="",I171&lt;12,O171=""),"",O171+330)</f>
        <v/>
      </c>
      <c r="AC171" s="19" t="str">
        <f aca="false">IF(OR(I171="",I171&lt;13,O171=""),"",O171+360)</f>
        <v/>
      </c>
      <c r="AD171" s="19" t="str">
        <f aca="false">IF(OR(I171="",I171&lt;14,O171=""),"",O171+390)</f>
        <v/>
      </c>
      <c r="AE171" s="19" t="str">
        <f aca="false">IF(OR(I171="",I171&lt;15,O171=""),"",O171+420)</f>
        <v/>
      </c>
      <c r="AF171" s="19" t="str">
        <f aca="false">IF(OR(I171="",I171&lt;16,O171=""),"",O171+450)</f>
        <v/>
      </c>
      <c r="AG171" s="19" t="str">
        <f aca="false">IF(OR(I171="",I171&lt;17,O171=""),"",O171+480)</f>
        <v/>
      </c>
      <c r="AH171" s="19" t="str">
        <f aca="false">IF(OR(I171="",I171&lt;18,O171=""),"",O171+510)</f>
        <v/>
      </c>
      <c r="AI171" s="19" t="str">
        <f aca="false">IF(OR(I171="",I171&lt;19,O171=""),"",O171+540)</f>
        <v/>
      </c>
      <c r="AJ171" s="19" t="str">
        <f aca="false">IF(OR(I171="",I171&lt;20,O171=""),"",O171+570)</f>
        <v/>
      </c>
      <c r="AK171" s="19" t="str">
        <f aca="false">IF(OR(I171="",I171&lt;21,O171=""),"",O171+600)</f>
        <v/>
      </c>
      <c r="AL171" s="19" t="str">
        <f aca="false">IF(OR(I171="",I171&lt;22,O171=""),"",O171+630)</f>
        <v/>
      </c>
      <c r="AM171" s="19" t="str">
        <f aca="false">IF(OR(I171="",I171&lt;23,O171=""),"",O171+660)</f>
        <v/>
      </c>
      <c r="AN171" s="19" t="str">
        <f aca="false">IF(OR(I171="",I171&lt;24,O171=""),"",O171+690)</f>
        <v/>
      </c>
      <c r="AO171" s="15" t="str">
        <f aca="false">IF(J171="","",COUNTIF(Q171:AN171,TRUE())*J171)</f>
        <v/>
      </c>
      <c r="AP171" s="15" t="str">
        <f aca="false">IF(K171="","",K171-AO171)</f>
        <v/>
      </c>
      <c r="AQ171" s="15" t="str">
        <f aca="false">IF(K171="","",K171-F171-IF(N171="",0,N171))</f>
        <v/>
      </c>
    </row>
    <row r="172" customFormat="false" ht="15" hidden="false" customHeight="false" outlineLevel="0" collapsed="false">
      <c r="A172" s="4"/>
      <c r="B172" s="4"/>
      <c r="C172" s="4"/>
      <c r="D172" s="5"/>
      <c r="E172" s="5"/>
      <c r="F172" s="6"/>
      <c r="G172" s="4"/>
      <c r="H172" s="4"/>
      <c r="I172" s="4"/>
      <c r="J172" s="6"/>
      <c r="K172" s="7" t="str">
        <f aca="false">IF(OR(I172="",J172=""),"",I172*J172)</f>
        <v/>
      </c>
      <c r="L172" s="4"/>
      <c r="M172" s="8"/>
      <c r="N172" s="7" t="str">
        <f aca="false">IF(OR(L172="",M172="",K172=""),"",IF(L172="GANANCIA",(K172-F172)*M172,IF(L172="BRUTO",K172*M172,"")))</f>
        <v/>
      </c>
      <c r="O172" s="9" t="str">
        <f aca="false">IF(D172="","",D172)</f>
        <v/>
      </c>
      <c r="P172" s="10" t="str">
        <f aca="false">IF(I172="","",IF(COUNTIF(Q172:AN172,TRUE())&gt;=I172,"PAGADO",IF(COUNTIF(Q172:AN172,TRUE())&gt;0,"PARCIAL","VIGENTE")))</f>
        <v/>
      </c>
      <c r="Q172" s="11" t="str">
        <f aca="false">IF(OR(I172="",I172&lt;1,O172=""),"",O172+0)</f>
        <v/>
      </c>
      <c r="R172" s="11" t="str">
        <f aca="false">IF(OR(I172="",I172&lt;2,O172=""),"",O172+30)</f>
        <v/>
      </c>
      <c r="S172" s="11" t="str">
        <f aca="false">IF(OR(I172="",I172&lt;3,O172=""),"",O172+60)</f>
        <v/>
      </c>
      <c r="T172" s="11" t="str">
        <f aca="false">IF(OR(I172="",I172&lt;4,O172=""),"",O172+90)</f>
        <v/>
      </c>
      <c r="U172" s="11" t="str">
        <f aca="false">IF(OR(I172="",I172&lt;5,O172=""),"",O172+120)</f>
        <v/>
      </c>
      <c r="V172" s="11" t="str">
        <f aca="false">IF(OR(I172="",I172&lt;6,O172=""),"",O172+150)</f>
        <v/>
      </c>
      <c r="W172" s="11" t="str">
        <f aca="false">IF(OR(I172="",I172&lt;7,O172=""),"",O172+180)</f>
        <v/>
      </c>
      <c r="X172" s="11" t="str">
        <f aca="false">IF(OR(I172="",I172&lt;8,O172=""),"",O172+210)</f>
        <v/>
      </c>
      <c r="Y172" s="11" t="str">
        <f aca="false">IF(OR(I172="",I172&lt;9,O172=""),"",O172+240)</f>
        <v/>
      </c>
      <c r="Z172" s="11" t="str">
        <f aca="false">IF(OR(I172="",I172&lt;10,O172=""),"",O172+270)</f>
        <v/>
      </c>
      <c r="AA172" s="11" t="str">
        <f aca="false">IF(OR(I172="",I172&lt;11,O172=""),"",O172+300)</f>
        <v/>
      </c>
      <c r="AB172" s="11" t="str">
        <f aca="false">IF(OR(I172="",I172&lt;12,O172=""),"",O172+330)</f>
        <v/>
      </c>
      <c r="AC172" s="11" t="str">
        <f aca="false">IF(OR(I172="",I172&lt;13,O172=""),"",O172+360)</f>
        <v/>
      </c>
      <c r="AD172" s="11" t="str">
        <f aca="false">IF(OR(I172="",I172&lt;14,O172=""),"",O172+390)</f>
        <v/>
      </c>
      <c r="AE172" s="11" t="str">
        <f aca="false">IF(OR(I172="",I172&lt;15,O172=""),"",O172+420)</f>
        <v/>
      </c>
      <c r="AF172" s="11" t="str">
        <f aca="false">IF(OR(I172="",I172&lt;16,O172=""),"",O172+450)</f>
        <v/>
      </c>
      <c r="AG172" s="11" t="str">
        <f aca="false">IF(OR(I172="",I172&lt;17,O172=""),"",O172+480)</f>
        <v/>
      </c>
      <c r="AH172" s="11" t="str">
        <f aca="false">IF(OR(I172="",I172&lt;18,O172=""),"",O172+510)</f>
        <v/>
      </c>
      <c r="AI172" s="11" t="str">
        <f aca="false">IF(OR(I172="",I172&lt;19,O172=""),"",O172+540)</f>
        <v/>
      </c>
      <c r="AJ172" s="11" t="str">
        <f aca="false">IF(OR(I172="",I172&lt;20,O172=""),"",O172+570)</f>
        <v/>
      </c>
      <c r="AK172" s="11" t="str">
        <f aca="false">IF(OR(I172="",I172&lt;21,O172=""),"",O172+600)</f>
        <v/>
      </c>
      <c r="AL172" s="11" t="str">
        <f aca="false">IF(OR(I172="",I172&lt;22,O172=""),"",O172+630)</f>
        <v/>
      </c>
      <c r="AM172" s="11" t="str">
        <f aca="false">IF(OR(I172="",I172&lt;23,O172=""),"",O172+660)</f>
        <v/>
      </c>
      <c r="AN172" s="11" t="str">
        <f aca="false">IF(OR(I172="",I172&lt;24,O172=""),"",O172+690)</f>
        <v/>
      </c>
      <c r="AO172" s="7" t="str">
        <f aca="false">IF(J172="","",COUNTIF(Q172:AN172,TRUE())*J172)</f>
        <v/>
      </c>
      <c r="AP172" s="7" t="str">
        <f aca="false">IF(K172="","",K172-AO172)</f>
        <v/>
      </c>
      <c r="AQ172" s="7" t="str">
        <f aca="false">IF(K172="","",K172-F172-IF(N172="",0,N172))</f>
        <v/>
      </c>
    </row>
    <row r="173" customFormat="false" ht="15" hidden="false" customHeight="false" outlineLevel="0" collapsed="false">
      <c r="A173" s="12"/>
      <c r="B173" s="12"/>
      <c r="C173" s="12"/>
      <c r="D173" s="13"/>
      <c r="E173" s="13"/>
      <c r="F173" s="14"/>
      <c r="G173" s="12"/>
      <c r="H173" s="12"/>
      <c r="I173" s="12"/>
      <c r="J173" s="14"/>
      <c r="K173" s="15" t="str">
        <f aca="false">IF(OR(I173="",J173=""),"",I173*J173)</f>
        <v/>
      </c>
      <c r="L173" s="12"/>
      <c r="M173" s="16"/>
      <c r="N173" s="15" t="str">
        <f aca="false">IF(OR(L173="",M173="",K173=""),"",IF(L173="GANANCIA",(K173-F173)*M173,IF(L173="BRUTO",K173*M173,"")))</f>
        <v/>
      </c>
      <c r="O173" s="17" t="str">
        <f aca="false">IF(D173="","",D173)</f>
        <v/>
      </c>
      <c r="P173" s="18" t="str">
        <f aca="false">IF(I173="","",IF(COUNTIF(Q173:AN173,TRUE())&gt;=I173,"PAGADO",IF(COUNTIF(Q173:AN173,TRUE())&gt;0,"PARCIAL","VIGENTE")))</f>
        <v/>
      </c>
      <c r="Q173" s="19" t="str">
        <f aca="false">IF(OR(I173="",I173&lt;1,O173=""),"",O173+0)</f>
        <v/>
      </c>
      <c r="R173" s="19" t="str">
        <f aca="false">IF(OR(I173="",I173&lt;2,O173=""),"",O173+30)</f>
        <v/>
      </c>
      <c r="S173" s="19" t="str">
        <f aca="false">IF(OR(I173="",I173&lt;3,O173=""),"",O173+60)</f>
        <v/>
      </c>
      <c r="T173" s="19" t="str">
        <f aca="false">IF(OR(I173="",I173&lt;4,O173=""),"",O173+90)</f>
        <v/>
      </c>
      <c r="U173" s="19" t="str">
        <f aca="false">IF(OR(I173="",I173&lt;5,O173=""),"",O173+120)</f>
        <v/>
      </c>
      <c r="V173" s="19" t="str">
        <f aca="false">IF(OR(I173="",I173&lt;6,O173=""),"",O173+150)</f>
        <v/>
      </c>
      <c r="W173" s="19" t="str">
        <f aca="false">IF(OR(I173="",I173&lt;7,O173=""),"",O173+180)</f>
        <v/>
      </c>
      <c r="X173" s="19" t="str">
        <f aca="false">IF(OR(I173="",I173&lt;8,O173=""),"",O173+210)</f>
        <v/>
      </c>
      <c r="Y173" s="19" t="str">
        <f aca="false">IF(OR(I173="",I173&lt;9,O173=""),"",O173+240)</f>
        <v/>
      </c>
      <c r="Z173" s="19" t="str">
        <f aca="false">IF(OR(I173="",I173&lt;10,O173=""),"",O173+270)</f>
        <v/>
      </c>
      <c r="AA173" s="19" t="str">
        <f aca="false">IF(OR(I173="",I173&lt;11,O173=""),"",O173+300)</f>
        <v/>
      </c>
      <c r="AB173" s="19" t="str">
        <f aca="false">IF(OR(I173="",I173&lt;12,O173=""),"",O173+330)</f>
        <v/>
      </c>
      <c r="AC173" s="19" t="str">
        <f aca="false">IF(OR(I173="",I173&lt;13,O173=""),"",O173+360)</f>
        <v/>
      </c>
      <c r="AD173" s="19" t="str">
        <f aca="false">IF(OR(I173="",I173&lt;14,O173=""),"",O173+390)</f>
        <v/>
      </c>
      <c r="AE173" s="19" t="str">
        <f aca="false">IF(OR(I173="",I173&lt;15,O173=""),"",O173+420)</f>
        <v/>
      </c>
      <c r="AF173" s="19" t="str">
        <f aca="false">IF(OR(I173="",I173&lt;16,O173=""),"",O173+450)</f>
        <v/>
      </c>
      <c r="AG173" s="19" t="str">
        <f aca="false">IF(OR(I173="",I173&lt;17,O173=""),"",O173+480)</f>
        <v/>
      </c>
      <c r="AH173" s="19" t="str">
        <f aca="false">IF(OR(I173="",I173&lt;18,O173=""),"",O173+510)</f>
        <v/>
      </c>
      <c r="AI173" s="19" t="str">
        <f aca="false">IF(OR(I173="",I173&lt;19,O173=""),"",O173+540)</f>
        <v/>
      </c>
      <c r="AJ173" s="19" t="str">
        <f aca="false">IF(OR(I173="",I173&lt;20,O173=""),"",O173+570)</f>
        <v/>
      </c>
      <c r="AK173" s="19" t="str">
        <f aca="false">IF(OR(I173="",I173&lt;21,O173=""),"",O173+600)</f>
        <v/>
      </c>
      <c r="AL173" s="19" t="str">
        <f aca="false">IF(OR(I173="",I173&lt;22,O173=""),"",O173+630)</f>
        <v/>
      </c>
      <c r="AM173" s="19" t="str">
        <f aca="false">IF(OR(I173="",I173&lt;23,O173=""),"",O173+660)</f>
        <v/>
      </c>
      <c r="AN173" s="19" t="str">
        <f aca="false">IF(OR(I173="",I173&lt;24,O173=""),"",O173+690)</f>
        <v/>
      </c>
      <c r="AO173" s="15" t="str">
        <f aca="false">IF(J173="","",COUNTIF(Q173:AN173,TRUE())*J173)</f>
        <v/>
      </c>
      <c r="AP173" s="15" t="str">
        <f aca="false">IF(K173="","",K173-AO173)</f>
        <v/>
      </c>
      <c r="AQ173" s="15" t="str">
        <f aca="false">IF(K173="","",K173-F173-IF(N173="",0,N173))</f>
        <v/>
      </c>
    </row>
    <row r="174" customFormat="false" ht="15" hidden="false" customHeight="false" outlineLevel="0" collapsed="false">
      <c r="A174" s="4"/>
      <c r="B174" s="4"/>
      <c r="C174" s="4"/>
      <c r="D174" s="5"/>
      <c r="E174" s="5"/>
      <c r="F174" s="6"/>
      <c r="G174" s="4"/>
      <c r="H174" s="4"/>
      <c r="I174" s="4"/>
      <c r="J174" s="6"/>
      <c r="K174" s="7" t="str">
        <f aca="false">IF(OR(I174="",J174=""),"",I174*J174)</f>
        <v/>
      </c>
      <c r="L174" s="4"/>
      <c r="M174" s="8"/>
      <c r="N174" s="7" t="str">
        <f aca="false">IF(OR(L174="",M174="",K174=""),"",IF(L174="GANANCIA",(K174-F174)*M174,IF(L174="BRUTO",K174*M174,"")))</f>
        <v/>
      </c>
      <c r="O174" s="9" t="str">
        <f aca="false">IF(D174="","",D174)</f>
        <v/>
      </c>
      <c r="P174" s="10" t="str">
        <f aca="false">IF(I174="","",IF(COUNTIF(Q174:AN174,TRUE())&gt;=I174,"PAGADO",IF(COUNTIF(Q174:AN174,TRUE())&gt;0,"PARCIAL","VIGENTE")))</f>
        <v/>
      </c>
      <c r="Q174" s="11" t="str">
        <f aca="false">IF(OR(I174="",I174&lt;1,O174=""),"",O174+0)</f>
        <v/>
      </c>
      <c r="R174" s="11" t="str">
        <f aca="false">IF(OR(I174="",I174&lt;2,O174=""),"",O174+30)</f>
        <v/>
      </c>
      <c r="S174" s="11" t="str">
        <f aca="false">IF(OR(I174="",I174&lt;3,O174=""),"",O174+60)</f>
        <v/>
      </c>
      <c r="T174" s="11" t="str">
        <f aca="false">IF(OR(I174="",I174&lt;4,O174=""),"",O174+90)</f>
        <v/>
      </c>
      <c r="U174" s="11" t="str">
        <f aca="false">IF(OR(I174="",I174&lt;5,O174=""),"",O174+120)</f>
        <v/>
      </c>
      <c r="V174" s="11" t="str">
        <f aca="false">IF(OR(I174="",I174&lt;6,O174=""),"",O174+150)</f>
        <v/>
      </c>
      <c r="W174" s="11" t="str">
        <f aca="false">IF(OR(I174="",I174&lt;7,O174=""),"",O174+180)</f>
        <v/>
      </c>
      <c r="X174" s="11" t="str">
        <f aca="false">IF(OR(I174="",I174&lt;8,O174=""),"",O174+210)</f>
        <v/>
      </c>
      <c r="Y174" s="11" t="str">
        <f aca="false">IF(OR(I174="",I174&lt;9,O174=""),"",O174+240)</f>
        <v/>
      </c>
      <c r="Z174" s="11" t="str">
        <f aca="false">IF(OR(I174="",I174&lt;10,O174=""),"",O174+270)</f>
        <v/>
      </c>
      <c r="AA174" s="11" t="str">
        <f aca="false">IF(OR(I174="",I174&lt;11,O174=""),"",O174+300)</f>
        <v/>
      </c>
      <c r="AB174" s="11" t="str">
        <f aca="false">IF(OR(I174="",I174&lt;12,O174=""),"",O174+330)</f>
        <v/>
      </c>
      <c r="AC174" s="11" t="str">
        <f aca="false">IF(OR(I174="",I174&lt;13,O174=""),"",O174+360)</f>
        <v/>
      </c>
      <c r="AD174" s="11" t="str">
        <f aca="false">IF(OR(I174="",I174&lt;14,O174=""),"",O174+390)</f>
        <v/>
      </c>
      <c r="AE174" s="11" t="str">
        <f aca="false">IF(OR(I174="",I174&lt;15,O174=""),"",O174+420)</f>
        <v/>
      </c>
      <c r="AF174" s="11" t="str">
        <f aca="false">IF(OR(I174="",I174&lt;16,O174=""),"",O174+450)</f>
        <v/>
      </c>
      <c r="AG174" s="11" t="str">
        <f aca="false">IF(OR(I174="",I174&lt;17,O174=""),"",O174+480)</f>
        <v/>
      </c>
      <c r="AH174" s="11" t="str">
        <f aca="false">IF(OR(I174="",I174&lt;18,O174=""),"",O174+510)</f>
        <v/>
      </c>
      <c r="AI174" s="11" t="str">
        <f aca="false">IF(OR(I174="",I174&lt;19,O174=""),"",O174+540)</f>
        <v/>
      </c>
      <c r="AJ174" s="11" t="str">
        <f aca="false">IF(OR(I174="",I174&lt;20,O174=""),"",O174+570)</f>
        <v/>
      </c>
      <c r="AK174" s="11" t="str">
        <f aca="false">IF(OR(I174="",I174&lt;21,O174=""),"",O174+600)</f>
        <v/>
      </c>
      <c r="AL174" s="11" t="str">
        <f aca="false">IF(OR(I174="",I174&lt;22,O174=""),"",O174+630)</f>
        <v/>
      </c>
      <c r="AM174" s="11" t="str">
        <f aca="false">IF(OR(I174="",I174&lt;23,O174=""),"",O174+660)</f>
        <v/>
      </c>
      <c r="AN174" s="11" t="str">
        <f aca="false">IF(OR(I174="",I174&lt;24,O174=""),"",O174+690)</f>
        <v/>
      </c>
      <c r="AO174" s="7" t="str">
        <f aca="false">IF(J174="","",COUNTIF(Q174:AN174,TRUE())*J174)</f>
        <v/>
      </c>
      <c r="AP174" s="7" t="str">
        <f aca="false">IF(K174="","",K174-AO174)</f>
        <v/>
      </c>
      <c r="AQ174" s="7" t="str">
        <f aca="false">IF(K174="","",K174-F174-IF(N174="",0,N174))</f>
        <v/>
      </c>
    </row>
    <row r="175" customFormat="false" ht="15" hidden="false" customHeight="false" outlineLevel="0" collapsed="false">
      <c r="A175" s="12"/>
      <c r="B175" s="12"/>
      <c r="C175" s="12"/>
      <c r="D175" s="13"/>
      <c r="E175" s="13"/>
      <c r="F175" s="14"/>
      <c r="G175" s="12"/>
      <c r="H175" s="12"/>
      <c r="I175" s="12"/>
      <c r="J175" s="14"/>
      <c r="K175" s="15" t="str">
        <f aca="false">IF(OR(I175="",J175=""),"",I175*J175)</f>
        <v/>
      </c>
      <c r="L175" s="12"/>
      <c r="M175" s="16"/>
      <c r="N175" s="15" t="str">
        <f aca="false">IF(OR(L175="",M175="",K175=""),"",IF(L175="GANANCIA",(K175-F175)*M175,IF(L175="BRUTO",K175*M175,"")))</f>
        <v/>
      </c>
      <c r="O175" s="17" t="str">
        <f aca="false">IF(D175="","",D175)</f>
        <v/>
      </c>
      <c r="P175" s="18" t="str">
        <f aca="false">IF(I175="","",IF(COUNTIF(Q175:AN175,TRUE())&gt;=I175,"PAGADO",IF(COUNTIF(Q175:AN175,TRUE())&gt;0,"PARCIAL","VIGENTE")))</f>
        <v/>
      </c>
      <c r="Q175" s="19" t="str">
        <f aca="false">IF(OR(I175="",I175&lt;1,O175=""),"",O175+0)</f>
        <v/>
      </c>
      <c r="R175" s="19" t="str">
        <f aca="false">IF(OR(I175="",I175&lt;2,O175=""),"",O175+30)</f>
        <v/>
      </c>
      <c r="S175" s="19" t="str">
        <f aca="false">IF(OR(I175="",I175&lt;3,O175=""),"",O175+60)</f>
        <v/>
      </c>
      <c r="T175" s="19" t="str">
        <f aca="false">IF(OR(I175="",I175&lt;4,O175=""),"",O175+90)</f>
        <v/>
      </c>
      <c r="U175" s="19" t="str">
        <f aca="false">IF(OR(I175="",I175&lt;5,O175=""),"",O175+120)</f>
        <v/>
      </c>
      <c r="V175" s="19" t="str">
        <f aca="false">IF(OR(I175="",I175&lt;6,O175=""),"",O175+150)</f>
        <v/>
      </c>
      <c r="W175" s="19" t="str">
        <f aca="false">IF(OR(I175="",I175&lt;7,O175=""),"",O175+180)</f>
        <v/>
      </c>
      <c r="X175" s="19" t="str">
        <f aca="false">IF(OR(I175="",I175&lt;8,O175=""),"",O175+210)</f>
        <v/>
      </c>
      <c r="Y175" s="19" t="str">
        <f aca="false">IF(OR(I175="",I175&lt;9,O175=""),"",O175+240)</f>
        <v/>
      </c>
      <c r="Z175" s="19" t="str">
        <f aca="false">IF(OR(I175="",I175&lt;10,O175=""),"",O175+270)</f>
        <v/>
      </c>
      <c r="AA175" s="19" t="str">
        <f aca="false">IF(OR(I175="",I175&lt;11,O175=""),"",O175+300)</f>
        <v/>
      </c>
      <c r="AB175" s="19" t="str">
        <f aca="false">IF(OR(I175="",I175&lt;12,O175=""),"",O175+330)</f>
        <v/>
      </c>
      <c r="AC175" s="19" t="str">
        <f aca="false">IF(OR(I175="",I175&lt;13,O175=""),"",O175+360)</f>
        <v/>
      </c>
      <c r="AD175" s="19" t="str">
        <f aca="false">IF(OR(I175="",I175&lt;14,O175=""),"",O175+390)</f>
        <v/>
      </c>
      <c r="AE175" s="19" t="str">
        <f aca="false">IF(OR(I175="",I175&lt;15,O175=""),"",O175+420)</f>
        <v/>
      </c>
      <c r="AF175" s="19" t="str">
        <f aca="false">IF(OR(I175="",I175&lt;16,O175=""),"",O175+450)</f>
        <v/>
      </c>
      <c r="AG175" s="19" t="str">
        <f aca="false">IF(OR(I175="",I175&lt;17,O175=""),"",O175+480)</f>
        <v/>
      </c>
      <c r="AH175" s="19" t="str">
        <f aca="false">IF(OR(I175="",I175&lt;18,O175=""),"",O175+510)</f>
        <v/>
      </c>
      <c r="AI175" s="19" t="str">
        <f aca="false">IF(OR(I175="",I175&lt;19,O175=""),"",O175+540)</f>
        <v/>
      </c>
      <c r="AJ175" s="19" t="str">
        <f aca="false">IF(OR(I175="",I175&lt;20,O175=""),"",O175+570)</f>
        <v/>
      </c>
      <c r="AK175" s="19" t="str">
        <f aca="false">IF(OR(I175="",I175&lt;21,O175=""),"",O175+600)</f>
        <v/>
      </c>
      <c r="AL175" s="19" t="str">
        <f aca="false">IF(OR(I175="",I175&lt;22,O175=""),"",O175+630)</f>
        <v/>
      </c>
      <c r="AM175" s="19" t="str">
        <f aca="false">IF(OR(I175="",I175&lt;23,O175=""),"",O175+660)</f>
        <v/>
      </c>
      <c r="AN175" s="19" t="str">
        <f aca="false">IF(OR(I175="",I175&lt;24,O175=""),"",O175+690)</f>
        <v/>
      </c>
      <c r="AO175" s="15" t="str">
        <f aca="false">IF(J175="","",COUNTIF(Q175:AN175,TRUE())*J175)</f>
        <v/>
      </c>
      <c r="AP175" s="15" t="str">
        <f aca="false">IF(K175="","",K175-AO175)</f>
        <v/>
      </c>
      <c r="AQ175" s="15" t="str">
        <f aca="false">IF(K175="","",K175-F175-IF(N175="",0,N175))</f>
        <v/>
      </c>
    </row>
    <row r="176" customFormat="false" ht="15" hidden="false" customHeight="false" outlineLevel="0" collapsed="false">
      <c r="A176" s="4"/>
      <c r="B176" s="4"/>
      <c r="C176" s="4"/>
      <c r="D176" s="5"/>
      <c r="E176" s="5"/>
      <c r="F176" s="6"/>
      <c r="G176" s="4"/>
      <c r="H176" s="4"/>
      <c r="I176" s="4"/>
      <c r="J176" s="6"/>
      <c r="K176" s="7" t="str">
        <f aca="false">IF(OR(I176="",J176=""),"",I176*J176)</f>
        <v/>
      </c>
      <c r="L176" s="4"/>
      <c r="M176" s="8"/>
      <c r="N176" s="7" t="str">
        <f aca="false">IF(OR(L176="",M176="",K176=""),"",IF(L176="GANANCIA",(K176-F176)*M176,IF(L176="BRUTO",K176*M176,"")))</f>
        <v/>
      </c>
      <c r="O176" s="9" t="str">
        <f aca="false">IF(D176="","",D176)</f>
        <v/>
      </c>
      <c r="P176" s="10" t="str">
        <f aca="false">IF(I176="","",IF(COUNTIF(Q176:AN176,TRUE())&gt;=I176,"PAGADO",IF(COUNTIF(Q176:AN176,TRUE())&gt;0,"PARCIAL","VIGENTE")))</f>
        <v/>
      </c>
      <c r="Q176" s="11" t="str">
        <f aca="false">IF(OR(I176="",I176&lt;1,O176=""),"",O176+0)</f>
        <v/>
      </c>
      <c r="R176" s="11" t="str">
        <f aca="false">IF(OR(I176="",I176&lt;2,O176=""),"",O176+30)</f>
        <v/>
      </c>
      <c r="S176" s="11" t="str">
        <f aca="false">IF(OR(I176="",I176&lt;3,O176=""),"",O176+60)</f>
        <v/>
      </c>
      <c r="T176" s="11" t="str">
        <f aca="false">IF(OR(I176="",I176&lt;4,O176=""),"",O176+90)</f>
        <v/>
      </c>
      <c r="U176" s="11" t="str">
        <f aca="false">IF(OR(I176="",I176&lt;5,O176=""),"",O176+120)</f>
        <v/>
      </c>
      <c r="V176" s="11" t="str">
        <f aca="false">IF(OR(I176="",I176&lt;6,O176=""),"",O176+150)</f>
        <v/>
      </c>
      <c r="W176" s="11" t="str">
        <f aca="false">IF(OR(I176="",I176&lt;7,O176=""),"",O176+180)</f>
        <v/>
      </c>
      <c r="X176" s="11" t="str">
        <f aca="false">IF(OR(I176="",I176&lt;8,O176=""),"",O176+210)</f>
        <v/>
      </c>
      <c r="Y176" s="11" t="str">
        <f aca="false">IF(OR(I176="",I176&lt;9,O176=""),"",O176+240)</f>
        <v/>
      </c>
      <c r="Z176" s="11" t="str">
        <f aca="false">IF(OR(I176="",I176&lt;10,O176=""),"",O176+270)</f>
        <v/>
      </c>
      <c r="AA176" s="11" t="str">
        <f aca="false">IF(OR(I176="",I176&lt;11,O176=""),"",O176+300)</f>
        <v/>
      </c>
      <c r="AB176" s="11" t="str">
        <f aca="false">IF(OR(I176="",I176&lt;12,O176=""),"",O176+330)</f>
        <v/>
      </c>
      <c r="AC176" s="11" t="str">
        <f aca="false">IF(OR(I176="",I176&lt;13,O176=""),"",O176+360)</f>
        <v/>
      </c>
      <c r="AD176" s="11" t="str">
        <f aca="false">IF(OR(I176="",I176&lt;14,O176=""),"",O176+390)</f>
        <v/>
      </c>
      <c r="AE176" s="11" t="str">
        <f aca="false">IF(OR(I176="",I176&lt;15,O176=""),"",O176+420)</f>
        <v/>
      </c>
      <c r="AF176" s="11" t="str">
        <f aca="false">IF(OR(I176="",I176&lt;16,O176=""),"",O176+450)</f>
        <v/>
      </c>
      <c r="AG176" s="11" t="str">
        <f aca="false">IF(OR(I176="",I176&lt;17,O176=""),"",O176+480)</f>
        <v/>
      </c>
      <c r="AH176" s="11" t="str">
        <f aca="false">IF(OR(I176="",I176&lt;18,O176=""),"",O176+510)</f>
        <v/>
      </c>
      <c r="AI176" s="11" t="str">
        <f aca="false">IF(OR(I176="",I176&lt;19,O176=""),"",O176+540)</f>
        <v/>
      </c>
      <c r="AJ176" s="11" t="str">
        <f aca="false">IF(OR(I176="",I176&lt;20,O176=""),"",O176+570)</f>
        <v/>
      </c>
      <c r="AK176" s="11" t="str">
        <f aca="false">IF(OR(I176="",I176&lt;21,O176=""),"",O176+600)</f>
        <v/>
      </c>
      <c r="AL176" s="11" t="str">
        <f aca="false">IF(OR(I176="",I176&lt;22,O176=""),"",O176+630)</f>
        <v/>
      </c>
      <c r="AM176" s="11" t="str">
        <f aca="false">IF(OR(I176="",I176&lt;23,O176=""),"",O176+660)</f>
        <v/>
      </c>
      <c r="AN176" s="11" t="str">
        <f aca="false">IF(OR(I176="",I176&lt;24,O176=""),"",O176+690)</f>
        <v/>
      </c>
      <c r="AO176" s="7" t="str">
        <f aca="false">IF(J176="","",COUNTIF(Q176:AN176,TRUE())*J176)</f>
        <v/>
      </c>
      <c r="AP176" s="7" t="str">
        <f aca="false">IF(K176="","",K176-AO176)</f>
        <v/>
      </c>
      <c r="AQ176" s="7" t="str">
        <f aca="false">IF(K176="","",K176-F176-IF(N176="",0,N176))</f>
        <v/>
      </c>
    </row>
    <row r="177" customFormat="false" ht="15" hidden="false" customHeight="false" outlineLevel="0" collapsed="false">
      <c r="A177" s="12"/>
      <c r="B177" s="12"/>
      <c r="C177" s="12"/>
      <c r="D177" s="13"/>
      <c r="E177" s="13"/>
      <c r="F177" s="14"/>
      <c r="G177" s="12"/>
      <c r="H177" s="12"/>
      <c r="I177" s="12"/>
      <c r="J177" s="14"/>
      <c r="K177" s="15" t="str">
        <f aca="false">IF(OR(I177="",J177=""),"",I177*J177)</f>
        <v/>
      </c>
      <c r="L177" s="12"/>
      <c r="M177" s="16"/>
      <c r="N177" s="15" t="str">
        <f aca="false">IF(OR(L177="",M177="",K177=""),"",IF(L177="GANANCIA",(K177-F177)*M177,IF(L177="BRUTO",K177*M177,"")))</f>
        <v/>
      </c>
      <c r="O177" s="17" t="str">
        <f aca="false">IF(D177="","",D177)</f>
        <v/>
      </c>
      <c r="P177" s="18" t="str">
        <f aca="false">IF(I177="","",IF(COUNTIF(Q177:AN177,TRUE())&gt;=I177,"PAGADO",IF(COUNTIF(Q177:AN177,TRUE())&gt;0,"PARCIAL","VIGENTE")))</f>
        <v/>
      </c>
      <c r="Q177" s="19" t="str">
        <f aca="false">IF(OR(I177="",I177&lt;1,O177=""),"",O177+0)</f>
        <v/>
      </c>
      <c r="R177" s="19" t="str">
        <f aca="false">IF(OR(I177="",I177&lt;2,O177=""),"",O177+30)</f>
        <v/>
      </c>
      <c r="S177" s="19" t="str">
        <f aca="false">IF(OR(I177="",I177&lt;3,O177=""),"",O177+60)</f>
        <v/>
      </c>
      <c r="T177" s="19" t="str">
        <f aca="false">IF(OR(I177="",I177&lt;4,O177=""),"",O177+90)</f>
        <v/>
      </c>
      <c r="U177" s="19" t="str">
        <f aca="false">IF(OR(I177="",I177&lt;5,O177=""),"",O177+120)</f>
        <v/>
      </c>
      <c r="V177" s="19" t="str">
        <f aca="false">IF(OR(I177="",I177&lt;6,O177=""),"",O177+150)</f>
        <v/>
      </c>
      <c r="W177" s="19" t="str">
        <f aca="false">IF(OR(I177="",I177&lt;7,O177=""),"",O177+180)</f>
        <v/>
      </c>
      <c r="X177" s="19" t="str">
        <f aca="false">IF(OR(I177="",I177&lt;8,O177=""),"",O177+210)</f>
        <v/>
      </c>
      <c r="Y177" s="19" t="str">
        <f aca="false">IF(OR(I177="",I177&lt;9,O177=""),"",O177+240)</f>
        <v/>
      </c>
      <c r="Z177" s="19" t="str">
        <f aca="false">IF(OR(I177="",I177&lt;10,O177=""),"",O177+270)</f>
        <v/>
      </c>
      <c r="AA177" s="19" t="str">
        <f aca="false">IF(OR(I177="",I177&lt;11,O177=""),"",O177+300)</f>
        <v/>
      </c>
      <c r="AB177" s="19" t="str">
        <f aca="false">IF(OR(I177="",I177&lt;12,O177=""),"",O177+330)</f>
        <v/>
      </c>
      <c r="AC177" s="19" t="str">
        <f aca="false">IF(OR(I177="",I177&lt;13,O177=""),"",O177+360)</f>
        <v/>
      </c>
      <c r="AD177" s="19" t="str">
        <f aca="false">IF(OR(I177="",I177&lt;14,O177=""),"",O177+390)</f>
        <v/>
      </c>
      <c r="AE177" s="19" t="str">
        <f aca="false">IF(OR(I177="",I177&lt;15,O177=""),"",O177+420)</f>
        <v/>
      </c>
      <c r="AF177" s="19" t="str">
        <f aca="false">IF(OR(I177="",I177&lt;16,O177=""),"",O177+450)</f>
        <v/>
      </c>
      <c r="AG177" s="19" t="str">
        <f aca="false">IF(OR(I177="",I177&lt;17,O177=""),"",O177+480)</f>
        <v/>
      </c>
      <c r="AH177" s="19" t="str">
        <f aca="false">IF(OR(I177="",I177&lt;18,O177=""),"",O177+510)</f>
        <v/>
      </c>
      <c r="AI177" s="19" t="str">
        <f aca="false">IF(OR(I177="",I177&lt;19,O177=""),"",O177+540)</f>
        <v/>
      </c>
      <c r="AJ177" s="19" t="str">
        <f aca="false">IF(OR(I177="",I177&lt;20,O177=""),"",O177+570)</f>
        <v/>
      </c>
      <c r="AK177" s="19" t="str">
        <f aca="false">IF(OR(I177="",I177&lt;21,O177=""),"",O177+600)</f>
        <v/>
      </c>
      <c r="AL177" s="19" t="str">
        <f aca="false">IF(OR(I177="",I177&lt;22,O177=""),"",O177+630)</f>
        <v/>
      </c>
      <c r="AM177" s="19" t="str">
        <f aca="false">IF(OR(I177="",I177&lt;23,O177=""),"",O177+660)</f>
        <v/>
      </c>
      <c r="AN177" s="19" t="str">
        <f aca="false">IF(OR(I177="",I177&lt;24,O177=""),"",O177+690)</f>
        <v/>
      </c>
      <c r="AO177" s="15" t="str">
        <f aca="false">IF(J177="","",COUNTIF(Q177:AN177,TRUE())*J177)</f>
        <v/>
      </c>
      <c r="AP177" s="15" t="str">
        <f aca="false">IF(K177="","",K177-AO177)</f>
        <v/>
      </c>
      <c r="AQ177" s="15" t="str">
        <f aca="false">IF(K177="","",K177-F177-IF(N177="",0,N177))</f>
        <v/>
      </c>
    </row>
    <row r="178" customFormat="false" ht="15" hidden="false" customHeight="false" outlineLevel="0" collapsed="false">
      <c r="A178" s="4"/>
      <c r="B178" s="4"/>
      <c r="C178" s="4"/>
      <c r="D178" s="5"/>
      <c r="E178" s="5"/>
      <c r="F178" s="6"/>
      <c r="G178" s="4"/>
      <c r="H178" s="4"/>
      <c r="I178" s="4"/>
      <c r="J178" s="6"/>
      <c r="K178" s="7" t="str">
        <f aca="false">IF(OR(I178="",J178=""),"",I178*J178)</f>
        <v/>
      </c>
      <c r="L178" s="4"/>
      <c r="M178" s="8"/>
      <c r="N178" s="7" t="str">
        <f aca="false">IF(OR(L178="",M178="",K178=""),"",IF(L178="GANANCIA",(K178-F178)*M178,IF(L178="BRUTO",K178*M178,"")))</f>
        <v/>
      </c>
      <c r="O178" s="9" t="str">
        <f aca="false">IF(D178="","",D178)</f>
        <v/>
      </c>
      <c r="P178" s="10" t="str">
        <f aca="false">IF(I178="","",IF(COUNTIF(Q178:AN178,TRUE())&gt;=I178,"PAGADO",IF(COUNTIF(Q178:AN178,TRUE())&gt;0,"PARCIAL","VIGENTE")))</f>
        <v/>
      </c>
      <c r="Q178" s="11" t="str">
        <f aca="false">IF(OR(I178="",I178&lt;1,O178=""),"",O178+0)</f>
        <v/>
      </c>
      <c r="R178" s="11" t="str">
        <f aca="false">IF(OR(I178="",I178&lt;2,O178=""),"",O178+30)</f>
        <v/>
      </c>
      <c r="S178" s="11" t="str">
        <f aca="false">IF(OR(I178="",I178&lt;3,O178=""),"",O178+60)</f>
        <v/>
      </c>
      <c r="T178" s="11" t="str">
        <f aca="false">IF(OR(I178="",I178&lt;4,O178=""),"",O178+90)</f>
        <v/>
      </c>
      <c r="U178" s="11" t="str">
        <f aca="false">IF(OR(I178="",I178&lt;5,O178=""),"",O178+120)</f>
        <v/>
      </c>
      <c r="V178" s="11" t="str">
        <f aca="false">IF(OR(I178="",I178&lt;6,O178=""),"",O178+150)</f>
        <v/>
      </c>
      <c r="W178" s="11" t="str">
        <f aca="false">IF(OR(I178="",I178&lt;7,O178=""),"",O178+180)</f>
        <v/>
      </c>
      <c r="X178" s="11" t="str">
        <f aca="false">IF(OR(I178="",I178&lt;8,O178=""),"",O178+210)</f>
        <v/>
      </c>
      <c r="Y178" s="11" t="str">
        <f aca="false">IF(OR(I178="",I178&lt;9,O178=""),"",O178+240)</f>
        <v/>
      </c>
      <c r="Z178" s="11" t="str">
        <f aca="false">IF(OR(I178="",I178&lt;10,O178=""),"",O178+270)</f>
        <v/>
      </c>
      <c r="AA178" s="11" t="str">
        <f aca="false">IF(OR(I178="",I178&lt;11,O178=""),"",O178+300)</f>
        <v/>
      </c>
      <c r="AB178" s="11" t="str">
        <f aca="false">IF(OR(I178="",I178&lt;12,O178=""),"",O178+330)</f>
        <v/>
      </c>
      <c r="AC178" s="11" t="str">
        <f aca="false">IF(OR(I178="",I178&lt;13,O178=""),"",O178+360)</f>
        <v/>
      </c>
      <c r="AD178" s="11" t="str">
        <f aca="false">IF(OR(I178="",I178&lt;14,O178=""),"",O178+390)</f>
        <v/>
      </c>
      <c r="AE178" s="11" t="str">
        <f aca="false">IF(OR(I178="",I178&lt;15,O178=""),"",O178+420)</f>
        <v/>
      </c>
      <c r="AF178" s="11" t="str">
        <f aca="false">IF(OR(I178="",I178&lt;16,O178=""),"",O178+450)</f>
        <v/>
      </c>
      <c r="AG178" s="11" t="str">
        <f aca="false">IF(OR(I178="",I178&lt;17,O178=""),"",O178+480)</f>
        <v/>
      </c>
      <c r="AH178" s="11" t="str">
        <f aca="false">IF(OR(I178="",I178&lt;18,O178=""),"",O178+510)</f>
        <v/>
      </c>
      <c r="AI178" s="11" t="str">
        <f aca="false">IF(OR(I178="",I178&lt;19,O178=""),"",O178+540)</f>
        <v/>
      </c>
      <c r="AJ178" s="11" t="str">
        <f aca="false">IF(OR(I178="",I178&lt;20,O178=""),"",O178+570)</f>
        <v/>
      </c>
      <c r="AK178" s="11" t="str">
        <f aca="false">IF(OR(I178="",I178&lt;21,O178=""),"",O178+600)</f>
        <v/>
      </c>
      <c r="AL178" s="11" t="str">
        <f aca="false">IF(OR(I178="",I178&lt;22,O178=""),"",O178+630)</f>
        <v/>
      </c>
      <c r="AM178" s="11" t="str">
        <f aca="false">IF(OR(I178="",I178&lt;23,O178=""),"",O178+660)</f>
        <v/>
      </c>
      <c r="AN178" s="11" t="str">
        <f aca="false">IF(OR(I178="",I178&lt;24,O178=""),"",O178+690)</f>
        <v/>
      </c>
      <c r="AO178" s="7" t="str">
        <f aca="false">IF(J178="","",COUNTIF(Q178:AN178,TRUE())*J178)</f>
        <v/>
      </c>
      <c r="AP178" s="7" t="str">
        <f aca="false">IF(K178="","",K178-AO178)</f>
        <v/>
      </c>
      <c r="AQ178" s="7" t="str">
        <f aca="false">IF(K178="","",K178-F178-IF(N178="",0,N178))</f>
        <v/>
      </c>
    </row>
    <row r="179" customFormat="false" ht="15" hidden="false" customHeight="false" outlineLevel="0" collapsed="false">
      <c r="A179" s="12"/>
      <c r="B179" s="12"/>
      <c r="C179" s="12"/>
      <c r="D179" s="13"/>
      <c r="E179" s="13"/>
      <c r="F179" s="14"/>
      <c r="G179" s="12"/>
      <c r="H179" s="12"/>
      <c r="I179" s="12"/>
      <c r="J179" s="14"/>
      <c r="K179" s="15" t="str">
        <f aca="false">IF(OR(I179="",J179=""),"",I179*J179)</f>
        <v/>
      </c>
      <c r="L179" s="12"/>
      <c r="M179" s="16"/>
      <c r="N179" s="15" t="str">
        <f aca="false">IF(OR(L179="",M179="",K179=""),"",IF(L179="GANANCIA",(K179-F179)*M179,IF(L179="BRUTO",K179*M179,"")))</f>
        <v/>
      </c>
      <c r="O179" s="17" t="str">
        <f aca="false">IF(D179="","",D179)</f>
        <v/>
      </c>
      <c r="P179" s="18" t="str">
        <f aca="false">IF(I179="","",IF(COUNTIF(Q179:AN179,TRUE())&gt;=I179,"PAGADO",IF(COUNTIF(Q179:AN179,TRUE())&gt;0,"PARCIAL","VIGENTE")))</f>
        <v/>
      </c>
      <c r="Q179" s="19" t="str">
        <f aca="false">IF(OR(I179="",I179&lt;1,O179=""),"",O179+0)</f>
        <v/>
      </c>
      <c r="R179" s="19" t="str">
        <f aca="false">IF(OR(I179="",I179&lt;2,O179=""),"",O179+30)</f>
        <v/>
      </c>
      <c r="S179" s="19" t="str">
        <f aca="false">IF(OR(I179="",I179&lt;3,O179=""),"",O179+60)</f>
        <v/>
      </c>
      <c r="T179" s="19" t="str">
        <f aca="false">IF(OR(I179="",I179&lt;4,O179=""),"",O179+90)</f>
        <v/>
      </c>
      <c r="U179" s="19" t="str">
        <f aca="false">IF(OR(I179="",I179&lt;5,O179=""),"",O179+120)</f>
        <v/>
      </c>
      <c r="V179" s="19" t="str">
        <f aca="false">IF(OR(I179="",I179&lt;6,O179=""),"",O179+150)</f>
        <v/>
      </c>
      <c r="W179" s="19" t="str">
        <f aca="false">IF(OR(I179="",I179&lt;7,O179=""),"",O179+180)</f>
        <v/>
      </c>
      <c r="X179" s="19" t="str">
        <f aca="false">IF(OR(I179="",I179&lt;8,O179=""),"",O179+210)</f>
        <v/>
      </c>
      <c r="Y179" s="19" t="str">
        <f aca="false">IF(OR(I179="",I179&lt;9,O179=""),"",O179+240)</f>
        <v/>
      </c>
      <c r="Z179" s="19" t="str">
        <f aca="false">IF(OR(I179="",I179&lt;10,O179=""),"",O179+270)</f>
        <v/>
      </c>
      <c r="AA179" s="19" t="str">
        <f aca="false">IF(OR(I179="",I179&lt;11,O179=""),"",O179+300)</f>
        <v/>
      </c>
      <c r="AB179" s="19" t="str">
        <f aca="false">IF(OR(I179="",I179&lt;12,O179=""),"",O179+330)</f>
        <v/>
      </c>
      <c r="AC179" s="19" t="str">
        <f aca="false">IF(OR(I179="",I179&lt;13,O179=""),"",O179+360)</f>
        <v/>
      </c>
      <c r="AD179" s="19" t="str">
        <f aca="false">IF(OR(I179="",I179&lt;14,O179=""),"",O179+390)</f>
        <v/>
      </c>
      <c r="AE179" s="19" t="str">
        <f aca="false">IF(OR(I179="",I179&lt;15,O179=""),"",O179+420)</f>
        <v/>
      </c>
      <c r="AF179" s="19" t="str">
        <f aca="false">IF(OR(I179="",I179&lt;16,O179=""),"",O179+450)</f>
        <v/>
      </c>
      <c r="AG179" s="19" t="str">
        <f aca="false">IF(OR(I179="",I179&lt;17,O179=""),"",O179+480)</f>
        <v/>
      </c>
      <c r="AH179" s="19" t="str">
        <f aca="false">IF(OR(I179="",I179&lt;18,O179=""),"",O179+510)</f>
        <v/>
      </c>
      <c r="AI179" s="19" t="str">
        <f aca="false">IF(OR(I179="",I179&lt;19,O179=""),"",O179+540)</f>
        <v/>
      </c>
      <c r="AJ179" s="19" t="str">
        <f aca="false">IF(OR(I179="",I179&lt;20,O179=""),"",O179+570)</f>
        <v/>
      </c>
      <c r="AK179" s="19" t="str">
        <f aca="false">IF(OR(I179="",I179&lt;21,O179=""),"",O179+600)</f>
        <v/>
      </c>
      <c r="AL179" s="19" t="str">
        <f aca="false">IF(OR(I179="",I179&lt;22,O179=""),"",O179+630)</f>
        <v/>
      </c>
      <c r="AM179" s="19" t="str">
        <f aca="false">IF(OR(I179="",I179&lt;23,O179=""),"",O179+660)</f>
        <v/>
      </c>
      <c r="AN179" s="19" t="str">
        <f aca="false">IF(OR(I179="",I179&lt;24,O179=""),"",O179+690)</f>
        <v/>
      </c>
      <c r="AO179" s="15" t="str">
        <f aca="false">IF(J179="","",COUNTIF(Q179:AN179,TRUE())*J179)</f>
        <v/>
      </c>
      <c r="AP179" s="15" t="str">
        <f aca="false">IF(K179="","",K179-AO179)</f>
        <v/>
      </c>
      <c r="AQ179" s="15" t="str">
        <f aca="false">IF(K179="","",K179-F179-IF(N179="",0,N179))</f>
        <v/>
      </c>
    </row>
    <row r="180" customFormat="false" ht="15" hidden="false" customHeight="false" outlineLevel="0" collapsed="false">
      <c r="A180" s="4"/>
      <c r="B180" s="4"/>
      <c r="C180" s="4"/>
      <c r="D180" s="5"/>
      <c r="E180" s="5"/>
      <c r="F180" s="6"/>
      <c r="G180" s="4"/>
      <c r="H180" s="4"/>
      <c r="I180" s="4"/>
      <c r="J180" s="6"/>
      <c r="K180" s="7" t="str">
        <f aca="false">IF(OR(I180="",J180=""),"",I180*J180)</f>
        <v/>
      </c>
      <c r="L180" s="4"/>
      <c r="M180" s="8"/>
      <c r="N180" s="7" t="str">
        <f aca="false">IF(OR(L180="",M180="",K180=""),"",IF(L180="GANANCIA",(K180-F180)*M180,IF(L180="BRUTO",K180*M180,"")))</f>
        <v/>
      </c>
      <c r="O180" s="9" t="str">
        <f aca="false">IF(D180="","",D180)</f>
        <v/>
      </c>
      <c r="P180" s="10" t="str">
        <f aca="false">IF(I180="","",IF(COUNTIF(Q180:AN180,TRUE())&gt;=I180,"PAGADO",IF(COUNTIF(Q180:AN180,TRUE())&gt;0,"PARCIAL","VIGENTE")))</f>
        <v/>
      </c>
      <c r="Q180" s="11" t="str">
        <f aca="false">IF(OR(I180="",I180&lt;1,O180=""),"",O180+0)</f>
        <v/>
      </c>
      <c r="R180" s="11" t="str">
        <f aca="false">IF(OR(I180="",I180&lt;2,O180=""),"",O180+30)</f>
        <v/>
      </c>
      <c r="S180" s="11" t="str">
        <f aca="false">IF(OR(I180="",I180&lt;3,O180=""),"",O180+60)</f>
        <v/>
      </c>
      <c r="T180" s="11" t="str">
        <f aca="false">IF(OR(I180="",I180&lt;4,O180=""),"",O180+90)</f>
        <v/>
      </c>
      <c r="U180" s="11" t="str">
        <f aca="false">IF(OR(I180="",I180&lt;5,O180=""),"",O180+120)</f>
        <v/>
      </c>
      <c r="V180" s="11" t="str">
        <f aca="false">IF(OR(I180="",I180&lt;6,O180=""),"",O180+150)</f>
        <v/>
      </c>
      <c r="W180" s="11" t="str">
        <f aca="false">IF(OR(I180="",I180&lt;7,O180=""),"",O180+180)</f>
        <v/>
      </c>
      <c r="X180" s="11" t="str">
        <f aca="false">IF(OR(I180="",I180&lt;8,O180=""),"",O180+210)</f>
        <v/>
      </c>
      <c r="Y180" s="11" t="str">
        <f aca="false">IF(OR(I180="",I180&lt;9,O180=""),"",O180+240)</f>
        <v/>
      </c>
      <c r="Z180" s="11" t="str">
        <f aca="false">IF(OR(I180="",I180&lt;10,O180=""),"",O180+270)</f>
        <v/>
      </c>
      <c r="AA180" s="11" t="str">
        <f aca="false">IF(OR(I180="",I180&lt;11,O180=""),"",O180+300)</f>
        <v/>
      </c>
      <c r="AB180" s="11" t="str">
        <f aca="false">IF(OR(I180="",I180&lt;12,O180=""),"",O180+330)</f>
        <v/>
      </c>
      <c r="AC180" s="11" t="str">
        <f aca="false">IF(OR(I180="",I180&lt;13,O180=""),"",O180+360)</f>
        <v/>
      </c>
      <c r="AD180" s="11" t="str">
        <f aca="false">IF(OR(I180="",I180&lt;14,O180=""),"",O180+390)</f>
        <v/>
      </c>
      <c r="AE180" s="11" t="str">
        <f aca="false">IF(OR(I180="",I180&lt;15,O180=""),"",O180+420)</f>
        <v/>
      </c>
      <c r="AF180" s="11" t="str">
        <f aca="false">IF(OR(I180="",I180&lt;16,O180=""),"",O180+450)</f>
        <v/>
      </c>
      <c r="AG180" s="11" t="str">
        <f aca="false">IF(OR(I180="",I180&lt;17,O180=""),"",O180+480)</f>
        <v/>
      </c>
      <c r="AH180" s="11" t="str">
        <f aca="false">IF(OR(I180="",I180&lt;18,O180=""),"",O180+510)</f>
        <v/>
      </c>
      <c r="AI180" s="11" t="str">
        <f aca="false">IF(OR(I180="",I180&lt;19,O180=""),"",O180+540)</f>
        <v/>
      </c>
      <c r="AJ180" s="11" t="str">
        <f aca="false">IF(OR(I180="",I180&lt;20,O180=""),"",O180+570)</f>
        <v/>
      </c>
      <c r="AK180" s="11" t="str">
        <f aca="false">IF(OR(I180="",I180&lt;21,O180=""),"",O180+600)</f>
        <v/>
      </c>
      <c r="AL180" s="11" t="str">
        <f aca="false">IF(OR(I180="",I180&lt;22,O180=""),"",O180+630)</f>
        <v/>
      </c>
      <c r="AM180" s="11" t="str">
        <f aca="false">IF(OR(I180="",I180&lt;23,O180=""),"",O180+660)</f>
        <v/>
      </c>
      <c r="AN180" s="11" t="str">
        <f aca="false">IF(OR(I180="",I180&lt;24,O180=""),"",O180+690)</f>
        <v/>
      </c>
      <c r="AO180" s="7" t="str">
        <f aca="false">IF(J180="","",COUNTIF(Q180:AN180,TRUE())*J180)</f>
        <v/>
      </c>
      <c r="AP180" s="7" t="str">
        <f aca="false">IF(K180="","",K180-AO180)</f>
        <v/>
      </c>
      <c r="AQ180" s="7" t="str">
        <f aca="false">IF(K180="","",K180-F180-IF(N180="",0,N180))</f>
        <v/>
      </c>
    </row>
    <row r="181" customFormat="false" ht="15" hidden="false" customHeight="false" outlineLevel="0" collapsed="false">
      <c r="A181" s="12"/>
      <c r="B181" s="12"/>
      <c r="C181" s="12"/>
      <c r="D181" s="13"/>
      <c r="E181" s="13"/>
      <c r="F181" s="14"/>
      <c r="G181" s="12"/>
      <c r="H181" s="12"/>
      <c r="I181" s="12"/>
      <c r="J181" s="14"/>
      <c r="K181" s="15" t="str">
        <f aca="false">IF(OR(I181="",J181=""),"",I181*J181)</f>
        <v/>
      </c>
      <c r="L181" s="12"/>
      <c r="M181" s="16"/>
      <c r="N181" s="15" t="str">
        <f aca="false">IF(OR(L181="",M181="",K181=""),"",IF(L181="GANANCIA",(K181-F181)*M181,IF(L181="BRUTO",K181*M181,"")))</f>
        <v/>
      </c>
      <c r="O181" s="17" t="str">
        <f aca="false">IF(D181="","",D181)</f>
        <v/>
      </c>
      <c r="P181" s="18" t="str">
        <f aca="false">IF(I181="","",IF(COUNTIF(Q181:AN181,TRUE())&gt;=I181,"PAGADO",IF(COUNTIF(Q181:AN181,TRUE())&gt;0,"PARCIAL","VIGENTE")))</f>
        <v/>
      </c>
      <c r="Q181" s="19" t="str">
        <f aca="false">IF(OR(I181="",I181&lt;1,O181=""),"",O181+0)</f>
        <v/>
      </c>
      <c r="R181" s="19" t="str">
        <f aca="false">IF(OR(I181="",I181&lt;2,O181=""),"",O181+30)</f>
        <v/>
      </c>
      <c r="S181" s="19" t="str">
        <f aca="false">IF(OR(I181="",I181&lt;3,O181=""),"",O181+60)</f>
        <v/>
      </c>
      <c r="T181" s="19" t="str">
        <f aca="false">IF(OR(I181="",I181&lt;4,O181=""),"",O181+90)</f>
        <v/>
      </c>
      <c r="U181" s="19" t="str">
        <f aca="false">IF(OR(I181="",I181&lt;5,O181=""),"",O181+120)</f>
        <v/>
      </c>
      <c r="V181" s="19" t="str">
        <f aca="false">IF(OR(I181="",I181&lt;6,O181=""),"",O181+150)</f>
        <v/>
      </c>
      <c r="W181" s="19" t="str">
        <f aca="false">IF(OR(I181="",I181&lt;7,O181=""),"",O181+180)</f>
        <v/>
      </c>
      <c r="X181" s="19" t="str">
        <f aca="false">IF(OR(I181="",I181&lt;8,O181=""),"",O181+210)</f>
        <v/>
      </c>
      <c r="Y181" s="19" t="str">
        <f aca="false">IF(OR(I181="",I181&lt;9,O181=""),"",O181+240)</f>
        <v/>
      </c>
      <c r="Z181" s="19" t="str">
        <f aca="false">IF(OR(I181="",I181&lt;10,O181=""),"",O181+270)</f>
        <v/>
      </c>
      <c r="AA181" s="19" t="str">
        <f aca="false">IF(OR(I181="",I181&lt;11,O181=""),"",O181+300)</f>
        <v/>
      </c>
      <c r="AB181" s="19" t="str">
        <f aca="false">IF(OR(I181="",I181&lt;12,O181=""),"",O181+330)</f>
        <v/>
      </c>
      <c r="AC181" s="19" t="str">
        <f aca="false">IF(OR(I181="",I181&lt;13,O181=""),"",O181+360)</f>
        <v/>
      </c>
      <c r="AD181" s="19" t="str">
        <f aca="false">IF(OR(I181="",I181&lt;14,O181=""),"",O181+390)</f>
        <v/>
      </c>
      <c r="AE181" s="19" t="str">
        <f aca="false">IF(OR(I181="",I181&lt;15,O181=""),"",O181+420)</f>
        <v/>
      </c>
      <c r="AF181" s="19" t="str">
        <f aca="false">IF(OR(I181="",I181&lt;16,O181=""),"",O181+450)</f>
        <v/>
      </c>
      <c r="AG181" s="19" t="str">
        <f aca="false">IF(OR(I181="",I181&lt;17,O181=""),"",O181+480)</f>
        <v/>
      </c>
      <c r="AH181" s="19" t="str">
        <f aca="false">IF(OR(I181="",I181&lt;18,O181=""),"",O181+510)</f>
        <v/>
      </c>
      <c r="AI181" s="19" t="str">
        <f aca="false">IF(OR(I181="",I181&lt;19,O181=""),"",O181+540)</f>
        <v/>
      </c>
      <c r="AJ181" s="19" t="str">
        <f aca="false">IF(OR(I181="",I181&lt;20,O181=""),"",O181+570)</f>
        <v/>
      </c>
      <c r="AK181" s="19" t="str">
        <f aca="false">IF(OR(I181="",I181&lt;21,O181=""),"",O181+600)</f>
        <v/>
      </c>
      <c r="AL181" s="19" t="str">
        <f aca="false">IF(OR(I181="",I181&lt;22,O181=""),"",O181+630)</f>
        <v/>
      </c>
      <c r="AM181" s="19" t="str">
        <f aca="false">IF(OR(I181="",I181&lt;23,O181=""),"",O181+660)</f>
        <v/>
      </c>
      <c r="AN181" s="19" t="str">
        <f aca="false">IF(OR(I181="",I181&lt;24,O181=""),"",O181+690)</f>
        <v/>
      </c>
      <c r="AO181" s="15" t="str">
        <f aca="false">IF(J181="","",COUNTIF(Q181:AN181,TRUE())*J181)</f>
        <v/>
      </c>
      <c r="AP181" s="15" t="str">
        <f aca="false">IF(K181="","",K181-AO181)</f>
        <v/>
      </c>
      <c r="AQ181" s="15" t="str">
        <f aca="false">IF(K181="","",K181-F181-IF(N181="",0,N181))</f>
        <v/>
      </c>
    </row>
    <row r="182" customFormat="false" ht="15" hidden="false" customHeight="false" outlineLevel="0" collapsed="false">
      <c r="A182" s="4"/>
      <c r="B182" s="4"/>
      <c r="C182" s="4"/>
      <c r="D182" s="5"/>
      <c r="E182" s="5"/>
      <c r="F182" s="6"/>
      <c r="G182" s="4"/>
      <c r="H182" s="4"/>
      <c r="I182" s="4"/>
      <c r="J182" s="6"/>
      <c r="K182" s="7" t="str">
        <f aca="false">IF(OR(I182="",J182=""),"",I182*J182)</f>
        <v/>
      </c>
      <c r="L182" s="4"/>
      <c r="M182" s="8"/>
      <c r="N182" s="7" t="str">
        <f aca="false">IF(OR(L182="",M182="",K182=""),"",IF(L182="GANANCIA",(K182-F182)*M182,IF(L182="BRUTO",K182*M182,"")))</f>
        <v/>
      </c>
      <c r="O182" s="9" t="str">
        <f aca="false">IF(D182="","",D182)</f>
        <v/>
      </c>
      <c r="P182" s="10" t="str">
        <f aca="false">IF(I182="","",IF(COUNTIF(Q182:AN182,TRUE())&gt;=I182,"PAGADO",IF(COUNTIF(Q182:AN182,TRUE())&gt;0,"PARCIAL","VIGENTE")))</f>
        <v/>
      </c>
      <c r="Q182" s="11" t="str">
        <f aca="false">IF(OR(I182="",I182&lt;1,O182=""),"",O182+0)</f>
        <v/>
      </c>
      <c r="R182" s="11" t="str">
        <f aca="false">IF(OR(I182="",I182&lt;2,O182=""),"",O182+30)</f>
        <v/>
      </c>
      <c r="S182" s="11" t="str">
        <f aca="false">IF(OR(I182="",I182&lt;3,O182=""),"",O182+60)</f>
        <v/>
      </c>
      <c r="T182" s="11" t="str">
        <f aca="false">IF(OR(I182="",I182&lt;4,O182=""),"",O182+90)</f>
        <v/>
      </c>
      <c r="U182" s="11" t="str">
        <f aca="false">IF(OR(I182="",I182&lt;5,O182=""),"",O182+120)</f>
        <v/>
      </c>
      <c r="V182" s="11" t="str">
        <f aca="false">IF(OR(I182="",I182&lt;6,O182=""),"",O182+150)</f>
        <v/>
      </c>
      <c r="W182" s="11" t="str">
        <f aca="false">IF(OR(I182="",I182&lt;7,O182=""),"",O182+180)</f>
        <v/>
      </c>
      <c r="X182" s="11" t="str">
        <f aca="false">IF(OR(I182="",I182&lt;8,O182=""),"",O182+210)</f>
        <v/>
      </c>
      <c r="Y182" s="11" t="str">
        <f aca="false">IF(OR(I182="",I182&lt;9,O182=""),"",O182+240)</f>
        <v/>
      </c>
      <c r="Z182" s="11" t="str">
        <f aca="false">IF(OR(I182="",I182&lt;10,O182=""),"",O182+270)</f>
        <v/>
      </c>
      <c r="AA182" s="11" t="str">
        <f aca="false">IF(OR(I182="",I182&lt;11,O182=""),"",O182+300)</f>
        <v/>
      </c>
      <c r="AB182" s="11" t="str">
        <f aca="false">IF(OR(I182="",I182&lt;12,O182=""),"",O182+330)</f>
        <v/>
      </c>
      <c r="AC182" s="11" t="str">
        <f aca="false">IF(OR(I182="",I182&lt;13,O182=""),"",O182+360)</f>
        <v/>
      </c>
      <c r="AD182" s="11" t="str">
        <f aca="false">IF(OR(I182="",I182&lt;14,O182=""),"",O182+390)</f>
        <v/>
      </c>
      <c r="AE182" s="11" t="str">
        <f aca="false">IF(OR(I182="",I182&lt;15,O182=""),"",O182+420)</f>
        <v/>
      </c>
      <c r="AF182" s="11" t="str">
        <f aca="false">IF(OR(I182="",I182&lt;16,O182=""),"",O182+450)</f>
        <v/>
      </c>
      <c r="AG182" s="11" t="str">
        <f aca="false">IF(OR(I182="",I182&lt;17,O182=""),"",O182+480)</f>
        <v/>
      </c>
      <c r="AH182" s="11" t="str">
        <f aca="false">IF(OR(I182="",I182&lt;18,O182=""),"",O182+510)</f>
        <v/>
      </c>
      <c r="AI182" s="11" t="str">
        <f aca="false">IF(OR(I182="",I182&lt;19,O182=""),"",O182+540)</f>
        <v/>
      </c>
      <c r="AJ182" s="11" t="str">
        <f aca="false">IF(OR(I182="",I182&lt;20,O182=""),"",O182+570)</f>
        <v/>
      </c>
      <c r="AK182" s="11" t="str">
        <f aca="false">IF(OR(I182="",I182&lt;21,O182=""),"",O182+600)</f>
        <v/>
      </c>
      <c r="AL182" s="11" t="str">
        <f aca="false">IF(OR(I182="",I182&lt;22,O182=""),"",O182+630)</f>
        <v/>
      </c>
      <c r="AM182" s="11" t="str">
        <f aca="false">IF(OR(I182="",I182&lt;23,O182=""),"",O182+660)</f>
        <v/>
      </c>
      <c r="AN182" s="11" t="str">
        <f aca="false">IF(OR(I182="",I182&lt;24,O182=""),"",O182+690)</f>
        <v/>
      </c>
      <c r="AO182" s="7" t="str">
        <f aca="false">IF(J182="","",COUNTIF(Q182:AN182,TRUE())*J182)</f>
        <v/>
      </c>
      <c r="AP182" s="7" t="str">
        <f aca="false">IF(K182="","",K182-AO182)</f>
        <v/>
      </c>
      <c r="AQ182" s="7" t="str">
        <f aca="false">IF(K182="","",K182-F182-IF(N182="",0,N182))</f>
        <v/>
      </c>
    </row>
    <row r="183" customFormat="false" ht="15" hidden="false" customHeight="false" outlineLevel="0" collapsed="false">
      <c r="A183" s="12"/>
      <c r="B183" s="12"/>
      <c r="C183" s="12"/>
      <c r="D183" s="13"/>
      <c r="E183" s="13"/>
      <c r="F183" s="14"/>
      <c r="G183" s="12"/>
      <c r="H183" s="12"/>
      <c r="I183" s="12"/>
      <c r="J183" s="14"/>
      <c r="K183" s="15" t="str">
        <f aca="false">IF(OR(I183="",J183=""),"",I183*J183)</f>
        <v/>
      </c>
      <c r="L183" s="12"/>
      <c r="M183" s="16"/>
      <c r="N183" s="15" t="str">
        <f aca="false">IF(OR(L183="",M183="",K183=""),"",IF(L183="GANANCIA",(K183-F183)*M183,IF(L183="BRUTO",K183*M183,"")))</f>
        <v/>
      </c>
      <c r="O183" s="17" t="str">
        <f aca="false">IF(D183="","",D183)</f>
        <v/>
      </c>
      <c r="P183" s="18" t="str">
        <f aca="false">IF(I183="","",IF(COUNTIF(Q183:AN183,TRUE())&gt;=I183,"PAGADO",IF(COUNTIF(Q183:AN183,TRUE())&gt;0,"PARCIAL","VIGENTE")))</f>
        <v/>
      </c>
      <c r="Q183" s="19" t="str">
        <f aca="false">IF(OR(I183="",I183&lt;1,O183=""),"",O183+0)</f>
        <v/>
      </c>
      <c r="R183" s="19" t="str">
        <f aca="false">IF(OR(I183="",I183&lt;2,O183=""),"",O183+30)</f>
        <v/>
      </c>
      <c r="S183" s="19" t="str">
        <f aca="false">IF(OR(I183="",I183&lt;3,O183=""),"",O183+60)</f>
        <v/>
      </c>
      <c r="T183" s="19" t="str">
        <f aca="false">IF(OR(I183="",I183&lt;4,O183=""),"",O183+90)</f>
        <v/>
      </c>
      <c r="U183" s="19" t="str">
        <f aca="false">IF(OR(I183="",I183&lt;5,O183=""),"",O183+120)</f>
        <v/>
      </c>
      <c r="V183" s="19" t="str">
        <f aca="false">IF(OR(I183="",I183&lt;6,O183=""),"",O183+150)</f>
        <v/>
      </c>
      <c r="W183" s="19" t="str">
        <f aca="false">IF(OR(I183="",I183&lt;7,O183=""),"",O183+180)</f>
        <v/>
      </c>
      <c r="X183" s="19" t="str">
        <f aca="false">IF(OR(I183="",I183&lt;8,O183=""),"",O183+210)</f>
        <v/>
      </c>
      <c r="Y183" s="19" t="str">
        <f aca="false">IF(OR(I183="",I183&lt;9,O183=""),"",O183+240)</f>
        <v/>
      </c>
      <c r="Z183" s="19" t="str">
        <f aca="false">IF(OR(I183="",I183&lt;10,O183=""),"",O183+270)</f>
        <v/>
      </c>
      <c r="AA183" s="19" t="str">
        <f aca="false">IF(OR(I183="",I183&lt;11,O183=""),"",O183+300)</f>
        <v/>
      </c>
      <c r="AB183" s="19" t="str">
        <f aca="false">IF(OR(I183="",I183&lt;12,O183=""),"",O183+330)</f>
        <v/>
      </c>
      <c r="AC183" s="19" t="str">
        <f aca="false">IF(OR(I183="",I183&lt;13,O183=""),"",O183+360)</f>
        <v/>
      </c>
      <c r="AD183" s="19" t="str">
        <f aca="false">IF(OR(I183="",I183&lt;14,O183=""),"",O183+390)</f>
        <v/>
      </c>
      <c r="AE183" s="19" t="str">
        <f aca="false">IF(OR(I183="",I183&lt;15,O183=""),"",O183+420)</f>
        <v/>
      </c>
      <c r="AF183" s="19" t="str">
        <f aca="false">IF(OR(I183="",I183&lt;16,O183=""),"",O183+450)</f>
        <v/>
      </c>
      <c r="AG183" s="19" t="str">
        <f aca="false">IF(OR(I183="",I183&lt;17,O183=""),"",O183+480)</f>
        <v/>
      </c>
      <c r="AH183" s="19" t="str">
        <f aca="false">IF(OR(I183="",I183&lt;18,O183=""),"",O183+510)</f>
        <v/>
      </c>
      <c r="AI183" s="19" t="str">
        <f aca="false">IF(OR(I183="",I183&lt;19,O183=""),"",O183+540)</f>
        <v/>
      </c>
      <c r="AJ183" s="19" t="str">
        <f aca="false">IF(OR(I183="",I183&lt;20,O183=""),"",O183+570)</f>
        <v/>
      </c>
      <c r="AK183" s="19" t="str">
        <f aca="false">IF(OR(I183="",I183&lt;21,O183=""),"",O183+600)</f>
        <v/>
      </c>
      <c r="AL183" s="19" t="str">
        <f aca="false">IF(OR(I183="",I183&lt;22,O183=""),"",O183+630)</f>
        <v/>
      </c>
      <c r="AM183" s="19" t="str">
        <f aca="false">IF(OR(I183="",I183&lt;23,O183=""),"",O183+660)</f>
        <v/>
      </c>
      <c r="AN183" s="19" t="str">
        <f aca="false">IF(OR(I183="",I183&lt;24,O183=""),"",O183+690)</f>
        <v/>
      </c>
      <c r="AO183" s="15" t="str">
        <f aca="false">IF(J183="","",COUNTIF(Q183:AN183,TRUE())*J183)</f>
        <v/>
      </c>
      <c r="AP183" s="15" t="str">
        <f aca="false">IF(K183="","",K183-AO183)</f>
        <v/>
      </c>
      <c r="AQ183" s="15" t="str">
        <f aca="false">IF(K183="","",K183-F183-IF(N183="",0,N183))</f>
        <v/>
      </c>
    </row>
    <row r="184" customFormat="false" ht="15" hidden="false" customHeight="false" outlineLevel="0" collapsed="false">
      <c r="A184" s="4"/>
      <c r="B184" s="4"/>
      <c r="C184" s="4"/>
      <c r="D184" s="5"/>
      <c r="E184" s="5"/>
      <c r="F184" s="6"/>
      <c r="G184" s="4"/>
      <c r="H184" s="4"/>
      <c r="I184" s="4"/>
      <c r="J184" s="6"/>
      <c r="K184" s="7" t="str">
        <f aca="false">IF(OR(I184="",J184=""),"",I184*J184)</f>
        <v/>
      </c>
      <c r="L184" s="4"/>
      <c r="M184" s="8"/>
      <c r="N184" s="7" t="str">
        <f aca="false">IF(OR(L184="",M184="",K184=""),"",IF(L184="GANANCIA",(K184-F184)*M184,IF(L184="BRUTO",K184*M184,"")))</f>
        <v/>
      </c>
      <c r="O184" s="9" t="str">
        <f aca="false">IF(D184="","",D184)</f>
        <v/>
      </c>
      <c r="P184" s="10" t="str">
        <f aca="false">IF(I184="","",IF(COUNTIF(Q184:AN184,TRUE())&gt;=I184,"PAGADO",IF(COUNTIF(Q184:AN184,TRUE())&gt;0,"PARCIAL","VIGENTE")))</f>
        <v/>
      </c>
      <c r="Q184" s="11" t="str">
        <f aca="false">IF(OR(I184="",I184&lt;1,O184=""),"",O184+0)</f>
        <v/>
      </c>
      <c r="R184" s="11" t="str">
        <f aca="false">IF(OR(I184="",I184&lt;2,O184=""),"",O184+30)</f>
        <v/>
      </c>
      <c r="S184" s="11" t="str">
        <f aca="false">IF(OR(I184="",I184&lt;3,O184=""),"",O184+60)</f>
        <v/>
      </c>
      <c r="T184" s="11" t="str">
        <f aca="false">IF(OR(I184="",I184&lt;4,O184=""),"",O184+90)</f>
        <v/>
      </c>
      <c r="U184" s="11" t="str">
        <f aca="false">IF(OR(I184="",I184&lt;5,O184=""),"",O184+120)</f>
        <v/>
      </c>
      <c r="V184" s="11" t="str">
        <f aca="false">IF(OR(I184="",I184&lt;6,O184=""),"",O184+150)</f>
        <v/>
      </c>
      <c r="W184" s="11" t="str">
        <f aca="false">IF(OR(I184="",I184&lt;7,O184=""),"",O184+180)</f>
        <v/>
      </c>
      <c r="X184" s="11" t="str">
        <f aca="false">IF(OR(I184="",I184&lt;8,O184=""),"",O184+210)</f>
        <v/>
      </c>
      <c r="Y184" s="11" t="str">
        <f aca="false">IF(OR(I184="",I184&lt;9,O184=""),"",O184+240)</f>
        <v/>
      </c>
      <c r="Z184" s="11" t="str">
        <f aca="false">IF(OR(I184="",I184&lt;10,O184=""),"",O184+270)</f>
        <v/>
      </c>
      <c r="AA184" s="11" t="str">
        <f aca="false">IF(OR(I184="",I184&lt;11,O184=""),"",O184+300)</f>
        <v/>
      </c>
      <c r="AB184" s="11" t="str">
        <f aca="false">IF(OR(I184="",I184&lt;12,O184=""),"",O184+330)</f>
        <v/>
      </c>
      <c r="AC184" s="11" t="str">
        <f aca="false">IF(OR(I184="",I184&lt;13,O184=""),"",O184+360)</f>
        <v/>
      </c>
      <c r="AD184" s="11" t="str">
        <f aca="false">IF(OR(I184="",I184&lt;14,O184=""),"",O184+390)</f>
        <v/>
      </c>
      <c r="AE184" s="11" t="str">
        <f aca="false">IF(OR(I184="",I184&lt;15,O184=""),"",O184+420)</f>
        <v/>
      </c>
      <c r="AF184" s="11" t="str">
        <f aca="false">IF(OR(I184="",I184&lt;16,O184=""),"",O184+450)</f>
        <v/>
      </c>
      <c r="AG184" s="11" t="str">
        <f aca="false">IF(OR(I184="",I184&lt;17,O184=""),"",O184+480)</f>
        <v/>
      </c>
      <c r="AH184" s="11" t="str">
        <f aca="false">IF(OR(I184="",I184&lt;18,O184=""),"",O184+510)</f>
        <v/>
      </c>
      <c r="AI184" s="11" t="str">
        <f aca="false">IF(OR(I184="",I184&lt;19,O184=""),"",O184+540)</f>
        <v/>
      </c>
      <c r="AJ184" s="11" t="str">
        <f aca="false">IF(OR(I184="",I184&lt;20,O184=""),"",O184+570)</f>
        <v/>
      </c>
      <c r="AK184" s="11" t="str">
        <f aca="false">IF(OR(I184="",I184&lt;21,O184=""),"",O184+600)</f>
        <v/>
      </c>
      <c r="AL184" s="11" t="str">
        <f aca="false">IF(OR(I184="",I184&lt;22,O184=""),"",O184+630)</f>
        <v/>
      </c>
      <c r="AM184" s="11" t="str">
        <f aca="false">IF(OR(I184="",I184&lt;23,O184=""),"",O184+660)</f>
        <v/>
      </c>
      <c r="AN184" s="11" t="str">
        <f aca="false">IF(OR(I184="",I184&lt;24,O184=""),"",O184+690)</f>
        <v/>
      </c>
      <c r="AO184" s="7" t="str">
        <f aca="false">IF(J184="","",COUNTIF(Q184:AN184,TRUE())*J184)</f>
        <v/>
      </c>
      <c r="AP184" s="7" t="str">
        <f aca="false">IF(K184="","",K184-AO184)</f>
        <v/>
      </c>
      <c r="AQ184" s="7" t="str">
        <f aca="false">IF(K184="","",K184-F184-IF(N184="",0,N184))</f>
        <v/>
      </c>
    </row>
    <row r="185" customFormat="false" ht="15" hidden="false" customHeight="false" outlineLevel="0" collapsed="false">
      <c r="A185" s="12"/>
      <c r="B185" s="12"/>
      <c r="C185" s="12"/>
      <c r="D185" s="13"/>
      <c r="E185" s="13"/>
      <c r="F185" s="14"/>
      <c r="G185" s="12"/>
      <c r="H185" s="12"/>
      <c r="I185" s="12"/>
      <c r="J185" s="14"/>
      <c r="K185" s="15" t="str">
        <f aca="false">IF(OR(I185="",J185=""),"",I185*J185)</f>
        <v/>
      </c>
      <c r="L185" s="12"/>
      <c r="M185" s="16"/>
      <c r="N185" s="15" t="str">
        <f aca="false">IF(OR(L185="",M185="",K185=""),"",IF(L185="GANANCIA",(K185-F185)*M185,IF(L185="BRUTO",K185*M185,"")))</f>
        <v/>
      </c>
      <c r="O185" s="17" t="str">
        <f aca="false">IF(D185="","",D185)</f>
        <v/>
      </c>
      <c r="P185" s="18" t="str">
        <f aca="false">IF(I185="","",IF(COUNTIF(Q185:AN185,TRUE())&gt;=I185,"PAGADO",IF(COUNTIF(Q185:AN185,TRUE())&gt;0,"PARCIAL","VIGENTE")))</f>
        <v/>
      </c>
      <c r="Q185" s="19" t="str">
        <f aca="false">IF(OR(I185="",I185&lt;1,O185=""),"",O185+0)</f>
        <v/>
      </c>
      <c r="R185" s="19" t="str">
        <f aca="false">IF(OR(I185="",I185&lt;2,O185=""),"",O185+30)</f>
        <v/>
      </c>
      <c r="S185" s="19" t="str">
        <f aca="false">IF(OR(I185="",I185&lt;3,O185=""),"",O185+60)</f>
        <v/>
      </c>
      <c r="T185" s="19" t="str">
        <f aca="false">IF(OR(I185="",I185&lt;4,O185=""),"",O185+90)</f>
        <v/>
      </c>
      <c r="U185" s="19" t="str">
        <f aca="false">IF(OR(I185="",I185&lt;5,O185=""),"",O185+120)</f>
        <v/>
      </c>
      <c r="V185" s="19" t="str">
        <f aca="false">IF(OR(I185="",I185&lt;6,O185=""),"",O185+150)</f>
        <v/>
      </c>
      <c r="W185" s="19" t="str">
        <f aca="false">IF(OR(I185="",I185&lt;7,O185=""),"",O185+180)</f>
        <v/>
      </c>
      <c r="X185" s="19" t="str">
        <f aca="false">IF(OR(I185="",I185&lt;8,O185=""),"",O185+210)</f>
        <v/>
      </c>
      <c r="Y185" s="19" t="str">
        <f aca="false">IF(OR(I185="",I185&lt;9,O185=""),"",O185+240)</f>
        <v/>
      </c>
      <c r="Z185" s="19" t="str">
        <f aca="false">IF(OR(I185="",I185&lt;10,O185=""),"",O185+270)</f>
        <v/>
      </c>
      <c r="AA185" s="19" t="str">
        <f aca="false">IF(OR(I185="",I185&lt;11,O185=""),"",O185+300)</f>
        <v/>
      </c>
      <c r="AB185" s="19" t="str">
        <f aca="false">IF(OR(I185="",I185&lt;12,O185=""),"",O185+330)</f>
        <v/>
      </c>
      <c r="AC185" s="19" t="str">
        <f aca="false">IF(OR(I185="",I185&lt;13,O185=""),"",O185+360)</f>
        <v/>
      </c>
      <c r="AD185" s="19" t="str">
        <f aca="false">IF(OR(I185="",I185&lt;14,O185=""),"",O185+390)</f>
        <v/>
      </c>
      <c r="AE185" s="19" t="str">
        <f aca="false">IF(OR(I185="",I185&lt;15,O185=""),"",O185+420)</f>
        <v/>
      </c>
      <c r="AF185" s="19" t="str">
        <f aca="false">IF(OR(I185="",I185&lt;16,O185=""),"",O185+450)</f>
        <v/>
      </c>
      <c r="AG185" s="19" t="str">
        <f aca="false">IF(OR(I185="",I185&lt;17,O185=""),"",O185+480)</f>
        <v/>
      </c>
      <c r="AH185" s="19" t="str">
        <f aca="false">IF(OR(I185="",I185&lt;18,O185=""),"",O185+510)</f>
        <v/>
      </c>
      <c r="AI185" s="19" t="str">
        <f aca="false">IF(OR(I185="",I185&lt;19,O185=""),"",O185+540)</f>
        <v/>
      </c>
      <c r="AJ185" s="19" t="str">
        <f aca="false">IF(OR(I185="",I185&lt;20,O185=""),"",O185+570)</f>
        <v/>
      </c>
      <c r="AK185" s="19" t="str">
        <f aca="false">IF(OR(I185="",I185&lt;21,O185=""),"",O185+600)</f>
        <v/>
      </c>
      <c r="AL185" s="19" t="str">
        <f aca="false">IF(OR(I185="",I185&lt;22,O185=""),"",O185+630)</f>
        <v/>
      </c>
      <c r="AM185" s="19" t="str">
        <f aca="false">IF(OR(I185="",I185&lt;23,O185=""),"",O185+660)</f>
        <v/>
      </c>
      <c r="AN185" s="19" t="str">
        <f aca="false">IF(OR(I185="",I185&lt;24,O185=""),"",O185+690)</f>
        <v/>
      </c>
      <c r="AO185" s="15" t="str">
        <f aca="false">IF(J185="","",COUNTIF(Q185:AN185,TRUE())*J185)</f>
        <v/>
      </c>
      <c r="AP185" s="15" t="str">
        <f aca="false">IF(K185="","",K185-AO185)</f>
        <v/>
      </c>
      <c r="AQ185" s="15" t="str">
        <f aca="false">IF(K185="","",K185-F185-IF(N185="",0,N185))</f>
        <v/>
      </c>
    </row>
    <row r="186" customFormat="false" ht="15" hidden="false" customHeight="false" outlineLevel="0" collapsed="false">
      <c r="A186" s="4"/>
      <c r="B186" s="4"/>
      <c r="C186" s="4"/>
      <c r="D186" s="5"/>
      <c r="E186" s="5"/>
      <c r="F186" s="6"/>
      <c r="G186" s="4"/>
      <c r="H186" s="4"/>
      <c r="I186" s="4"/>
      <c r="J186" s="6"/>
      <c r="K186" s="7" t="str">
        <f aca="false">IF(OR(I186="",J186=""),"",I186*J186)</f>
        <v/>
      </c>
      <c r="L186" s="4"/>
      <c r="M186" s="8"/>
      <c r="N186" s="7" t="str">
        <f aca="false">IF(OR(L186="",M186="",K186=""),"",IF(L186="GANANCIA",(K186-F186)*M186,IF(L186="BRUTO",K186*M186,"")))</f>
        <v/>
      </c>
      <c r="O186" s="9" t="str">
        <f aca="false">IF(D186="","",D186)</f>
        <v/>
      </c>
      <c r="P186" s="10" t="str">
        <f aca="false">IF(I186="","",IF(COUNTIF(Q186:AN186,TRUE())&gt;=I186,"PAGADO",IF(COUNTIF(Q186:AN186,TRUE())&gt;0,"PARCIAL","VIGENTE")))</f>
        <v/>
      </c>
      <c r="Q186" s="11" t="str">
        <f aca="false">IF(OR(I186="",I186&lt;1,O186=""),"",O186+0)</f>
        <v/>
      </c>
      <c r="R186" s="11" t="str">
        <f aca="false">IF(OR(I186="",I186&lt;2,O186=""),"",O186+30)</f>
        <v/>
      </c>
      <c r="S186" s="11" t="str">
        <f aca="false">IF(OR(I186="",I186&lt;3,O186=""),"",O186+60)</f>
        <v/>
      </c>
      <c r="T186" s="11" t="str">
        <f aca="false">IF(OR(I186="",I186&lt;4,O186=""),"",O186+90)</f>
        <v/>
      </c>
      <c r="U186" s="11" t="str">
        <f aca="false">IF(OR(I186="",I186&lt;5,O186=""),"",O186+120)</f>
        <v/>
      </c>
      <c r="V186" s="11" t="str">
        <f aca="false">IF(OR(I186="",I186&lt;6,O186=""),"",O186+150)</f>
        <v/>
      </c>
      <c r="W186" s="11" t="str">
        <f aca="false">IF(OR(I186="",I186&lt;7,O186=""),"",O186+180)</f>
        <v/>
      </c>
      <c r="X186" s="11" t="str">
        <f aca="false">IF(OR(I186="",I186&lt;8,O186=""),"",O186+210)</f>
        <v/>
      </c>
      <c r="Y186" s="11" t="str">
        <f aca="false">IF(OR(I186="",I186&lt;9,O186=""),"",O186+240)</f>
        <v/>
      </c>
      <c r="Z186" s="11" t="str">
        <f aca="false">IF(OR(I186="",I186&lt;10,O186=""),"",O186+270)</f>
        <v/>
      </c>
      <c r="AA186" s="11" t="str">
        <f aca="false">IF(OR(I186="",I186&lt;11,O186=""),"",O186+300)</f>
        <v/>
      </c>
      <c r="AB186" s="11" t="str">
        <f aca="false">IF(OR(I186="",I186&lt;12,O186=""),"",O186+330)</f>
        <v/>
      </c>
      <c r="AC186" s="11" t="str">
        <f aca="false">IF(OR(I186="",I186&lt;13,O186=""),"",O186+360)</f>
        <v/>
      </c>
      <c r="AD186" s="11" t="str">
        <f aca="false">IF(OR(I186="",I186&lt;14,O186=""),"",O186+390)</f>
        <v/>
      </c>
      <c r="AE186" s="11" t="str">
        <f aca="false">IF(OR(I186="",I186&lt;15,O186=""),"",O186+420)</f>
        <v/>
      </c>
      <c r="AF186" s="11" t="str">
        <f aca="false">IF(OR(I186="",I186&lt;16,O186=""),"",O186+450)</f>
        <v/>
      </c>
      <c r="AG186" s="11" t="str">
        <f aca="false">IF(OR(I186="",I186&lt;17,O186=""),"",O186+480)</f>
        <v/>
      </c>
      <c r="AH186" s="11" t="str">
        <f aca="false">IF(OR(I186="",I186&lt;18,O186=""),"",O186+510)</f>
        <v/>
      </c>
      <c r="AI186" s="11" t="str">
        <f aca="false">IF(OR(I186="",I186&lt;19,O186=""),"",O186+540)</f>
        <v/>
      </c>
      <c r="AJ186" s="11" t="str">
        <f aca="false">IF(OR(I186="",I186&lt;20,O186=""),"",O186+570)</f>
        <v/>
      </c>
      <c r="AK186" s="11" t="str">
        <f aca="false">IF(OR(I186="",I186&lt;21,O186=""),"",O186+600)</f>
        <v/>
      </c>
      <c r="AL186" s="11" t="str">
        <f aca="false">IF(OR(I186="",I186&lt;22,O186=""),"",O186+630)</f>
        <v/>
      </c>
      <c r="AM186" s="11" t="str">
        <f aca="false">IF(OR(I186="",I186&lt;23,O186=""),"",O186+660)</f>
        <v/>
      </c>
      <c r="AN186" s="11" t="str">
        <f aca="false">IF(OR(I186="",I186&lt;24,O186=""),"",O186+690)</f>
        <v/>
      </c>
      <c r="AO186" s="7" t="str">
        <f aca="false">IF(J186="","",COUNTIF(Q186:AN186,TRUE())*J186)</f>
        <v/>
      </c>
      <c r="AP186" s="7" t="str">
        <f aca="false">IF(K186="","",K186-AO186)</f>
        <v/>
      </c>
      <c r="AQ186" s="7" t="str">
        <f aca="false">IF(K186="","",K186-F186-IF(N186="",0,N186))</f>
        <v/>
      </c>
    </row>
    <row r="187" customFormat="false" ht="15" hidden="false" customHeight="false" outlineLevel="0" collapsed="false">
      <c r="A187" s="12"/>
      <c r="B187" s="12"/>
      <c r="C187" s="12"/>
      <c r="D187" s="13"/>
      <c r="E187" s="13"/>
      <c r="F187" s="14"/>
      <c r="G187" s="12"/>
      <c r="H187" s="12"/>
      <c r="I187" s="12"/>
      <c r="J187" s="14"/>
      <c r="K187" s="15" t="str">
        <f aca="false">IF(OR(I187="",J187=""),"",I187*J187)</f>
        <v/>
      </c>
      <c r="L187" s="12"/>
      <c r="M187" s="16"/>
      <c r="N187" s="15" t="str">
        <f aca="false">IF(OR(L187="",M187="",K187=""),"",IF(L187="GANANCIA",(K187-F187)*M187,IF(L187="BRUTO",K187*M187,"")))</f>
        <v/>
      </c>
      <c r="O187" s="17" t="str">
        <f aca="false">IF(D187="","",D187)</f>
        <v/>
      </c>
      <c r="P187" s="18" t="str">
        <f aca="false">IF(I187="","",IF(COUNTIF(Q187:AN187,TRUE())&gt;=I187,"PAGADO",IF(COUNTIF(Q187:AN187,TRUE())&gt;0,"PARCIAL","VIGENTE")))</f>
        <v/>
      </c>
      <c r="Q187" s="19" t="str">
        <f aca="false">IF(OR(I187="",I187&lt;1,O187=""),"",O187+0)</f>
        <v/>
      </c>
      <c r="R187" s="19" t="str">
        <f aca="false">IF(OR(I187="",I187&lt;2,O187=""),"",O187+30)</f>
        <v/>
      </c>
      <c r="S187" s="19" t="str">
        <f aca="false">IF(OR(I187="",I187&lt;3,O187=""),"",O187+60)</f>
        <v/>
      </c>
      <c r="T187" s="19" t="str">
        <f aca="false">IF(OR(I187="",I187&lt;4,O187=""),"",O187+90)</f>
        <v/>
      </c>
      <c r="U187" s="19" t="str">
        <f aca="false">IF(OR(I187="",I187&lt;5,O187=""),"",O187+120)</f>
        <v/>
      </c>
      <c r="V187" s="19" t="str">
        <f aca="false">IF(OR(I187="",I187&lt;6,O187=""),"",O187+150)</f>
        <v/>
      </c>
      <c r="W187" s="19" t="str">
        <f aca="false">IF(OR(I187="",I187&lt;7,O187=""),"",O187+180)</f>
        <v/>
      </c>
      <c r="X187" s="19" t="str">
        <f aca="false">IF(OR(I187="",I187&lt;8,O187=""),"",O187+210)</f>
        <v/>
      </c>
      <c r="Y187" s="19" t="str">
        <f aca="false">IF(OR(I187="",I187&lt;9,O187=""),"",O187+240)</f>
        <v/>
      </c>
      <c r="Z187" s="19" t="str">
        <f aca="false">IF(OR(I187="",I187&lt;10,O187=""),"",O187+270)</f>
        <v/>
      </c>
      <c r="AA187" s="19" t="str">
        <f aca="false">IF(OR(I187="",I187&lt;11,O187=""),"",O187+300)</f>
        <v/>
      </c>
      <c r="AB187" s="19" t="str">
        <f aca="false">IF(OR(I187="",I187&lt;12,O187=""),"",O187+330)</f>
        <v/>
      </c>
      <c r="AC187" s="19" t="str">
        <f aca="false">IF(OR(I187="",I187&lt;13,O187=""),"",O187+360)</f>
        <v/>
      </c>
      <c r="AD187" s="19" t="str">
        <f aca="false">IF(OR(I187="",I187&lt;14,O187=""),"",O187+390)</f>
        <v/>
      </c>
      <c r="AE187" s="19" t="str">
        <f aca="false">IF(OR(I187="",I187&lt;15,O187=""),"",O187+420)</f>
        <v/>
      </c>
      <c r="AF187" s="19" t="str">
        <f aca="false">IF(OR(I187="",I187&lt;16,O187=""),"",O187+450)</f>
        <v/>
      </c>
      <c r="AG187" s="19" t="str">
        <f aca="false">IF(OR(I187="",I187&lt;17,O187=""),"",O187+480)</f>
        <v/>
      </c>
      <c r="AH187" s="19" t="str">
        <f aca="false">IF(OR(I187="",I187&lt;18,O187=""),"",O187+510)</f>
        <v/>
      </c>
      <c r="AI187" s="19" t="str">
        <f aca="false">IF(OR(I187="",I187&lt;19,O187=""),"",O187+540)</f>
        <v/>
      </c>
      <c r="AJ187" s="19" t="str">
        <f aca="false">IF(OR(I187="",I187&lt;20,O187=""),"",O187+570)</f>
        <v/>
      </c>
      <c r="AK187" s="19" t="str">
        <f aca="false">IF(OR(I187="",I187&lt;21,O187=""),"",O187+600)</f>
        <v/>
      </c>
      <c r="AL187" s="19" t="str">
        <f aca="false">IF(OR(I187="",I187&lt;22,O187=""),"",O187+630)</f>
        <v/>
      </c>
      <c r="AM187" s="19" t="str">
        <f aca="false">IF(OR(I187="",I187&lt;23,O187=""),"",O187+660)</f>
        <v/>
      </c>
      <c r="AN187" s="19" t="str">
        <f aca="false">IF(OR(I187="",I187&lt;24,O187=""),"",O187+690)</f>
        <v/>
      </c>
      <c r="AO187" s="15" t="str">
        <f aca="false">IF(J187="","",COUNTIF(Q187:AN187,TRUE())*J187)</f>
        <v/>
      </c>
      <c r="AP187" s="15" t="str">
        <f aca="false">IF(K187="","",K187-AO187)</f>
        <v/>
      </c>
      <c r="AQ187" s="15" t="str">
        <f aca="false">IF(K187="","",K187-F187-IF(N187="",0,N187))</f>
        <v/>
      </c>
    </row>
    <row r="188" customFormat="false" ht="15" hidden="false" customHeight="false" outlineLevel="0" collapsed="false">
      <c r="A188" s="4"/>
      <c r="B188" s="4"/>
      <c r="C188" s="4"/>
      <c r="D188" s="5"/>
      <c r="E188" s="5"/>
      <c r="F188" s="6"/>
      <c r="G188" s="4"/>
      <c r="H188" s="4"/>
      <c r="I188" s="4"/>
      <c r="J188" s="6"/>
      <c r="K188" s="7" t="str">
        <f aca="false">IF(OR(I188="",J188=""),"",I188*J188)</f>
        <v/>
      </c>
      <c r="L188" s="4"/>
      <c r="M188" s="8"/>
      <c r="N188" s="7" t="str">
        <f aca="false">IF(OR(L188="",M188="",K188=""),"",IF(L188="GANANCIA",(K188-F188)*M188,IF(L188="BRUTO",K188*M188,"")))</f>
        <v/>
      </c>
      <c r="O188" s="9" t="str">
        <f aca="false">IF(D188="","",D188)</f>
        <v/>
      </c>
      <c r="P188" s="10" t="str">
        <f aca="false">IF(I188="","",IF(COUNTIF(Q188:AN188,TRUE())&gt;=I188,"PAGADO",IF(COUNTIF(Q188:AN188,TRUE())&gt;0,"PARCIAL","VIGENTE")))</f>
        <v/>
      </c>
      <c r="Q188" s="11" t="str">
        <f aca="false">IF(OR(I188="",I188&lt;1,O188=""),"",O188+0)</f>
        <v/>
      </c>
      <c r="R188" s="11" t="str">
        <f aca="false">IF(OR(I188="",I188&lt;2,O188=""),"",O188+30)</f>
        <v/>
      </c>
      <c r="S188" s="11" t="str">
        <f aca="false">IF(OR(I188="",I188&lt;3,O188=""),"",O188+60)</f>
        <v/>
      </c>
      <c r="T188" s="11" t="str">
        <f aca="false">IF(OR(I188="",I188&lt;4,O188=""),"",O188+90)</f>
        <v/>
      </c>
      <c r="U188" s="11" t="str">
        <f aca="false">IF(OR(I188="",I188&lt;5,O188=""),"",O188+120)</f>
        <v/>
      </c>
      <c r="V188" s="11" t="str">
        <f aca="false">IF(OR(I188="",I188&lt;6,O188=""),"",O188+150)</f>
        <v/>
      </c>
      <c r="W188" s="11" t="str">
        <f aca="false">IF(OR(I188="",I188&lt;7,O188=""),"",O188+180)</f>
        <v/>
      </c>
      <c r="X188" s="11" t="str">
        <f aca="false">IF(OR(I188="",I188&lt;8,O188=""),"",O188+210)</f>
        <v/>
      </c>
      <c r="Y188" s="11" t="str">
        <f aca="false">IF(OR(I188="",I188&lt;9,O188=""),"",O188+240)</f>
        <v/>
      </c>
      <c r="Z188" s="11" t="str">
        <f aca="false">IF(OR(I188="",I188&lt;10,O188=""),"",O188+270)</f>
        <v/>
      </c>
      <c r="AA188" s="11" t="str">
        <f aca="false">IF(OR(I188="",I188&lt;11,O188=""),"",O188+300)</f>
        <v/>
      </c>
      <c r="AB188" s="11" t="str">
        <f aca="false">IF(OR(I188="",I188&lt;12,O188=""),"",O188+330)</f>
        <v/>
      </c>
      <c r="AC188" s="11" t="str">
        <f aca="false">IF(OR(I188="",I188&lt;13,O188=""),"",O188+360)</f>
        <v/>
      </c>
      <c r="AD188" s="11" t="str">
        <f aca="false">IF(OR(I188="",I188&lt;14,O188=""),"",O188+390)</f>
        <v/>
      </c>
      <c r="AE188" s="11" t="str">
        <f aca="false">IF(OR(I188="",I188&lt;15,O188=""),"",O188+420)</f>
        <v/>
      </c>
      <c r="AF188" s="11" t="str">
        <f aca="false">IF(OR(I188="",I188&lt;16,O188=""),"",O188+450)</f>
        <v/>
      </c>
      <c r="AG188" s="11" t="str">
        <f aca="false">IF(OR(I188="",I188&lt;17,O188=""),"",O188+480)</f>
        <v/>
      </c>
      <c r="AH188" s="11" t="str">
        <f aca="false">IF(OR(I188="",I188&lt;18,O188=""),"",O188+510)</f>
        <v/>
      </c>
      <c r="AI188" s="11" t="str">
        <f aca="false">IF(OR(I188="",I188&lt;19,O188=""),"",O188+540)</f>
        <v/>
      </c>
      <c r="AJ188" s="11" t="str">
        <f aca="false">IF(OR(I188="",I188&lt;20,O188=""),"",O188+570)</f>
        <v/>
      </c>
      <c r="AK188" s="11" t="str">
        <f aca="false">IF(OR(I188="",I188&lt;21,O188=""),"",O188+600)</f>
        <v/>
      </c>
      <c r="AL188" s="11" t="str">
        <f aca="false">IF(OR(I188="",I188&lt;22,O188=""),"",O188+630)</f>
        <v/>
      </c>
      <c r="AM188" s="11" t="str">
        <f aca="false">IF(OR(I188="",I188&lt;23,O188=""),"",O188+660)</f>
        <v/>
      </c>
      <c r="AN188" s="11" t="str">
        <f aca="false">IF(OR(I188="",I188&lt;24,O188=""),"",O188+690)</f>
        <v/>
      </c>
      <c r="AO188" s="7" t="str">
        <f aca="false">IF(J188="","",COUNTIF(Q188:AN188,TRUE())*J188)</f>
        <v/>
      </c>
      <c r="AP188" s="7" t="str">
        <f aca="false">IF(K188="","",K188-AO188)</f>
        <v/>
      </c>
      <c r="AQ188" s="7" t="str">
        <f aca="false">IF(K188="","",K188-F188-IF(N188="",0,N188))</f>
        <v/>
      </c>
    </row>
    <row r="189" customFormat="false" ht="15" hidden="false" customHeight="false" outlineLevel="0" collapsed="false">
      <c r="A189" s="12"/>
      <c r="B189" s="12"/>
      <c r="C189" s="12"/>
      <c r="D189" s="13"/>
      <c r="E189" s="13"/>
      <c r="F189" s="14"/>
      <c r="G189" s="12"/>
      <c r="H189" s="12"/>
      <c r="I189" s="12"/>
      <c r="J189" s="14"/>
      <c r="K189" s="15" t="str">
        <f aca="false">IF(OR(I189="",J189=""),"",I189*J189)</f>
        <v/>
      </c>
      <c r="L189" s="12"/>
      <c r="M189" s="16"/>
      <c r="N189" s="15" t="str">
        <f aca="false">IF(OR(L189="",M189="",K189=""),"",IF(L189="GANANCIA",(K189-F189)*M189,IF(L189="BRUTO",K189*M189,"")))</f>
        <v/>
      </c>
      <c r="O189" s="17" t="str">
        <f aca="false">IF(D189="","",D189)</f>
        <v/>
      </c>
      <c r="P189" s="18" t="str">
        <f aca="false">IF(I189="","",IF(COUNTIF(Q189:AN189,TRUE())&gt;=I189,"PAGADO",IF(COUNTIF(Q189:AN189,TRUE())&gt;0,"PARCIAL","VIGENTE")))</f>
        <v/>
      </c>
      <c r="Q189" s="19" t="str">
        <f aca="false">IF(OR(I189="",I189&lt;1,O189=""),"",O189+0)</f>
        <v/>
      </c>
      <c r="R189" s="19" t="str">
        <f aca="false">IF(OR(I189="",I189&lt;2,O189=""),"",O189+30)</f>
        <v/>
      </c>
      <c r="S189" s="19" t="str">
        <f aca="false">IF(OR(I189="",I189&lt;3,O189=""),"",O189+60)</f>
        <v/>
      </c>
      <c r="T189" s="19" t="str">
        <f aca="false">IF(OR(I189="",I189&lt;4,O189=""),"",O189+90)</f>
        <v/>
      </c>
      <c r="U189" s="19" t="str">
        <f aca="false">IF(OR(I189="",I189&lt;5,O189=""),"",O189+120)</f>
        <v/>
      </c>
      <c r="V189" s="19" t="str">
        <f aca="false">IF(OR(I189="",I189&lt;6,O189=""),"",O189+150)</f>
        <v/>
      </c>
      <c r="W189" s="19" t="str">
        <f aca="false">IF(OR(I189="",I189&lt;7,O189=""),"",O189+180)</f>
        <v/>
      </c>
      <c r="X189" s="19" t="str">
        <f aca="false">IF(OR(I189="",I189&lt;8,O189=""),"",O189+210)</f>
        <v/>
      </c>
      <c r="Y189" s="19" t="str">
        <f aca="false">IF(OR(I189="",I189&lt;9,O189=""),"",O189+240)</f>
        <v/>
      </c>
      <c r="Z189" s="19" t="str">
        <f aca="false">IF(OR(I189="",I189&lt;10,O189=""),"",O189+270)</f>
        <v/>
      </c>
      <c r="AA189" s="19" t="str">
        <f aca="false">IF(OR(I189="",I189&lt;11,O189=""),"",O189+300)</f>
        <v/>
      </c>
      <c r="AB189" s="19" t="str">
        <f aca="false">IF(OR(I189="",I189&lt;12,O189=""),"",O189+330)</f>
        <v/>
      </c>
      <c r="AC189" s="19" t="str">
        <f aca="false">IF(OR(I189="",I189&lt;13,O189=""),"",O189+360)</f>
        <v/>
      </c>
      <c r="AD189" s="19" t="str">
        <f aca="false">IF(OR(I189="",I189&lt;14,O189=""),"",O189+390)</f>
        <v/>
      </c>
      <c r="AE189" s="19" t="str">
        <f aca="false">IF(OR(I189="",I189&lt;15,O189=""),"",O189+420)</f>
        <v/>
      </c>
      <c r="AF189" s="19" t="str">
        <f aca="false">IF(OR(I189="",I189&lt;16,O189=""),"",O189+450)</f>
        <v/>
      </c>
      <c r="AG189" s="19" t="str">
        <f aca="false">IF(OR(I189="",I189&lt;17,O189=""),"",O189+480)</f>
        <v/>
      </c>
      <c r="AH189" s="19" t="str">
        <f aca="false">IF(OR(I189="",I189&lt;18,O189=""),"",O189+510)</f>
        <v/>
      </c>
      <c r="AI189" s="19" t="str">
        <f aca="false">IF(OR(I189="",I189&lt;19,O189=""),"",O189+540)</f>
        <v/>
      </c>
      <c r="AJ189" s="19" t="str">
        <f aca="false">IF(OR(I189="",I189&lt;20,O189=""),"",O189+570)</f>
        <v/>
      </c>
      <c r="AK189" s="19" t="str">
        <f aca="false">IF(OR(I189="",I189&lt;21,O189=""),"",O189+600)</f>
        <v/>
      </c>
      <c r="AL189" s="19" t="str">
        <f aca="false">IF(OR(I189="",I189&lt;22,O189=""),"",O189+630)</f>
        <v/>
      </c>
      <c r="AM189" s="19" t="str">
        <f aca="false">IF(OR(I189="",I189&lt;23,O189=""),"",O189+660)</f>
        <v/>
      </c>
      <c r="AN189" s="19" t="str">
        <f aca="false">IF(OR(I189="",I189&lt;24,O189=""),"",O189+690)</f>
        <v/>
      </c>
      <c r="AO189" s="15" t="str">
        <f aca="false">IF(J189="","",COUNTIF(Q189:AN189,TRUE())*J189)</f>
        <v/>
      </c>
      <c r="AP189" s="15" t="str">
        <f aca="false">IF(K189="","",K189-AO189)</f>
        <v/>
      </c>
      <c r="AQ189" s="15" t="str">
        <f aca="false">IF(K189="","",K189-F189-IF(N189="",0,N189))</f>
        <v/>
      </c>
    </row>
    <row r="190" customFormat="false" ht="15" hidden="false" customHeight="false" outlineLevel="0" collapsed="false">
      <c r="A190" s="4"/>
      <c r="B190" s="4"/>
      <c r="C190" s="4"/>
      <c r="D190" s="5"/>
      <c r="E190" s="5"/>
      <c r="F190" s="6"/>
      <c r="G190" s="4"/>
      <c r="H190" s="4"/>
      <c r="I190" s="4"/>
      <c r="J190" s="6"/>
      <c r="K190" s="7" t="str">
        <f aca="false">IF(OR(I190="",J190=""),"",I190*J190)</f>
        <v/>
      </c>
      <c r="L190" s="4"/>
      <c r="M190" s="8"/>
      <c r="N190" s="7" t="str">
        <f aca="false">IF(OR(L190="",M190="",K190=""),"",IF(L190="GANANCIA",(K190-F190)*M190,IF(L190="BRUTO",K190*M190,"")))</f>
        <v/>
      </c>
      <c r="O190" s="9" t="str">
        <f aca="false">IF(D190="","",D190)</f>
        <v/>
      </c>
      <c r="P190" s="10" t="str">
        <f aca="false">IF(I190="","",IF(COUNTIF(Q190:AN190,TRUE())&gt;=I190,"PAGADO",IF(COUNTIF(Q190:AN190,TRUE())&gt;0,"PARCIAL","VIGENTE")))</f>
        <v/>
      </c>
      <c r="Q190" s="11" t="str">
        <f aca="false">IF(OR(I190="",I190&lt;1,O190=""),"",O190+0)</f>
        <v/>
      </c>
      <c r="R190" s="11" t="str">
        <f aca="false">IF(OR(I190="",I190&lt;2,O190=""),"",O190+30)</f>
        <v/>
      </c>
      <c r="S190" s="11" t="str">
        <f aca="false">IF(OR(I190="",I190&lt;3,O190=""),"",O190+60)</f>
        <v/>
      </c>
      <c r="T190" s="11" t="str">
        <f aca="false">IF(OR(I190="",I190&lt;4,O190=""),"",O190+90)</f>
        <v/>
      </c>
      <c r="U190" s="11" t="str">
        <f aca="false">IF(OR(I190="",I190&lt;5,O190=""),"",O190+120)</f>
        <v/>
      </c>
      <c r="V190" s="11" t="str">
        <f aca="false">IF(OR(I190="",I190&lt;6,O190=""),"",O190+150)</f>
        <v/>
      </c>
      <c r="W190" s="11" t="str">
        <f aca="false">IF(OR(I190="",I190&lt;7,O190=""),"",O190+180)</f>
        <v/>
      </c>
      <c r="X190" s="11" t="str">
        <f aca="false">IF(OR(I190="",I190&lt;8,O190=""),"",O190+210)</f>
        <v/>
      </c>
      <c r="Y190" s="11" t="str">
        <f aca="false">IF(OR(I190="",I190&lt;9,O190=""),"",O190+240)</f>
        <v/>
      </c>
      <c r="Z190" s="11" t="str">
        <f aca="false">IF(OR(I190="",I190&lt;10,O190=""),"",O190+270)</f>
        <v/>
      </c>
      <c r="AA190" s="11" t="str">
        <f aca="false">IF(OR(I190="",I190&lt;11,O190=""),"",O190+300)</f>
        <v/>
      </c>
      <c r="AB190" s="11" t="str">
        <f aca="false">IF(OR(I190="",I190&lt;12,O190=""),"",O190+330)</f>
        <v/>
      </c>
      <c r="AC190" s="11" t="str">
        <f aca="false">IF(OR(I190="",I190&lt;13,O190=""),"",O190+360)</f>
        <v/>
      </c>
      <c r="AD190" s="11" t="str">
        <f aca="false">IF(OR(I190="",I190&lt;14,O190=""),"",O190+390)</f>
        <v/>
      </c>
      <c r="AE190" s="11" t="str">
        <f aca="false">IF(OR(I190="",I190&lt;15,O190=""),"",O190+420)</f>
        <v/>
      </c>
      <c r="AF190" s="11" t="str">
        <f aca="false">IF(OR(I190="",I190&lt;16,O190=""),"",O190+450)</f>
        <v/>
      </c>
      <c r="AG190" s="11" t="str">
        <f aca="false">IF(OR(I190="",I190&lt;17,O190=""),"",O190+480)</f>
        <v/>
      </c>
      <c r="AH190" s="11" t="str">
        <f aca="false">IF(OR(I190="",I190&lt;18,O190=""),"",O190+510)</f>
        <v/>
      </c>
      <c r="AI190" s="11" t="str">
        <f aca="false">IF(OR(I190="",I190&lt;19,O190=""),"",O190+540)</f>
        <v/>
      </c>
      <c r="AJ190" s="11" t="str">
        <f aca="false">IF(OR(I190="",I190&lt;20,O190=""),"",O190+570)</f>
        <v/>
      </c>
      <c r="AK190" s="11" t="str">
        <f aca="false">IF(OR(I190="",I190&lt;21,O190=""),"",O190+600)</f>
        <v/>
      </c>
      <c r="AL190" s="11" t="str">
        <f aca="false">IF(OR(I190="",I190&lt;22,O190=""),"",O190+630)</f>
        <v/>
      </c>
      <c r="AM190" s="11" t="str">
        <f aca="false">IF(OR(I190="",I190&lt;23,O190=""),"",O190+660)</f>
        <v/>
      </c>
      <c r="AN190" s="11" t="str">
        <f aca="false">IF(OR(I190="",I190&lt;24,O190=""),"",O190+690)</f>
        <v/>
      </c>
      <c r="AO190" s="7" t="str">
        <f aca="false">IF(J190="","",COUNTIF(Q190:AN190,TRUE())*J190)</f>
        <v/>
      </c>
      <c r="AP190" s="7" t="str">
        <f aca="false">IF(K190="","",K190-AO190)</f>
        <v/>
      </c>
      <c r="AQ190" s="7" t="str">
        <f aca="false">IF(K190="","",K190-F190-IF(N190="",0,N190))</f>
        <v/>
      </c>
    </row>
    <row r="191" customFormat="false" ht="15" hidden="false" customHeight="false" outlineLevel="0" collapsed="false">
      <c r="A191" s="12"/>
      <c r="B191" s="12"/>
      <c r="C191" s="12"/>
      <c r="D191" s="13"/>
      <c r="E191" s="13"/>
      <c r="F191" s="14"/>
      <c r="G191" s="12"/>
      <c r="H191" s="12"/>
      <c r="I191" s="12"/>
      <c r="J191" s="14"/>
      <c r="K191" s="15" t="str">
        <f aca="false">IF(OR(I191="",J191=""),"",I191*J191)</f>
        <v/>
      </c>
      <c r="L191" s="12"/>
      <c r="M191" s="16"/>
      <c r="N191" s="15" t="str">
        <f aca="false">IF(OR(L191="",M191="",K191=""),"",IF(L191="GANANCIA",(K191-F191)*M191,IF(L191="BRUTO",K191*M191,"")))</f>
        <v/>
      </c>
      <c r="O191" s="17" t="str">
        <f aca="false">IF(D191="","",D191)</f>
        <v/>
      </c>
      <c r="P191" s="18" t="str">
        <f aca="false">IF(I191="","",IF(COUNTIF(Q191:AN191,TRUE())&gt;=I191,"PAGADO",IF(COUNTIF(Q191:AN191,TRUE())&gt;0,"PARCIAL","VIGENTE")))</f>
        <v/>
      </c>
      <c r="Q191" s="19" t="str">
        <f aca="false">IF(OR(I191="",I191&lt;1,O191=""),"",O191+0)</f>
        <v/>
      </c>
      <c r="R191" s="19" t="str">
        <f aca="false">IF(OR(I191="",I191&lt;2,O191=""),"",O191+30)</f>
        <v/>
      </c>
      <c r="S191" s="19" t="str">
        <f aca="false">IF(OR(I191="",I191&lt;3,O191=""),"",O191+60)</f>
        <v/>
      </c>
      <c r="T191" s="19" t="str">
        <f aca="false">IF(OR(I191="",I191&lt;4,O191=""),"",O191+90)</f>
        <v/>
      </c>
      <c r="U191" s="19" t="str">
        <f aca="false">IF(OR(I191="",I191&lt;5,O191=""),"",O191+120)</f>
        <v/>
      </c>
      <c r="V191" s="19" t="str">
        <f aca="false">IF(OR(I191="",I191&lt;6,O191=""),"",O191+150)</f>
        <v/>
      </c>
      <c r="W191" s="19" t="str">
        <f aca="false">IF(OR(I191="",I191&lt;7,O191=""),"",O191+180)</f>
        <v/>
      </c>
      <c r="X191" s="19" t="str">
        <f aca="false">IF(OR(I191="",I191&lt;8,O191=""),"",O191+210)</f>
        <v/>
      </c>
      <c r="Y191" s="19" t="str">
        <f aca="false">IF(OR(I191="",I191&lt;9,O191=""),"",O191+240)</f>
        <v/>
      </c>
      <c r="Z191" s="19" t="str">
        <f aca="false">IF(OR(I191="",I191&lt;10,O191=""),"",O191+270)</f>
        <v/>
      </c>
      <c r="AA191" s="19" t="str">
        <f aca="false">IF(OR(I191="",I191&lt;11,O191=""),"",O191+300)</f>
        <v/>
      </c>
      <c r="AB191" s="19" t="str">
        <f aca="false">IF(OR(I191="",I191&lt;12,O191=""),"",O191+330)</f>
        <v/>
      </c>
      <c r="AC191" s="19" t="str">
        <f aca="false">IF(OR(I191="",I191&lt;13,O191=""),"",O191+360)</f>
        <v/>
      </c>
      <c r="AD191" s="19" t="str">
        <f aca="false">IF(OR(I191="",I191&lt;14,O191=""),"",O191+390)</f>
        <v/>
      </c>
      <c r="AE191" s="19" t="str">
        <f aca="false">IF(OR(I191="",I191&lt;15,O191=""),"",O191+420)</f>
        <v/>
      </c>
      <c r="AF191" s="19" t="str">
        <f aca="false">IF(OR(I191="",I191&lt;16,O191=""),"",O191+450)</f>
        <v/>
      </c>
      <c r="AG191" s="19" t="str">
        <f aca="false">IF(OR(I191="",I191&lt;17,O191=""),"",O191+480)</f>
        <v/>
      </c>
      <c r="AH191" s="19" t="str">
        <f aca="false">IF(OR(I191="",I191&lt;18,O191=""),"",O191+510)</f>
        <v/>
      </c>
      <c r="AI191" s="19" t="str">
        <f aca="false">IF(OR(I191="",I191&lt;19,O191=""),"",O191+540)</f>
        <v/>
      </c>
      <c r="AJ191" s="19" t="str">
        <f aca="false">IF(OR(I191="",I191&lt;20,O191=""),"",O191+570)</f>
        <v/>
      </c>
      <c r="AK191" s="19" t="str">
        <f aca="false">IF(OR(I191="",I191&lt;21,O191=""),"",O191+600)</f>
        <v/>
      </c>
      <c r="AL191" s="19" t="str">
        <f aca="false">IF(OR(I191="",I191&lt;22,O191=""),"",O191+630)</f>
        <v/>
      </c>
      <c r="AM191" s="19" t="str">
        <f aca="false">IF(OR(I191="",I191&lt;23,O191=""),"",O191+660)</f>
        <v/>
      </c>
      <c r="AN191" s="19" t="str">
        <f aca="false">IF(OR(I191="",I191&lt;24,O191=""),"",O191+690)</f>
        <v/>
      </c>
      <c r="AO191" s="15" t="str">
        <f aca="false">IF(J191="","",COUNTIF(Q191:AN191,TRUE())*J191)</f>
        <v/>
      </c>
      <c r="AP191" s="15" t="str">
        <f aca="false">IF(K191="","",K191-AO191)</f>
        <v/>
      </c>
      <c r="AQ191" s="15" t="str">
        <f aca="false">IF(K191="","",K191-F191-IF(N191="",0,N191))</f>
        <v/>
      </c>
    </row>
    <row r="192" customFormat="false" ht="15" hidden="false" customHeight="false" outlineLevel="0" collapsed="false">
      <c r="A192" s="4"/>
      <c r="B192" s="4"/>
      <c r="C192" s="4"/>
      <c r="D192" s="5"/>
      <c r="E192" s="5"/>
      <c r="F192" s="6"/>
      <c r="G192" s="4"/>
      <c r="H192" s="4"/>
      <c r="I192" s="4"/>
      <c r="J192" s="6"/>
      <c r="K192" s="7" t="str">
        <f aca="false">IF(OR(I192="",J192=""),"",I192*J192)</f>
        <v/>
      </c>
      <c r="L192" s="4"/>
      <c r="M192" s="8"/>
      <c r="N192" s="7" t="str">
        <f aca="false">IF(OR(L192="",M192="",K192=""),"",IF(L192="GANANCIA",(K192-F192)*M192,IF(L192="BRUTO",K192*M192,"")))</f>
        <v/>
      </c>
      <c r="O192" s="9" t="str">
        <f aca="false">IF(D192="","",D192)</f>
        <v/>
      </c>
      <c r="P192" s="10" t="str">
        <f aca="false">IF(I192="","",IF(COUNTIF(Q192:AN192,TRUE())&gt;=I192,"PAGADO",IF(COUNTIF(Q192:AN192,TRUE())&gt;0,"PARCIAL","VIGENTE")))</f>
        <v/>
      </c>
      <c r="Q192" s="11" t="str">
        <f aca="false">IF(OR(I192="",I192&lt;1,O192=""),"",O192+0)</f>
        <v/>
      </c>
      <c r="R192" s="11" t="str">
        <f aca="false">IF(OR(I192="",I192&lt;2,O192=""),"",O192+30)</f>
        <v/>
      </c>
      <c r="S192" s="11" t="str">
        <f aca="false">IF(OR(I192="",I192&lt;3,O192=""),"",O192+60)</f>
        <v/>
      </c>
      <c r="T192" s="11" t="str">
        <f aca="false">IF(OR(I192="",I192&lt;4,O192=""),"",O192+90)</f>
        <v/>
      </c>
      <c r="U192" s="11" t="str">
        <f aca="false">IF(OR(I192="",I192&lt;5,O192=""),"",O192+120)</f>
        <v/>
      </c>
      <c r="V192" s="11" t="str">
        <f aca="false">IF(OR(I192="",I192&lt;6,O192=""),"",O192+150)</f>
        <v/>
      </c>
      <c r="W192" s="11" t="str">
        <f aca="false">IF(OR(I192="",I192&lt;7,O192=""),"",O192+180)</f>
        <v/>
      </c>
      <c r="X192" s="11" t="str">
        <f aca="false">IF(OR(I192="",I192&lt;8,O192=""),"",O192+210)</f>
        <v/>
      </c>
      <c r="Y192" s="11" t="str">
        <f aca="false">IF(OR(I192="",I192&lt;9,O192=""),"",O192+240)</f>
        <v/>
      </c>
      <c r="Z192" s="11" t="str">
        <f aca="false">IF(OR(I192="",I192&lt;10,O192=""),"",O192+270)</f>
        <v/>
      </c>
      <c r="AA192" s="11" t="str">
        <f aca="false">IF(OR(I192="",I192&lt;11,O192=""),"",O192+300)</f>
        <v/>
      </c>
      <c r="AB192" s="11" t="str">
        <f aca="false">IF(OR(I192="",I192&lt;12,O192=""),"",O192+330)</f>
        <v/>
      </c>
      <c r="AC192" s="11" t="str">
        <f aca="false">IF(OR(I192="",I192&lt;13,O192=""),"",O192+360)</f>
        <v/>
      </c>
      <c r="AD192" s="11" t="str">
        <f aca="false">IF(OR(I192="",I192&lt;14,O192=""),"",O192+390)</f>
        <v/>
      </c>
      <c r="AE192" s="11" t="str">
        <f aca="false">IF(OR(I192="",I192&lt;15,O192=""),"",O192+420)</f>
        <v/>
      </c>
      <c r="AF192" s="11" t="str">
        <f aca="false">IF(OR(I192="",I192&lt;16,O192=""),"",O192+450)</f>
        <v/>
      </c>
      <c r="AG192" s="11" t="str">
        <f aca="false">IF(OR(I192="",I192&lt;17,O192=""),"",O192+480)</f>
        <v/>
      </c>
      <c r="AH192" s="11" t="str">
        <f aca="false">IF(OR(I192="",I192&lt;18,O192=""),"",O192+510)</f>
        <v/>
      </c>
      <c r="AI192" s="11" t="str">
        <f aca="false">IF(OR(I192="",I192&lt;19,O192=""),"",O192+540)</f>
        <v/>
      </c>
      <c r="AJ192" s="11" t="str">
        <f aca="false">IF(OR(I192="",I192&lt;20,O192=""),"",O192+570)</f>
        <v/>
      </c>
      <c r="AK192" s="11" t="str">
        <f aca="false">IF(OR(I192="",I192&lt;21,O192=""),"",O192+600)</f>
        <v/>
      </c>
      <c r="AL192" s="11" t="str">
        <f aca="false">IF(OR(I192="",I192&lt;22,O192=""),"",O192+630)</f>
        <v/>
      </c>
      <c r="AM192" s="11" t="str">
        <f aca="false">IF(OR(I192="",I192&lt;23,O192=""),"",O192+660)</f>
        <v/>
      </c>
      <c r="AN192" s="11" t="str">
        <f aca="false">IF(OR(I192="",I192&lt;24,O192=""),"",O192+690)</f>
        <v/>
      </c>
      <c r="AO192" s="7" t="str">
        <f aca="false">IF(J192="","",COUNTIF(Q192:AN192,TRUE())*J192)</f>
        <v/>
      </c>
      <c r="AP192" s="7" t="str">
        <f aca="false">IF(K192="","",K192-AO192)</f>
        <v/>
      </c>
      <c r="AQ192" s="7" t="str">
        <f aca="false">IF(K192="","",K192-F192-IF(N192="",0,N192))</f>
        <v/>
      </c>
    </row>
    <row r="193" customFormat="false" ht="15" hidden="false" customHeight="false" outlineLevel="0" collapsed="false">
      <c r="A193" s="12"/>
      <c r="B193" s="12"/>
      <c r="C193" s="12"/>
      <c r="D193" s="13"/>
      <c r="E193" s="13"/>
      <c r="F193" s="14"/>
      <c r="G193" s="12"/>
      <c r="H193" s="12"/>
      <c r="I193" s="12"/>
      <c r="J193" s="14"/>
      <c r="K193" s="15" t="str">
        <f aca="false">IF(OR(I193="",J193=""),"",I193*J193)</f>
        <v/>
      </c>
      <c r="L193" s="12"/>
      <c r="M193" s="16"/>
      <c r="N193" s="15" t="str">
        <f aca="false">IF(OR(L193="",M193="",K193=""),"",IF(L193="GANANCIA",(K193-F193)*M193,IF(L193="BRUTO",K193*M193,"")))</f>
        <v/>
      </c>
      <c r="O193" s="17" t="str">
        <f aca="false">IF(D193="","",D193)</f>
        <v/>
      </c>
      <c r="P193" s="18" t="str">
        <f aca="false">IF(I193="","",IF(COUNTIF(Q193:AN193,TRUE())&gt;=I193,"PAGADO",IF(COUNTIF(Q193:AN193,TRUE())&gt;0,"PARCIAL","VIGENTE")))</f>
        <v/>
      </c>
      <c r="Q193" s="19" t="str">
        <f aca="false">IF(OR(I193="",I193&lt;1,O193=""),"",O193+0)</f>
        <v/>
      </c>
      <c r="R193" s="19" t="str">
        <f aca="false">IF(OR(I193="",I193&lt;2,O193=""),"",O193+30)</f>
        <v/>
      </c>
      <c r="S193" s="19" t="str">
        <f aca="false">IF(OR(I193="",I193&lt;3,O193=""),"",O193+60)</f>
        <v/>
      </c>
      <c r="T193" s="19" t="str">
        <f aca="false">IF(OR(I193="",I193&lt;4,O193=""),"",O193+90)</f>
        <v/>
      </c>
      <c r="U193" s="19" t="str">
        <f aca="false">IF(OR(I193="",I193&lt;5,O193=""),"",O193+120)</f>
        <v/>
      </c>
      <c r="V193" s="19" t="str">
        <f aca="false">IF(OR(I193="",I193&lt;6,O193=""),"",O193+150)</f>
        <v/>
      </c>
      <c r="W193" s="19" t="str">
        <f aca="false">IF(OR(I193="",I193&lt;7,O193=""),"",O193+180)</f>
        <v/>
      </c>
      <c r="X193" s="19" t="str">
        <f aca="false">IF(OR(I193="",I193&lt;8,O193=""),"",O193+210)</f>
        <v/>
      </c>
      <c r="Y193" s="19" t="str">
        <f aca="false">IF(OR(I193="",I193&lt;9,O193=""),"",O193+240)</f>
        <v/>
      </c>
      <c r="Z193" s="19" t="str">
        <f aca="false">IF(OR(I193="",I193&lt;10,O193=""),"",O193+270)</f>
        <v/>
      </c>
      <c r="AA193" s="19" t="str">
        <f aca="false">IF(OR(I193="",I193&lt;11,O193=""),"",O193+300)</f>
        <v/>
      </c>
      <c r="AB193" s="19" t="str">
        <f aca="false">IF(OR(I193="",I193&lt;12,O193=""),"",O193+330)</f>
        <v/>
      </c>
      <c r="AC193" s="19" t="str">
        <f aca="false">IF(OR(I193="",I193&lt;13,O193=""),"",O193+360)</f>
        <v/>
      </c>
      <c r="AD193" s="19" t="str">
        <f aca="false">IF(OR(I193="",I193&lt;14,O193=""),"",O193+390)</f>
        <v/>
      </c>
      <c r="AE193" s="19" t="str">
        <f aca="false">IF(OR(I193="",I193&lt;15,O193=""),"",O193+420)</f>
        <v/>
      </c>
      <c r="AF193" s="19" t="str">
        <f aca="false">IF(OR(I193="",I193&lt;16,O193=""),"",O193+450)</f>
        <v/>
      </c>
      <c r="AG193" s="19" t="str">
        <f aca="false">IF(OR(I193="",I193&lt;17,O193=""),"",O193+480)</f>
        <v/>
      </c>
      <c r="AH193" s="19" t="str">
        <f aca="false">IF(OR(I193="",I193&lt;18,O193=""),"",O193+510)</f>
        <v/>
      </c>
      <c r="AI193" s="19" t="str">
        <f aca="false">IF(OR(I193="",I193&lt;19,O193=""),"",O193+540)</f>
        <v/>
      </c>
      <c r="AJ193" s="19" t="str">
        <f aca="false">IF(OR(I193="",I193&lt;20,O193=""),"",O193+570)</f>
        <v/>
      </c>
      <c r="AK193" s="19" t="str">
        <f aca="false">IF(OR(I193="",I193&lt;21,O193=""),"",O193+600)</f>
        <v/>
      </c>
      <c r="AL193" s="19" t="str">
        <f aca="false">IF(OR(I193="",I193&lt;22,O193=""),"",O193+630)</f>
        <v/>
      </c>
      <c r="AM193" s="19" t="str">
        <f aca="false">IF(OR(I193="",I193&lt;23,O193=""),"",O193+660)</f>
        <v/>
      </c>
      <c r="AN193" s="19" t="str">
        <f aca="false">IF(OR(I193="",I193&lt;24,O193=""),"",O193+690)</f>
        <v/>
      </c>
      <c r="AO193" s="15" t="str">
        <f aca="false">IF(J193="","",COUNTIF(Q193:AN193,TRUE())*J193)</f>
        <v/>
      </c>
      <c r="AP193" s="15" t="str">
        <f aca="false">IF(K193="","",K193-AO193)</f>
        <v/>
      </c>
      <c r="AQ193" s="15" t="str">
        <f aca="false">IF(K193="","",K193-F193-IF(N193="",0,N193))</f>
        <v/>
      </c>
    </row>
    <row r="194" customFormat="false" ht="15" hidden="false" customHeight="false" outlineLevel="0" collapsed="false">
      <c r="A194" s="4"/>
      <c r="B194" s="4"/>
      <c r="C194" s="4"/>
      <c r="D194" s="5"/>
      <c r="E194" s="5"/>
      <c r="F194" s="6"/>
      <c r="G194" s="4"/>
      <c r="H194" s="4"/>
      <c r="I194" s="4"/>
      <c r="J194" s="6"/>
      <c r="K194" s="7" t="str">
        <f aca="false">IF(OR(I194="",J194=""),"",I194*J194)</f>
        <v/>
      </c>
      <c r="L194" s="4"/>
      <c r="M194" s="8"/>
      <c r="N194" s="7" t="str">
        <f aca="false">IF(OR(L194="",M194="",K194=""),"",IF(L194="GANANCIA",(K194-F194)*M194,IF(L194="BRUTO",K194*M194,"")))</f>
        <v/>
      </c>
      <c r="O194" s="9" t="str">
        <f aca="false">IF(D194="","",D194)</f>
        <v/>
      </c>
      <c r="P194" s="10" t="str">
        <f aca="false">IF(I194="","",IF(COUNTIF(Q194:AN194,TRUE())&gt;=I194,"PAGADO",IF(COUNTIF(Q194:AN194,TRUE())&gt;0,"PARCIAL","VIGENTE")))</f>
        <v/>
      </c>
      <c r="Q194" s="11" t="str">
        <f aca="false">IF(OR(I194="",I194&lt;1,O194=""),"",O194+0)</f>
        <v/>
      </c>
      <c r="R194" s="11" t="str">
        <f aca="false">IF(OR(I194="",I194&lt;2,O194=""),"",O194+30)</f>
        <v/>
      </c>
      <c r="S194" s="11" t="str">
        <f aca="false">IF(OR(I194="",I194&lt;3,O194=""),"",O194+60)</f>
        <v/>
      </c>
      <c r="T194" s="11" t="str">
        <f aca="false">IF(OR(I194="",I194&lt;4,O194=""),"",O194+90)</f>
        <v/>
      </c>
      <c r="U194" s="11" t="str">
        <f aca="false">IF(OR(I194="",I194&lt;5,O194=""),"",O194+120)</f>
        <v/>
      </c>
      <c r="V194" s="11" t="str">
        <f aca="false">IF(OR(I194="",I194&lt;6,O194=""),"",O194+150)</f>
        <v/>
      </c>
      <c r="W194" s="11" t="str">
        <f aca="false">IF(OR(I194="",I194&lt;7,O194=""),"",O194+180)</f>
        <v/>
      </c>
      <c r="X194" s="11" t="str">
        <f aca="false">IF(OR(I194="",I194&lt;8,O194=""),"",O194+210)</f>
        <v/>
      </c>
      <c r="Y194" s="11" t="str">
        <f aca="false">IF(OR(I194="",I194&lt;9,O194=""),"",O194+240)</f>
        <v/>
      </c>
      <c r="Z194" s="11" t="str">
        <f aca="false">IF(OR(I194="",I194&lt;10,O194=""),"",O194+270)</f>
        <v/>
      </c>
      <c r="AA194" s="11" t="str">
        <f aca="false">IF(OR(I194="",I194&lt;11,O194=""),"",O194+300)</f>
        <v/>
      </c>
      <c r="AB194" s="11" t="str">
        <f aca="false">IF(OR(I194="",I194&lt;12,O194=""),"",O194+330)</f>
        <v/>
      </c>
      <c r="AC194" s="11" t="str">
        <f aca="false">IF(OR(I194="",I194&lt;13,O194=""),"",O194+360)</f>
        <v/>
      </c>
      <c r="AD194" s="11" t="str">
        <f aca="false">IF(OR(I194="",I194&lt;14,O194=""),"",O194+390)</f>
        <v/>
      </c>
      <c r="AE194" s="11" t="str">
        <f aca="false">IF(OR(I194="",I194&lt;15,O194=""),"",O194+420)</f>
        <v/>
      </c>
      <c r="AF194" s="11" t="str">
        <f aca="false">IF(OR(I194="",I194&lt;16,O194=""),"",O194+450)</f>
        <v/>
      </c>
      <c r="AG194" s="11" t="str">
        <f aca="false">IF(OR(I194="",I194&lt;17,O194=""),"",O194+480)</f>
        <v/>
      </c>
      <c r="AH194" s="11" t="str">
        <f aca="false">IF(OR(I194="",I194&lt;18,O194=""),"",O194+510)</f>
        <v/>
      </c>
      <c r="AI194" s="11" t="str">
        <f aca="false">IF(OR(I194="",I194&lt;19,O194=""),"",O194+540)</f>
        <v/>
      </c>
      <c r="AJ194" s="11" t="str">
        <f aca="false">IF(OR(I194="",I194&lt;20,O194=""),"",O194+570)</f>
        <v/>
      </c>
      <c r="AK194" s="11" t="str">
        <f aca="false">IF(OR(I194="",I194&lt;21,O194=""),"",O194+600)</f>
        <v/>
      </c>
      <c r="AL194" s="11" t="str">
        <f aca="false">IF(OR(I194="",I194&lt;22,O194=""),"",O194+630)</f>
        <v/>
      </c>
      <c r="AM194" s="11" t="str">
        <f aca="false">IF(OR(I194="",I194&lt;23,O194=""),"",O194+660)</f>
        <v/>
      </c>
      <c r="AN194" s="11" t="str">
        <f aca="false">IF(OR(I194="",I194&lt;24,O194=""),"",O194+690)</f>
        <v/>
      </c>
      <c r="AO194" s="7" t="str">
        <f aca="false">IF(J194="","",COUNTIF(Q194:AN194,TRUE())*J194)</f>
        <v/>
      </c>
      <c r="AP194" s="7" t="str">
        <f aca="false">IF(K194="","",K194-AO194)</f>
        <v/>
      </c>
      <c r="AQ194" s="7" t="str">
        <f aca="false">IF(K194="","",K194-F194-IF(N194="",0,N194))</f>
        <v/>
      </c>
    </row>
    <row r="195" customFormat="false" ht="15" hidden="false" customHeight="false" outlineLevel="0" collapsed="false">
      <c r="A195" s="12"/>
      <c r="B195" s="12"/>
      <c r="C195" s="12"/>
      <c r="D195" s="13"/>
      <c r="E195" s="13"/>
      <c r="F195" s="14"/>
      <c r="G195" s="12"/>
      <c r="H195" s="12"/>
      <c r="I195" s="12"/>
      <c r="J195" s="14"/>
      <c r="K195" s="15" t="str">
        <f aca="false">IF(OR(I195="",J195=""),"",I195*J195)</f>
        <v/>
      </c>
      <c r="L195" s="12"/>
      <c r="M195" s="16"/>
      <c r="N195" s="15" t="str">
        <f aca="false">IF(OR(L195="",M195="",K195=""),"",IF(L195="GANANCIA",(K195-F195)*M195,IF(L195="BRUTO",K195*M195,"")))</f>
        <v/>
      </c>
      <c r="O195" s="17" t="str">
        <f aca="false">IF(D195="","",D195)</f>
        <v/>
      </c>
      <c r="P195" s="18" t="str">
        <f aca="false">IF(I195="","",IF(COUNTIF(Q195:AN195,TRUE())&gt;=I195,"PAGADO",IF(COUNTIF(Q195:AN195,TRUE())&gt;0,"PARCIAL","VIGENTE")))</f>
        <v/>
      </c>
      <c r="Q195" s="19" t="str">
        <f aca="false">IF(OR(I195="",I195&lt;1,O195=""),"",O195+0)</f>
        <v/>
      </c>
      <c r="R195" s="19" t="str">
        <f aca="false">IF(OR(I195="",I195&lt;2,O195=""),"",O195+30)</f>
        <v/>
      </c>
      <c r="S195" s="19" t="str">
        <f aca="false">IF(OR(I195="",I195&lt;3,O195=""),"",O195+60)</f>
        <v/>
      </c>
      <c r="T195" s="19" t="str">
        <f aca="false">IF(OR(I195="",I195&lt;4,O195=""),"",O195+90)</f>
        <v/>
      </c>
      <c r="U195" s="19" t="str">
        <f aca="false">IF(OR(I195="",I195&lt;5,O195=""),"",O195+120)</f>
        <v/>
      </c>
      <c r="V195" s="19" t="str">
        <f aca="false">IF(OR(I195="",I195&lt;6,O195=""),"",O195+150)</f>
        <v/>
      </c>
      <c r="W195" s="19" t="str">
        <f aca="false">IF(OR(I195="",I195&lt;7,O195=""),"",O195+180)</f>
        <v/>
      </c>
      <c r="X195" s="19" t="str">
        <f aca="false">IF(OR(I195="",I195&lt;8,O195=""),"",O195+210)</f>
        <v/>
      </c>
      <c r="Y195" s="19" t="str">
        <f aca="false">IF(OR(I195="",I195&lt;9,O195=""),"",O195+240)</f>
        <v/>
      </c>
      <c r="Z195" s="19" t="str">
        <f aca="false">IF(OR(I195="",I195&lt;10,O195=""),"",O195+270)</f>
        <v/>
      </c>
      <c r="AA195" s="19" t="str">
        <f aca="false">IF(OR(I195="",I195&lt;11,O195=""),"",O195+300)</f>
        <v/>
      </c>
      <c r="AB195" s="19" t="str">
        <f aca="false">IF(OR(I195="",I195&lt;12,O195=""),"",O195+330)</f>
        <v/>
      </c>
      <c r="AC195" s="19" t="str">
        <f aca="false">IF(OR(I195="",I195&lt;13,O195=""),"",O195+360)</f>
        <v/>
      </c>
      <c r="AD195" s="19" t="str">
        <f aca="false">IF(OR(I195="",I195&lt;14,O195=""),"",O195+390)</f>
        <v/>
      </c>
      <c r="AE195" s="19" t="str">
        <f aca="false">IF(OR(I195="",I195&lt;15,O195=""),"",O195+420)</f>
        <v/>
      </c>
      <c r="AF195" s="19" t="str">
        <f aca="false">IF(OR(I195="",I195&lt;16,O195=""),"",O195+450)</f>
        <v/>
      </c>
      <c r="AG195" s="19" t="str">
        <f aca="false">IF(OR(I195="",I195&lt;17,O195=""),"",O195+480)</f>
        <v/>
      </c>
      <c r="AH195" s="19" t="str">
        <f aca="false">IF(OR(I195="",I195&lt;18,O195=""),"",O195+510)</f>
        <v/>
      </c>
      <c r="AI195" s="19" t="str">
        <f aca="false">IF(OR(I195="",I195&lt;19,O195=""),"",O195+540)</f>
        <v/>
      </c>
      <c r="AJ195" s="19" t="str">
        <f aca="false">IF(OR(I195="",I195&lt;20,O195=""),"",O195+570)</f>
        <v/>
      </c>
      <c r="AK195" s="19" t="str">
        <f aca="false">IF(OR(I195="",I195&lt;21,O195=""),"",O195+600)</f>
        <v/>
      </c>
      <c r="AL195" s="19" t="str">
        <f aca="false">IF(OR(I195="",I195&lt;22,O195=""),"",O195+630)</f>
        <v/>
      </c>
      <c r="AM195" s="19" t="str">
        <f aca="false">IF(OR(I195="",I195&lt;23,O195=""),"",O195+660)</f>
        <v/>
      </c>
      <c r="AN195" s="19" t="str">
        <f aca="false">IF(OR(I195="",I195&lt;24,O195=""),"",O195+690)</f>
        <v/>
      </c>
      <c r="AO195" s="15" t="str">
        <f aca="false">IF(J195="","",COUNTIF(Q195:AN195,TRUE())*J195)</f>
        <v/>
      </c>
      <c r="AP195" s="15" t="str">
        <f aca="false">IF(K195="","",K195-AO195)</f>
        <v/>
      </c>
      <c r="AQ195" s="15" t="str">
        <f aca="false">IF(K195="","",K195-F195-IF(N195="",0,N195))</f>
        <v/>
      </c>
    </row>
    <row r="196" customFormat="false" ht="15" hidden="false" customHeight="false" outlineLevel="0" collapsed="false">
      <c r="A196" s="4"/>
      <c r="B196" s="4"/>
      <c r="C196" s="4"/>
      <c r="D196" s="5"/>
      <c r="E196" s="5"/>
      <c r="F196" s="6"/>
      <c r="G196" s="4"/>
      <c r="H196" s="4"/>
      <c r="I196" s="4"/>
      <c r="J196" s="6"/>
      <c r="K196" s="7" t="str">
        <f aca="false">IF(OR(I196="",J196=""),"",I196*J196)</f>
        <v/>
      </c>
      <c r="L196" s="4"/>
      <c r="M196" s="8"/>
      <c r="N196" s="7" t="str">
        <f aca="false">IF(OR(L196="",M196="",K196=""),"",IF(L196="GANANCIA",(K196-F196)*M196,IF(L196="BRUTO",K196*M196,"")))</f>
        <v/>
      </c>
      <c r="O196" s="9" t="str">
        <f aca="false">IF(D196="","",D196)</f>
        <v/>
      </c>
      <c r="P196" s="10" t="str">
        <f aca="false">IF(I196="","",IF(COUNTIF(Q196:AN196,TRUE())&gt;=I196,"PAGADO",IF(COUNTIF(Q196:AN196,TRUE())&gt;0,"PARCIAL","VIGENTE")))</f>
        <v/>
      </c>
      <c r="Q196" s="11" t="str">
        <f aca="false">IF(OR(I196="",I196&lt;1,O196=""),"",O196+0)</f>
        <v/>
      </c>
      <c r="R196" s="11" t="str">
        <f aca="false">IF(OR(I196="",I196&lt;2,O196=""),"",O196+30)</f>
        <v/>
      </c>
      <c r="S196" s="11" t="str">
        <f aca="false">IF(OR(I196="",I196&lt;3,O196=""),"",O196+60)</f>
        <v/>
      </c>
      <c r="T196" s="11" t="str">
        <f aca="false">IF(OR(I196="",I196&lt;4,O196=""),"",O196+90)</f>
        <v/>
      </c>
      <c r="U196" s="11" t="str">
        <f aca="false">IF(OR(I196="",I196&lt;5,O196=""),"",O196+120)</f>
        <v/>
      </c>
      <c r="V196" s="11" t="str">
        <f aca="false">IF(OR(I196="",I196&lt;6,O196=""),"",O196+150)</f>
        <v/>
      </c>
      <c r="W196" s="11" t="str">
        <f aca="false">IF(OR(I196="",I196&lt;7,O196=""),"",O196+180)</f>
        <v/>
      </c>
      <c r="X196" s="11" t="str">
        <f aca="false">IF(OR(I196="",I196&lt;8,O196=""),"",O196+210)</f>
        <v/>
      </c>
      <c r="Y196" s="11" t="str">
        <f aca="false">IF(OR(I196="",I196&lt;9,O196=""),"",O196+240)</f>
        <v/>
      </c>
      <c r="Z196" s="11" t="str">
        <f aca="false">IF(OR(I196="",I196&lt;10,O196=""),"",O196+270)</f>
        <v/>
      </c>
      <c r="AA196" s="11" t="str">
        <f aca="false">IF(OR(I196="",I196&lt;11,O196=""),"",O196+300)</f>
        <v/>
      </c>
      <c r="AB196" s="11" t="str">
        <f aca="false">IF(OR(I196="",I196&lt;12,O196=""),"",O196+330)</f>
        <v/>
      </c>
      <c r="AC196" s="11" t="str">
        <f aca="false">IF(OR(I196="",I196&lt;13,O196=""),"",O196+360)</f>
        <v/>
      </c>
      <c r="AD196" s="11" t="str">
        <f aca="false">IF(OR(I196="",I196&lt;14,O196=""),"",O196+390)</f>
        <v/>
      </c>
      <c r="AE196" s="11" t="str">
        <f aca="false">IF(OR(I196="",I196&lt;15,O196=""),"",O196+420)</f>
        <v/>
      </c>
      <c r="AF196" s="11" t="str">
        <f aca="false">IF(OR(I196="",I196&lt;16,O196=""),"",O196+450)</f>
        <v/>
      </c>
      <c r="AG196" s="11" t="str">
        <f aca="false">IF(OR(I196="",I196&lt;17,O196=""),"",O196+480)</f>
        <v/>
      </c>
      <c r="AH196" s="11" t="str">
        <f aca="false">IF(OR(I196="",I196&lt;18,O196=""),"",O196+510)</f>
        <v/>
      </c>
      <c r="AI196" s="11" t="str">
        <f aca="false">IF(OR(I196="",I196&lt;19,O196=""),"",O196+540)</f>
        <v/>
      </c>
      <c r="AJ196" s="11" t="str">
        <f aca="false">IF(OR(I196="",I196&lt;20,O196=""),"",O196+570)</f>
        <v/>
      </c>
      <c r="AK196" s="11" t="str">
        <f aca="false">IF(OR(I196="",I196&lt;21,O196=""),"",O196+600)</f>
        <v/>
      </c>
      <c r="AL196" s="11" t="str">
        <f aca="false">IF(OR(I196="",I196&lt;22,O196=""),"",O196+630)</f>
        <v/>
      </c>
      <c r="AM196" s="11" t="str">
        <f aca="false">IF(OR(I196="",I196&lt;23,O196=""),"",O196+660)</f>
        <v/>
      </c>
      <c r="AN196" s="11" t="str">
        <f aca="false">IF(OR(I196="",I196&lt;24,O196=""),"",O196+690)</f>
        <v/>
      </c>
      <c r="AO196" s="7" t="str">
        <f aca="false">IF(J196="","",COUNTIF(Q196:AN196,TRUE())*J196)</f>
        <v/>
      </c>
      <c r="AP196" s="7" t="str">
        <f aca="false">IF(K196="","",K196-AO196)</f>
        <v/>
      </c>
      <c r="AQ196" s="7" t="str">
        <f aca="false">IF(K196="","",K196-F196-IF(N196="",0,N196))</f>
        <v/>
      </c>
    </row>
    <row r="197" customFormat="false" ht="15" hidden="false" customHeight="false" outlineLevel="0" collapsed="false">
      <c r="A197" s="12"/>
      <c r="B197" s="12"/>
      <c r="C197" s="12"/>
      <c r="D197" s="13"/>
      <c r="E197" s="13"/>
      <c r="F197" s="14"/>
      <c r="G197" s="12"/>
      <c r="H197" s="12"/>
      <c r="I197" s="12"/>
      <c r="J197" s="14"/>
      <c r="K197" s="15" t="str">
        <f aca="false">IF(OR(I197="",J197=""),"",I197*J197)</f>
        <v/>
      </c>
      <c r="L197" s="12"/>
      <c r="M197" s="16"/>
      <c r="N197" s="15" t="str">
        <f aca="false">IF(OR(L197="",M197="",K197=""),"",IF(L197="GANANCIA",(K197-F197)*M197,IF(L197="BRUTO",K197*M197,"")))</f>
        <v/>
      </c>
      <c r="O197" s="17" t="str">
        <f aca="false">IF(D197="","",D197)</f>
        <v/>
      </c>
      <c r="P197" s="18" t="str">
        <f aca="false">IF(I197="","",IF(COUNTIF(Q197:AN197,TRUE())&gt;=I197,"PAGADO",IF(COUNTIF(Q197:AN197,TRUE())&gt;0,"PARCIAL","VIGENTE")))</f>
        <v/>
      </c>
      <c r="Q197" s="19" t="str">
        <f aca="false">IF(OR(I197="",I197&lt;1,O197=""),"",O197+0)</f>
        <v/>
      </c>
      <c r="R197" s="19" t="str">
        <f aca="false">IF(OR(I197="",I197&lt;2,O197=""),"",O197+30)</f>
        <v/>
      </c>
      <c r="S197" s="19" t="str">
        <f aca="false">IF(OR(I197="",I197&lt;3,O197=""),"",O197+60)</f>
        <v/>
      </c>
      <c r="T197" s="19" t="str">
        <f aca="false">IF(OR(I197="",I197&lt;4,O197=""),"",O197+90)</f>
        <v/>
      </c>
      <c r="U197" s="19" t="str">
        <f aca="false">IF(OR(I197="",I197&lt;5,O197=""),"",O197+120)</f>
        <v/>
      </c>
      <c r="V197" s="19" t="str">
        <f aca="false">IF(OR(I197="",I197&lt;6,O197=""),"",O197+150)</f>
        <v/>
      </c>
      <c r="W197" s="19" t="str">
        <f aca="false">IF(OR(I197="",I197&lt;7,O197=""),"",O197+180)</f>
        <v/>
      </c>
      <c r="X197" s="19" t="str">
        <f aca="false">IF(OR(I197="",I197&lt;8,O197=""),"",O197+210)</f>
        <v/>
      </c>
      <c r="Y197" s="19" t="str">
        <f aca="false">IF(OR(I197="",I197&lt;9,O197=""),"",O197+240)</f>
        <v/>
      </c>
      <c r="Z197" s="19" t="str">
        <f aca="false">IF(OR(I197="",I197&lt;10,O197=""),"",O197+270)</f>
        <v/>
      </c>
      <c r="AA197" s="19" t="str">
        <f aca="false">IF(OR(I197="",I197&lt;11,O197=""),"",O197+300)</f>
        <v/>
      </c>
      <c r="AB197" s="19" t="str">
        <f aca="false">IF(OR(I197="",I197&lt;12,O197=""),"",O197+330)</f>
        <v/>
      </c>
      <c r="AC197" s="19" t="str">
        <f aca="false">IF(OR(I197="",I197&lt;13,O197=""),"",O197+360)</f>
        <v/>
      </c>
      <c r="AD197" s="19" t="str">
        <f aca="false">IF(OR(I197="",I197&lt;14,O197=""),"",O197+390)</f>
        <v/>
      </c>
      <c r="AE197" s="19" t="str">
        <f aca="false">IF(OR(I197="",I197&lt;15,O197=""),"",O197+420)</f>
        <v/>
      </c>
      <c r="AF197" s="19" t="str">
        <f aca="false">IF(OR(I197="",I197&lt;16,O197=""),"",O197+450)</f>
        <v/>
      </c>
      <c r="AG197" s="19" t="str">
        <f aca="false">IF(OR(I197="",I197&lt;17,O197=""),"",O197+480)</f>
        <v/>
      </c>
      <c r="AH197" s="19" t="str">
        <f aca="false">IF(OR(I197="",I197&lt;18,O197=""),"",O197+510)</f>
        <v/>
      </c>
      <c r="AI197" s="19" t="str">
        <f aca="false">IF(OR(I197="",I197&lt;19,O197=""),"",O197+540)</f>
        <v/>
      </c>
      <c r="AJ197" s="19" t="str">
        <f aca="false">IF(OR(I197="",I197&lt;20,O197=""),"",O197+570)</f>
        <v/>
      </c>
      <c r="AK197" s="19" t="str">
        <f aca="false">IF(OR(I197="",I197&lt;21,O197=""),"",O197+600)</f>
        <v/>
      </c>
      <c r="AL197" s="19" t="str">
        <f aca="false">IF(OR(I197="",I197&lt;22,O197=""),"",O197+630)</f>
        <v/>
      </c>
      <c r="AM197" s="19" t="str">
        <f aca="false">IF(OR(I197="",I197&lt;23,O197=""),"",O197+660)</f>
        <v/>
      </c>
      <c r="AN197" s="19" t="str">
        <f aca="false">IF(OR(I197="",I197&lt;24,O197=""),"",O197+690)</f>
        <v/>
      </c>
      <c r="AO197" s="15" t="str">
        <f aca="false">IF(J197="","",COUNTIF(Q197:AN197,TRUE())*J197)</f>
        <v/>
      </c>
      <c r="AP197" s="15" t="str">
        <f aca="false">IF(K197="","",K197-AO197)</f>
        <v/>
      </c>
      <c r="AQ197" s="15" t="str">
        <f aca="false">IF(K197="","",K197-F197-IF(N197="",0,N197))</f>
        <v/>
      </c>
    </row>
    <row r="198" customFormat="false" ht="15" hidden="false" customHeight="false" outlineLevel="0" collapsed="false">
      <c r="A198" s="4"/>
      <c r="B198" s="4"/>
      <c r="C198" s="4"/>
      <c r="D198" s="5"/>
      <c r="E198" s="5"/>
      <c r="F198" s="6"/>
      <c r="G198" s="4"/>
      <c r="H198" s="4"/>
      <c r="I198" s="4"/>
      <c r="J198" s="6"/>
      <c r="K198" s="7" t="str">
        <f aca="false">IF(OR(I198="",J198=""),"",I198*J198)</f>
        <v/>
      </c>
      <c r="L198" s="4"/>
      <c r="M198" s="8"/>
      <c r="N198" s="7" t="str">
        <f aca="false">IF(OR(L198="",M198="",K198=""),"",IF(L198="GANANCIA",(K198-F198)*M198,IF(L198="BRUTO",K198*M198,"")))</f>
        <v/>
      </c>
      <c r="O198" s="9" t="str">
        <f aca="false">IF(D198="","",D198)</f>
        <v/>
      </c>
      <c r="P198" s="10" t="str">
        <f aca="false">IF(I198="","",IF(COUNTIF(Q198:AN198,TRUE())&gt;=I198,"PAGADO",IF(COUNTIF(Q198:AN198,TRUE())&gt;0,"PARCIAL","VIGENTE")))</f>
        <v/>
      </c>
      <c r="Q198" s="11" t="str">
        <f aca="false">IF(OR(I198="",I198&lt;1,O198=""),"",O198+0)</f>
        <v/>
      </c>
      <c r="R198" s="11" t="str">
        <f aca="false">IF(OR(I198="",I198&lt;2,O198=""),"",O198+30)</f>
        <v/>
      </c>
      <c r="S198" s="11" t="str">
        <f aca="false">IF(OR(I198="",I198&lt;3,O198=""),"",O198+60)</f>
        <v/>
      </c>
      <c r="T198" s="11" t="str">
        <f aca="false">IF(OR(I198="",I198&lt;4,O198=""),"",O198+90)</f>
        <v/>
      </c>
      <c r="U198" s="11" t="str">
        <f aca="false">IF(OR(I198="",I198&lt;5,O198=""),"",O198+120)</f>
        <v/>
      </c>
      <c r="V198" s="11" t="str">
        <f aca="false">IF(OR(I198="",I198&lt;6,O198=""),"",O198+150)</f>
        <v/>
      </c>
      <c r="W198" s="11" t="str">
        <f aca="false">IF(OR(I198="",I198&lt;7,O198=""),"",O198+180)</f>
        <v/>
      </c>
      <c r="X198" s="11" t="str">
        <f aca="false">IF(OR(I198="",I198&lt;8,O198=""),"",O198+210)</f>
        <v/>
      </c>
      <c r="Y198" s="11" t="str">
        <f aca="false">IF(OR(I198="",I198&lt;9,O198=""),"",O198+240)</f>
        <v/>
      </c>
      <c r="Z198" s="11" t="str">
        <f aca="false">IF(OR(I198="",I198&lt;10,O198=""),"",O198+270)</f>
        <v/>
      </c>
      <c r="AA198" s="11" t="str">
        <f aca="false">IF(OR(I198="",I198&lt;11,O198=""),"",O198+300)</f>
        <v/>
      </c>
      <c r="AB198" s="11" t="str">
        <f aca="false">IF(OR(I198="",I198&lt;12,O198=""),"",O198+330)</f>
        <v/>
      </c>
      <c r="AC198" s="11" t="str">
        <f aca="false">IF(OR(I198="",I198&lt;13,O198=""),"",O198+360)</f>
        <v/>
      </c>
      <c r="AD198" s="11" t="str">
        <f aca="false">IF(OR(I198="",I198&lt;14,O198=""),"",O198+390)</f>
        <v/>
      </c>
      <c r="AE198" s="11" t="str">
        <f aca="false">IF(OR(I198="",I198&lt;15,O198=""),"",O198+420)</f>
        <v/>
      </c>
      <c r="AF198" s="11" t="str">
        <f aca="false">IF(OR(I198="",I198&lt;16,O198=""),"",O198+450)</f>
        <v/>
      </c>
      <c r="AG198" s="11" t="str">
        <f aca="false">IF(OR(I198="",I198&lt;17,O198=""),"",O198+480)</f>
        <v/>
      </c>
      <c r="AH198" s="11" t="str">
        <f aca="false">IF(OR(I198="",I198&lt;18,O198=""),"",O198+510)</f>
        <v/>
      </c>
      <c r="AI198" s="11" t="str">
        <f aca="false">IF(OR(I198="",I198&lt;19,O198=""),"",O198+540)</f>
        <v/>
      </c>
      <c r="AJ198" s="11" t="str">
        <f aca="false">IF(OR(I198="",I198&lt;20,O198=""),"",O198+570)</f>
        <v/>
      </c>
      <c r="AK198" s="11" t="str">
        <f aca="false">IF(OR(I198="",I198&lt;21,O198=""),"",O198+600)</f>
        <v/>
      </c>
      <c r="AL198" s="11" t="str">
        <f aca="false">IF(OR(I198="",I198&lt;22,O198=""),"",O198+630)</f>
        <v/>
      </c>
      <c r="AM198" s="11" t="str">
        <f aca="false">IF(OR(I198="",I198&lt;23,O198=""),"",O198+660)</f>
        <v/>
      </c>
      <c r="AN198" s="11" t="str">
        <f aca="false">IF(OR(I198="",I198&lt;24,O198=""),"",O198+690)</f>
        <v/>
      </c>
      <c r="AO198" s="7" t="str">
        <f aca="false">IF(J198="","",COUNTIF(Q198:AN198,TRUE())*J198)</f>
        <v/>
      </c>
      <c r="AP198" s="7" t="str">
        <f aca="false">IF(K198="","",K198-AO198)</f>
        <v/>
      </c>
      <c r="AQ198" s="7" t="str">
        <f aca="false">IF(K198="","",K198-F198-IF(N198="",0,N198))</f>
        <v/>
      </c>
    </row>
    <row r="199" customFormat="false" ht="15" hidden="false" customHeight="false" outlineLevel="0" collapsed="false">
      <c r="A199" s="12"/>
      <c r="B199" s="12"/>
      <c r="C199" s="12"/>
      <c r="D199" s="13"/>
      <c r="E199" s="13"/>
      <c r="F199" s="14"/>
      <c r="G199" s="12"/>
      <c r="H199" s="12"/>
      <c r="I199" s="12"/>
      <c r="J199" s="14"/>
      <c r="K199" s="15" t="str">
        <f aca="false">IF(OR(I199="",J199=""),"",I199*J199)</f>
        <v/>
      </c>
      <c r="L199" s="12"/>
      <c r="M199" s="16"/>
      <c r="N199" s="15" t="str">
        <f aca="false">IF(OR(L199="",M199="",K199=""),"",IF(L199="GANANCIA",(K199-F199)*M199,IF(L199="BRUTO",K199*M199,"")))</f>
        <v/>
      </c>
      <c r="O199" s="17" t="str">
        <f aca="false">IF(D199="","",D199)</f>
        <v/>
      </c>
      <c r="P199" s="18" t="str">
        <f aca="false">IF(I199="","",IF(COUNTIF(Q199:AN199,TRUE())&gt;=I199,"PAGADO",IF(COUNTIF(Q199:AN199,TRUE())&gt;0,"PARCIAL","VIGENTE")))</f>
        <v/>
      </c>
      <c r="Q199" s="19" t="str">
        <f aca="false">IF(OR(I199="",I199&lt;1,O199=""),"",O199+0)</f>
        <v/>
      </c>
      <c r="R199" s="19" t="str">
        <f aca="false">IF(OR(I199="",I199&lt;2,O199=""),"",O199+30)</f>
        <v/>
      </c>
      <c r="S199" s="19" t="str">
        <f aca="false">IF(OR(I199="",I199&lt;3,O199=""),"",O199+60)</f>
        <v/>
      </c>
      <c r="T199" s="19" t="str">
        <f aca="false">IF(OR(I199="",I199&lt;4,O199=""),"",O199+90)</f>
        <v/>
      </c>
      <c r="U199" s="19" t="str">
        <f aca="false">IF(OR(I199="",I199&lt;5,O199=""),"",O199+120)</f>
        <v/>
      </c>
      <c r="V199" s="19" t="str">
        <f aca="false">IF(OR(I199="",I199&lt;6,O199=""),"",O199+150)</f>
        <v/>
      </c>
      <c r="W199" s="19" t="str">
        <f aca="false">IF(OR(I199="",I199&lt;7,O199=""),"",O199+180)</f>
        <v/>
      </c>
      <c r="X199" s="19" t="str">
        <f aca="false">IF(OR(I199="",I199&lt;8,O199=""),"",O199+210)</f>
        <v/>
      </c>
      <c r="Y199" s="19" t="str">
        <f aca="false">IF(OR(I199="",I199&lt;9,O199=""),"",O199+240)</f>
        <v/>
      </c>
      <c r="Z199" s="19" t="str">
        <f aca="false">IF(OR(I199="",I199&lt;10,O199=""),"",O199+270)</f>
        <v/>
      </c>
      <c r="AA199" s="19" t="str">
        <f aca="false">IF(OR(I199="",I199&lt;11,O199=""),"",O199+300)</f>
        <v/>
      </c>
      <c r="AB199" s="19" t="str">
        <f aca="false">IF(OR(I199="",I199&lt;12,O199=""),"",O199+330)</f>
        <v/>
      </c>
      <c r="AC199" s="19" t="str">
        <f aca="false">IF(OR(I199="",I199&lt;13,O199=""),"",O199+360)</f>
        <v/>
      </c>
      <c r="AD199" s="19" t="str">
        <f aca="false">IF(OR(I199="",I199&lt;14,O199=""),"",O199+390)</f>
        <v/>
      </c>
      <c r="AE199" s="19" t="str">
        <f aca="false">IF(OR(I199="",I199&lt;15,O199=""),"",O199+420)</f>
        <v/>
      </c>
      <c r="AF199" s="19" t="str">
        <f aca="false">IF(OR(I199="",I199&lt;16,O199=""),"",O199+450)</f>
        <v/>
      </c>
      <c r="AG199" s="19" t="str">
        <f aca="false">IF(OR(I199="",I199&lt;17,O199=""),"",O199+480)</f>
        <v/>
      </c>
      <c r="AH199" s="19" t="str">
        <f aca="false">IF(OR(I199="",I199&lt;18,O199=""),"",O199+510)</f>
        <v/>
      </c>
      <c r="AI199" s="19" t="str">
        <f aca="false">IF(OR(I199="",I199&lt;19,O199=""),"",O199+540)</f>
        <v/>
      </c>
      <c r="AJ199" s="19" t="str">
        <f aca="false">IF(OR(I199="",I199&lt;20,O199=""),"",O199+570)</f>
        <v/>
      </c>
      <c r="AK199" s="19" t="str">
        <f aca="false">IF(OR(I199="",I199&lt;21,O199=""),"",O199+600)</f>
        <v/>
      </c>
      <c r="AL199" s="19" t="str">
        <f aca="false">IF(OR(I199="",I199&lt;22,O199=""),"",O199+630)</f>
        <v/>
      </c>
      <c r="AM199" s="19" t="str">
        <f aca="false">IF(OR(I199="",I199&lt;23,O199=""),"",O199+660)</f>
        <v/>
      </c>
      <c r="AN199" s="19" t="str">
        <f aca="false">IF(OR(I199="",I199&lt;24,O199=""),"",O199+690)</f>
        <v/>
      </c>
      <c r="AO199" s="15" t="str">
        <f aca="false">IF(J199="","",COUNTIF(Q199:AN199,TRUE())*J199)</f>
        <v/>
      </c>
      <c r="AP199" s="15" t="str">
        <f aca="false">IF(K199="","",K199-AO199)</f>
        <v/>
      </c>
      <c r="AQ199" s="15" t="str">
        <f aca="false">IF(K199="","",K199-F199-IF(N199="",0,N199))</f>
        <v/>
      </c>
    </row>
    <row r="200" customFormat="false" ht="15" hidden="false" customHeight="false" outlineLevel="0" collapsed="false">
      <c r="A200" s="4"/>
      <c r="B200" s="4"/>
      <c r="C200" s="4"/>
      <c r="D200" s="5"/>
      <c r="E200" s="5"/>
      <c r="F200" s="6"/>
      <c r="G200" s="4"/>
      <c r="H200" s="4"/>
      <c r="I200" s="4"/>
      <c r="J200" s="6"/>
      <c r="K200" s="7" t="str">
        <f aca="false">IF(OR(I200="",J200=""),"",I200*J200)</f>
        <v/>
      </c>
      <c r="L200" s="4"/>
      <c r="M200" s="8"/>
      <c r="N200" s="7" t="str">
        <f aca="false">IF(OR(L200="",M200="",K200=""),"",IF(L200="GANANCIA",(K200-F200)*M200,IF(L200="BRUTO",K200*M200,"")))</f>
        <v/>
      </c>
      <c r="O200" s="9" t="str">
        <f aca="false">IF(D200="","",D200)</f>
        <v/>
      </c>
      <c r="P200" s="10" t="str">
        <f aca="false">IF(I200="","",IF(COUNTIF(Q200:AN200,TRUE())&gt;=I200,"PAGADO",IF(COUNTIF(Q200:AN200,TRUE())&gt;0,"PARCIAL","VIGENTE")))</f>
        <v/>
      </c>
      <c r="Q200" s="11" t="str">
        <f aca="false">IF(OR(I200="",I200&lt;1,O200=""),"",O200+0)</f>
        <v/>
      </c>
      <c r="R200" s="11" t="str">
        <f aca="false">IF(OR(I200="",I200&lt;2,O200=""),"",O200+30)</f>
        <v/>
      </c>
      <c r="S200" s="11" t="str">
        <f aca="false">IF(OR(I200="",I200&lt;3,O200=""),"",O200+60)</f>
        <v/>
      </c>
      <c r="T200" s="11" t="str">
        <f aca="false">IF(OR(I200="",I200&lt;4,O200=""),"",O200+90)</f>
        <v/>
      </c>
      <c r="U200" s="11" t="str">
        <f aca="false">IF(OR(I200="",I200&lt;5,O200=""),"",O200+120)</f>
        <v/>
      </c>
      <c r="V200" s="11" t="str">
        <f aca="false">IF(OR(I200="",I200&lt;6,O200=""),"",O200+150)</f>
        <v/>
      </c>
      <c r="W200" s="11" t="str">
        <f aca="false">IF(OR(I200="",I200&lt;7,O200=""),"",O200+180)</f>
        <v/>
      </c>
      <c r="X200" s="11" t="str">
        <f aca="false">IF(OR(I200="",I200&lt;8,O200=""),"",O200+210)</f>
        <v/>
      </c>
      <c r="Y200" s="11" t="str">
        <f aca="false">IF(OR(I200="",I200&lt;9,O200=""),"",O200+240)</f>
        <v/>
      </c>
      <c r="Z200" s="11" t="str">
        <f aca="false">IF(OR(I200="",I200&lt;10,O200=""),"",O200+270)</f>
        <v/>
      </c>
      <c r="AA200" s="11" t="str">
        <f aca="false">IF(OR(I200="",I200&lt;11,O200=""),"",O200+300)</f>
        <v/>
      </c>
      <c r="AB200" s="11" t="str">
        <f aca="false">IF(OR(I200="",I200&lt;12,O200=""),"",O200+330)</f>
        <v/>
      </c>
      <c r="AC200" s="11" t="str">
        <f aca="false">IF(OR(I200="",I200&lt;13,O200=""),"",O200+360)</f>
        <v/>
      </c>
      <c r="AD200" s="11" t="str">
        <f aca="false">IF(OR(I200="",I200&lt;14,O200=""),"",O200+390)</f>
        <v/>
      </c>
      <c r="AE200" s="11" t="str">
        <f aca="false">IF(OR(I200="",I200&lt;15,O200=""),"",O200+420)</f>
        <v/>
      </c>
      <c r="AF200" s="11" t="str">
        <f aca="false">IF(OR(I200="",I200&lt;16,O200=""),"",O200+450)</f>
        <v/>
      </c>
      <c r="AG200" s="11" t="str">
        <f aca="false">IF(OR(I200="",I200&lt;17,O200=""),"",O200+480)</f>
        <v/>
      </c>
      <c r="AH200" s="11" t="str">
        <f aca="false">IF(OR(I200="",I200&lt;18,O200=""),"",O200+510)</f>
        <v/>
      </c>
      <c r="AI200" s="11" t="str">
        <f aca="false">IF(OR(I200="",I200&lt;19,O200=""),"",O200+540)</f>
        <v/>
      </c>
      <c r="AJ200" s="11" t="str">
        <f aca="false">IF(OR(I200="",I200&lt;20,O200=""),"",O200+570)</f>
        <v/>
      </c>
      <c r="AK200" s="11" t="str">
        <f aca="false">IF(OR(I200="",I200&lt;21,O200=""),"",O200+600)</f>
        <v/>
      </c>
      <c r="AL200" s="11" t="str">
        <f aca="false">IF(OR(I200="",I200&lt;22,O200=""),"",O200+630)</f>
        <v/>
      </c>
      <c r="AM200" s="11" t="str">
        <f aca="false">IF(OR(I200="",I200&lt;23,O200=""),"",O200+660)</f>
        <v/>
      </c>
      <c r="AN200" s="11" t="str">
        <f aca="false">IF(OR(I200="",I200&lt;24,O200=""),"",O200+690)</f>
        <v/>
      </c>
      <c r="AO200" s="7" t="str">
        <f aca="false">IF(J200="","",COUNTIF(Q200:AN200,TRUE())*J200)</f>
        <v/>
      </c>
      <c r="AP200" s="7" t="str">
        <f aca="false">IF(K200="","",K200-AO200)</f>
        <v/>
      </c>
      <c r="AQ200" s="7" t="str">
        <f aca="false">IF(K200="","",K200-F200-IF(N200="",0,N200))</f>
        <v/>
      </c>
    </row>
    <row r="201" customFormat="false" ht="15" hidden="false" customHeight="false" outlineLevel="0" collapsed="false">
      <c r="A201" s="12"/>
      <c r="B201" s="12"/>
      <c r="C201" s="12"/>
      <c r="D201" s="13"/>
      <c r="E201" s="13"/>
      <c r="F201" s="14"/>
      <c r="G201" s="12"/>
      <c r="H201" s="12"/>
      <c r="I201" s="12"/>
      <c r="J201" s="14"/>
      <c r="K201" s="15" t="str">
        <f aca="false">IF(OR(I201="",J201=""),"",I201*J201)</f>
        <v/>
      </c>
      <c r="L201" s="12"/>
      <c r="M201" s="16"/>
      <c r="N201" s="15" t="str">
        <f aca="false">IF(OR(L201="",M201="",K201=""),"",IF(L201="GANANCIA",(K201-F201)*M201,IF(L201="BRUTO",K201*M201,"")))</f>
        <v/>
      </c>
      <c r="O201" s="17" t="str">
        <f aca="false">IF(D201="","",D201)</f>
        <v/>
      </c>
      <c r="P201" s="18" t="str">
        <f aca="false">IF(I201="","",IF(COUNTIF(Q201:AN201,TRUE())&gt;=I201,"PAGADO",IF(COUNTIF(Q201:AN201,TRUE())&gt;0,"PARCIAL","VIGENTE")))</f>
        <v/>
      </c>
      <c r="Q201" s="19" t="str">
        <f aca="false">IF(OR(I201="",I201&lt;1,O201=""),"",O201+0)</f>
        <v/>
      </c>
      <c r="R201" s="19" t="str">
        <f aca="false">IF(OR(I201="",I201&lt;2,O201=""),"",O201+30)</f>
        <v/>
      </c>
      <c r="S201" s="19" t="str">
        <f aca="false">IF(OR(I201="",I201&lt;3,O201=""),"",O201+60)</f>
        <v/>
      </c>
      <c r="T201" s="19" t="str">
        <f aca="false">IF(OR(I201="",I201&lt;4,O201=""),"",O201+90)</f>
        <v/>
      </c>
      <c r="U201" s="19" t="str">
        <f aca="false">IF(OR(I201="",I201&lt;5,O201=""),"",O201+120)</f>
        <v/>
      </c>
      <c r="V201" s="19" t="str">
        <f aca="false">IF(OR(I201="",I201&lt;6,O201=""),"",O201+150)</f>
        <v/>
      </c>
      <c r="W201" s="19" t="str">
        <f aca="false">IF(OR(I201="",I201&lt;7,O201=""),"",O201+180)</f>
        <v/>
      </c>
      <c r="X201" s="19" t="str">
        <f aca="false">IF(OR(I201="",I201&lt;8,O201=""),"",O201+210)</f>
        <v/>
      </c>
      <c r="Y201" s="19" t="str">
        <f aca="false">IF(OR(I201="",I201&lt;9,O201=""),"",O201+240)</f>
        <v/>
      </c>
      <c r="Z201" s="19" t="str">
        <f aca="false">IF(OR(I201="",I201&lt;10,O201=""),"",O201+270)</f>
        <v/>
      </c>
      <c r="AA201" s="19" t="str">
        <f aca="false">IF(OR(I201="",I201&lt;11,O201=""),"",O201+300)</f>
        <v/>
      </c>
      <c r="AB201" s="19" t="str">
        <f aca="false">IF(OR(I201="",I201&lt;12,O201=""),"",O201+330)</f>
        <v/>
      </c>
      <c r="AC201" s="19" t="str">
        <f aca="false">IF(OR(I201="",I201&lt;13,O201=""),"",O201+360)</f>
        <v/>
      </c>
      <c r="AD201" s="19" t="str">
        <f aca="false">IF(OR(I201="",I201&lt;14,O201=""),"",O201+390)</f>
        <v/>
      </c>
      <c r="AE201" s="19" t="str">
        <f aca="false">IF(OR(I201="",I201&lt;15,O201=""),"",O201+420)</f>
        <v/>
      </c>
      <c r="AF201" s="19" t="str">
        <f aca="false">IF(OR(I201="",I201&lt;16,O201=""),"",O201+450)</f>
        <v/>
      </c>
      <c r="AG201" s="19" t="str">
        <f aca="false">IF(OR(I201="",I201&lt;17,O201=""),"",O201+480)</f>
        <v/>
      </c>
      <c r="AH201" s="19" t="str">
        <f aca="false">IF(OR(I201="",I201&lt;18,O201=""),"",O201+510)</f>
        <v/>
      </c>
      <c r="AI201" s="19" t="str">
        <f aca="false">IF(OR(I201="",I201&lt;19,O201=""),"",O201+540)</f>
        <v/>
      </c>
      <c r="AJ201" s="19" t="str">
        <f aca="false">IF(OR(I201="",I201&lt;20,O201=""),"",O201+570)</f>
        <v/>
      </c>
      <c r="AK201" s="19" t="str">
        <f aca="false">IF(OR(I201="",I201&lt;21,O201=""),"",O201+600)</f>
        <v/>
      </c>
      <c r="AL201" s="19" t="str">
        <f aca="false">IF(OR(I201="",I201&lt;22,O201=""),"",O201+630)</f>
        <v/>
      </c>
      <c r="AM201" s="19" t="str">
        <f aca="false">IF(OR(I201="",I201&lt;23,O201=""),"",O201+660)</f>
        <v/>
      </c>
      <c r="AN201" s="19" t="str">
        <f aca="false">IF(OR(I201="",I201&lt;24,O201=""),"",O201+690)</f>
        <v/>
      </c>
      <c r="AO201" s="15" t="str">
        <f aca="false">IF(J201="","",COUNTIF(Q201:AN201,TRUE())*J201)</f>
        <v/>
      </c>
      <c r="AP201" s="15" t="str">
        <f aca="false">IF(K201="","",K201-AO201)</f>
        <v/>
      </c>
      <c r="AQ201" s="15" t="str">
        <f aca="false">IF(K201="","",K201-F201-IF(N201="",0,N201))</f>
        <v/>
      </c>
    </row>
    <row r="202" customFormat="false" ht="15" hidden="false" customHeight="false" outlineLevel="0" collapsed="false">
      <c r="A202" s="4"/>
      <c r="B202" s="4"/>
      <c r="C202" s="4"/>
      <c r="D202" s="5"/>
      <c r="E202" s="5"/>
      <c r="F202" s="6"/>
      <c r="G202" s="4"/>
      <c r="H202" s="4"/>
      <c r="I202" s="4"/>
      <c r="J202" s="6"/>
      <c r="K202" s="7" t="str">
        <f aca="false">IF(OR(I202="",J202=""),"",I202*J202)</f>
        <v/>
      </c>
      <c r="L202" s="4"/>
      <c r="M202" s="8"/>
      <c r="N202" s="7" t="str">
        <f aca="false">IF(OR(L202="",M202="",K202=""),"",IF(L202="GANANCIA",(K202-F202)*M202,IF(L202="BRUTO",K202*M202,"")))</f>
        <v/>
      </c>
      <c r="O202" s="9" t="str">
        <f aca="false">IF(D202="","",D202)</f>
        <v/>
      </c>
      <c r="P202" s="10" t="str">
        <f aca="false">IF(I202="","",IF(COUNTIF(Q202:AN202,TRUE())&gt;=I202,"PAGADO",IF(COUNTIF(Q202:AN202,TRUE())&gt;0,"PARCIAL","VIGENTE")))</f>
        <v/>
      </c>
      <c r="Q202" s="11" t="str">
        <f aca="false">IF(OR(I202="",I202&lt;1,O202=""),"",O202+0)</f>
        <v/>
      </c>
      <c r="R202" s="11" t="str">
        <f aca="false">IF(OR(I202="",I202&lt;2,O202=""),"",O202+30)</f>
        <v/>
      </c>
      <c r="S202" s="11" t="str">
        <f aca="false">IF(OR(I202="",I202&lt;3,O202=""),"",O202+60)</f>
        <v/>
      </c>
      <c r="T202" s="11" t="str">
        <f aca="false">IF(OR(I202="",I202&lt;4,O202=""),"",O202+90)</f>
        <v/>
      </c>
      <c r="U202" s="11" t="str">
        <f aca="false">IF(OR(I202="",I202&lt;5,O202=""),"",O202+120)</f>
        <v/>
      </c>
      <c r="V202" s="11" t="str">
        <f aca="false">IF(OR(I202="",I202&lt;6,O202=""),"",O202+150)</f>
        <v/>
      </c>
      <c r="W202" s="11" t="str">
        <f aca="false">IF(OR(I202="",I202&lt;7,O202=""),"",O202+180)</f>
        <v/>
      </c>
      <c r="X202" s="11" t="str">
        <f aca="false">IF(OR(I202="",I202&lt;8,O202=""),"",O202+210)</f>
        <v/>
      </c>
      <c r="Y202" s="11" t="str">
        <f aca="false">IF(OR(I202="",I202&lt;9,O202=""),"",O202+240)</f>
        <v/>
      </c>
      <c r="Z202" s="11" t="str">
        <f aca="false">IF(OR(I202="",I202&lt;10,O202=""),"",O202+270)</f>
        <v/>
      </c>
      <c r="AA202" s="11" t="str">
        <f aca="false">IF(OR(I202="",I202&lt;11,O202=""),"",O202+300)</f>
        <v/>
      </c>
      <c r="AB202" s="11" t="str">
        <f aca="false">IF(OR(I202="",I202&lt;12,O202=""),"",O202+330)</f>
        <v/>
      </c>
      <c r="AC202" s="11" t="str">
        <f aca="false">IF(OR(I202="",I202&lt;13,O202=""),"",O202+360)</f>
        <v/>
      </c>
      <c r="AD202" s="11" t="str">
        <f aca="false">IF(OR(I202="",I202&lt;14,O202=""),"",O202+390)</f>
        <v/>
      </c>
      <c r="AE202" s="11" t="str">
        <f aca="false">IF(OR(I202="",I202&lt;15,O202=""),"",O202+420)</f>
        <v/>
      </c>
      <c r="AF202" s="11" t="str">
        <f aca="false">IF(OR(I202="",I202&lt;16,O202=""),"",O202+450)</f>
        <v/>
      </c>
      <c r="AG202" s="11" t="str">
        <f aca="false">IF(OR(I202="",I202&lt;17,O202=""),"",O202+480)</f>
        <v/>
      </c>
      <c r="AH202" s="11" t="str">
        <f aca="false">IF(OR(I202="",I202&lt;18,O202=""),"",O202+510)</f>
        <v/>
      </c>
      <c r="AI202" s="11" t="str">
        <f aca="false">IF(OR(I202="",I202&lt;19,O202=""),"",O202+540)</f>
        <v/>
      </c>
      <c r="AJ202" s="11" t="str">
        <f aca="false">IF(OR(I202="",I202&lt;20,O202=""),"",O202+570)</f>
        <v/>
      </c>
      <c r="AK202" s="11" t="str">
        <f aca="false">IF(OR(I202="",I202&lt;21,O202=""),"",O202+600)</f>
        <v/>
      </c>
      <c r="AL202" s="11" t="str">
        <f aca="false">IF(OR(I202="",I202&lt;22,O202=""),"",O202+630)</f>
        <v/>
      </c>
      <c r="AM202" s="11" t="str">
        <f aca="false">IF(OR(I202="",I202&lt;23,O202=""),"",O202+660)</f>
        <v/>
      </c>
      <c r="AN202" s="11" t="str">
        <f aca="false">IF(OR(I202="",I202&lt;24,O202=""),"",O202+690)</f>
        <v/>
      </c>
      <c r="AO202" s="7" t="str">
        <f aca="false">IF(J202="","",COUNTIF(Q202:AN202,TRUE())*J202)</f>
        <v/>
      </c>
      <c r="AP202" s="7" t="str">
        <f aca="false">IF(K202="","",K202-AO202)</f>
        <v/>
      </c>
      <c r="AQ202" s="7" t="str">
        <f aca="false">IF(K202="","",K202-F202-IF(N202="",0,N202))</f>
        <v/>
      </c>
    </row>
    <row r="203" customFormat="false" ht="15" hidden="false" customHeight="false" outlineLevel="0" collapsed="false">
      <c r="A203" s="12"/>
      <c r="B203" s="12"/>
      <c r="C203" s="12"/>
      <c r="D203" s="13"/>
      <c r="E203" s="13"/>
      <c r="F203" s="14"/>
      <c r="G203" s="12"/>
      <c r="H203" s="12"/>
      <c r="I203" s="12"/>
      <c r="J203" s="14"/>
      <c r="K203" s="15" t="str">
        <f aca="false">IF(OR(I203="",J203=""),"",I203*J203)</f>
        <v/>
      </c>
      <c r="L203" s="12"/>
      <c r="M203" s="16"/>
      <c r="N203" s="15" t="str">
        <f aca="false">IF(OR(L203="",M203="",K203=""),"",IF(L203="GANANCIA",(K203-F203)*M203,IF(L203="BRUTO",K203*M203,"")))</f>
        <v/>
      </c>
      <c r="O203" s="17" t="str">
        <f aca="false">IF(D203="","",D203)</f>
        <v/>
      </c>
      <c r="P203" s="18" t="str">
        <f aca="false">IF(I203="","",IF(COUNTIF(Q203:AN203,TRUE())&gt;=I203,"PAGADO",IF(COUNTIF(Q203:AN203,TRUE())&gt;0,"PARCIAL","VIGENTE")))</f>
        <v/>
      </c>
      <c r="Q203" s="19" t="str">
        <f aca="false">IF(OR(I203="",I203&lt;1,O203=""),"",O203+0)</f>
        <v/>
      </c>
      <c r="R203" s="19" t="str">
        <f aca="false">IF(OR(I203="",I203&lt;2,O203=""),"",O203+30)</f>
        <v/>
      </c>
      <c r="S203" s="19" t="str">
        <f aca="false">IF(OR(I203="",I203&lt;3,O203=""),"",O203+60)</f>
        <v/>
      </c>
      <c r="T203" s="19" t="str">
        <f aca="false">IF(OR(I203="",I203&lt;4,O203=""),"",O203+90)</f>
        <v/>
      </c>
      <c r="U203" s="19" t="str">
        <f aca="false">IF(OR(I203="",I203&lt;5,O203=""),"",O203+120)</f>
        <v/>
      </c>
      <c r="V203" s="19" t="str">
        <f aca="false">IF(OR(I203="",I203&lt;6,O203=""),"",O203+150)</f>
        <v/>
      </c>
      <c r="W203" s="19" t="str">
        <f aca="false">IF(OR(I203="",I203&lt;7,O203=""),"",O203+180)</f>
        <v/>
      </c>
      <c r="X203" s="19" t="str">
        <f aca="false">IF(OR(I203="",I203&lt;8,O203=""),"",O203+210)</f>
        <v/>
      </c>
      <c r="Y203" s="19" t="str">
        <f aca="false">IF(OR(I203="",I203&lt;9,O203=""),"",O203+240)</f>
        <v/>
      </c>
      <c r="Z203" s="19" t="str">
        <f aca="false">IF(OR(I203="",I203&lt;10,O203=""),"",O203+270)</f>
        <v/>
      </c>
      <c r="AA203" s="19" t="str">
        <f aca="false">IF(OR(I203="",I203&lt;11,O203=""),"",O203+300)</f>
        <v/>
      </c>
      <c r="AB203" s="19" t="str">
        <f aca="false">IF(OR(I203="",I203&lt;12,O203=""),"",O203+330)</f>
        <v/>
      </c>
      <c r="AC203" s="19" t="str">
        <f aca="false">IF(OR(I203="",I203&lt;13,O203=""),"",O203+360)</f>
        <v/>
      </c>
      <c r="AD203" s="19" t="str">
        <f aca="false">IF(OR(I203="",I203&lt;14,O203=""),"",O203+390)</f>
        <v/>
      </c>
      <c r="AE203" s="19" t="str">
        <f aca="false">IF(OR(I203="",I203&lt;15,O203=""),"",O203+420)</f>
        <v/>
      </c>
      <c r="AF203" s="19" t="str">
        <f aca="false">IF(OR(I203="",I203&lt;16,O203=""),"",O203+450)</f>
        <v/>
      </c>
      <c r="AG203" s="19" t="str">
        <f aca="false">IF(OR(I203="",I203&lt;17,O203=""),"",O203+480)</f>
        <v/>
      </c>
      <c r="AH203" s="19" t="str">
        <f aca="false">IF(OR(I203="",I203&lt;18,O203=""),"",O203+510)</f>
        <v/>
      </c>
      <c r="AI203" s="19" t="str">
        <f aca="false">IF(OR(I203="",I203&lt;19,O203=""),"",O203+540)</f>
        <v/>
      </c>
      <c r="AJ203" s="19" t="str">
        <f aca="false">IF(OR(I203="",I203&lt;20,O203=""),"",O203+570)</f>
        <v/>
      </c>
      <c r="AK203" s="19" t="str">
        <f aca="false">IF(OR(I203="",I203&lt;21,O203=""),"",O203+600)</f>
        <v/>
      </c>
      <c r="AL203" s="19" t="str">
        <f aca="false">IF(OR(I203="",I203&lt;22,O203=""),"",O203+630)</f>
        <v/>
      </c>
      <c r="AM203" s="19" t="str">
        <f aca="false">IF(OR(I203="",I203&lt;23,O203=""),"",O203+660)</f>
        <v/>
      </c>
      <c r="AN203" s="19" t="str">
        <f aca="false">IF(OR(I203="",I203&lt;24,O203=""),"",O203+690)</f>
        <v/>
      </c>
      <c r="AO203" s="15" t="str">
        <f aca="false">IF(J203="","",COUNTIF(Q203:AN203,TRUE())*J203)</f>
        <v/>
      </c>
      <c r="AP203" s="15" t="str">
        <f aca="false">IF(K203="","",K203-AO203)</f>
        <v/>
      </c>
      <c r="AQ203" s="15" t="str">
        <f aca="false">IF(K203="","",K203-F203-IF(N203="",0,N203))</f>
        <v/>
      </c>
    </row>
  </sheetData>
  <mergeCells count="2">
    <mergeCell ref="A1:AQ1"/>
    <mergeCell ref="A2:AQ2"/>
  </mergeCells>
  <conditionalFormatting sqref="P4:P203">
    <cfRule type="cellIs" priority="2" operator="equal" aboveAverage="0" equalAverage="0" bottom="0" percent="0" rank="0" text="" dxfId="0">
      <formula>"PAGADO"</formula>
    </cfRule>
    <cfRule type="cellIs" priority="3" operator="equal" aboveAverage="0" equalAverage="0" bottom="0" percent="0" rank="0" text="" dxfId="1">
      <formula>"VIGENTE"</formula>
    </cfRule>
    <cfRule type="cellIs" priority="4" operator="equal" aboveAverage="0" equalAverage="0" bottom="0" percent="0" rank="0" text="" dxfId="2">
      <formula>"PARCIAL"</formula>
    </cfRule>
  </conditionalFormatting>
  <dataValidations count="1">
    <dataValidation allowBlank="true" error="Elegí GANANCIA o BRUTO" errorStyle="stop" errorTitle="Valor inválido" operator="between" showDropDown="false" showErrorMessage="false" showInputMessage="false" sqref="L4:L203" type="list">
      <formula1>"GANANCIA,BRUTO"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2" min="10" style="0" width="13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11"/>
    <col collapsed="false" customWidth="true" hidden="false" outlineLevel="0" max="41" min="17" style="0" width="12"/>
    <col collapsed="false" customWidth="true" hidden="false" outlineLevel="0" max="43" min="42" style="0" width="14"/>
  </cols>
  <sheetData>
    <row r="1" customFormat="false" ht="39.75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customFormat="false" ht="24" hidden="false" customHeight="true" outlineLevel="0" collapsed="false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</row>
    <row r="4" customFormat="false" ht="15" hidden="false" customHeight="false" outlineLevel="0" collapsed="false">
      <c r="A4" s="4"/>
      <c r="B4" s="4"/>
      <c r="C4" s="4"/>
      <c r="D4" s="5"/>
      <c r="E4" s="5"/>
      <c r="F4" s="6"/>
      <c r="G4" s="4"/>
      <c r="H4" s="4"/>
      <c r="I4" s="4"/>
      <c r="J4" s="6"/>
      <c r="K4" s="7" t="str">
        <f aca="false">IF(OR(I4="",J4=""),"",I4*J4)</f>
        <v/>
      </c>
      <c r="L4" s="4"/>
      <c r="M4" s="8"/>
      <c r="N4" s="7" t="str">
        <f aca="false">IF(OR(L4="",M4="",K4=""),"",IF(L4="GANANCIA",(K4-F4)*M4,IF(L4="BRUTO",K4*M4,"")))</f>
        <v/>
      </c>
      <c r="O4" s="9" t="str">
        <f aca="false">IF(D4="","",D4)</f>
        <v/>
      </c>
      <c r="P4" s="10" t="str">
        <f aca="false">IF(I4="","",IF(COUNTIF(Q4:AN4,TRUE())&gt;=I4,"PAGADO",IF(COUNTIF(Q4:AN4,TRUE())&gt;0,"PARCIAL","VIGENTE")))</f>
        <v/>
      </c>
      <c r="Q4" s="11" t="str">
        <f aca="false">IF(OR(I4="",I4&lt;1,O4=""),"",O4+0)</f>
        <v/>
      </c>
      <c r="R4" s="11" t="str">
        <f aca="false">IF(OR(I4="",I4&lt;2,O4=""),"",O4+30)</f>
        <v/>
      </c>
      <c r="S4" s="11" t="str">
        <f aca="false">IF(OR(I4="",I4&lt;3,O4=""),"",O4+60)</f>
        <v/>
      </c>
      <c r="T4" s="11" t="str">
        <f aca="false">IF(OR(I4="",I4&lt;4,O4=""),"",O4+90)</f>
        <v/>
      </c>
      <c r="U4" s="11" t="str">
        <f aca="false">IF(OR(I4="",I4&lt;5,O4=""),"",O4+120)</f>
        <v/>
      </c>
      <c r="V4" s="11" t="str">
        <f aca="false">IF(OR(I4="",I4&lt;6,O4=""),"",O4+150)</f>
        <v/>
      </c>
      <c r="W4" s="11" t="str">
        <f aca="false">IF(OR(I4="",I4&lt;7,O4=""),"",O4+180)</f>
        <v/>
      </c>
      <c r="X4" s="11" t="str">
        <f aca="false">IF(OR(I4="",I4&lt;8,O4=""),"",O4+210)</f>
        <v/>
      </c>
      <c r="Y4" s="11" t="str">
        <f aca="false">IF(OR(I4="",I4&lt;9,O4=""),"",O4+240)</f>
        <v/>
      </c>
      <c r="Z4" s="11" t="str">
        <f aca="false">IF(OR(I4="",I4&lt;10,O4=""),"",O4+270)</f>
        <v/>
      </c>
      <c r="AA4" s="11" t="str">
        <f aca="false">IF(OR(I4="",I4&lt;11,O4=""),"",O4+300)</f>
        <v/>
      </c>
      <c r="AB4" s="11" t="str">
        <f aca="false">IF(OR(I4="",I4&lt;12,O4=""),"",O4+330)</f>
        <v/>
      </c>
      <c r="AC4" s="11" t="str">
        <f aca="false">IF(OR(I4="",I4&lt;13,O4=""),"",O4+360)</f>
        <v/>
      </c>
      <c r="AD4" s="11" t="str">
        <f aca="false">IF(OR(I4="",I4&lt;14,O4=""),"",O4+390)</f>
        <v/>
      </c>
      <c r="AE4" s="11" t="str">
        <f aca="false">IF(OR(I4="",I4&lt;15,O4=""),"",O4+420)</f>
        <v/>
      </c>
      <c r="AF4" s="11" t="str">
        <f aca="false">IF(OR(I4="",I4&lt;16,O4=""),"",O4+450)</f>
        <v/>
      </c>
      <c r="AG4" s="11" t="str">
        <f aca="false">IF(OR(I4="",I4&lt;17,O4=""),"",O4+480)</f>
        <v/>
      </c>
      <c r="AH4" s="11" t="str">
        <f aca="false">IF(OR(I4="",I4&lt;18,O4=""),"",O4+510)</f>
        <v/>
      </c>
      <c r="AI4" s="11" t="str">
        <f aca="false">IF(OR(I4="",I4&lt;19,O4=""),"",O4+540)</f>
        <v/>
      </c>
      <c r="AJ4" s="11" t="str">
        <f aca="false">IF(OR(I4="",I4&lt;20,O4=""),"",O4+570)</f>
        <v/>
      </c>
      <c r="AK4" s="11" t="str">
        <f aca="false">IF(OR(I4="",I4&lt;21,O4=""),"",O4+600)</f>
        <v/>
      </c>
      <c r="AL4" s="11" t="str">
        <f aca="false">IF(OR(I4="",I4&lt;22,O4=""),"",O4+630)</f>
        <v/>
      </c>
      <c r="AM4" s="11" t="str">
        <f aca="false">IF(OR(I4="",I4&lt;23,O4=""),"",O4+660)</f>
        <v/>
      </c>
      <c r="AN4" s="11" t="str">
        <f aca="false">IF(OR(I4="",I4&lt;24,O4=""),"",O4+690)</f>
        <v/>
      </c>
      <c r="AO4" s="7" t="str">
        <f aca="false">IF(J4="","",COUNTIF(Q4:AN4,TRUE())*J4)</f>
        <v/>
      </c>
      <c r="AP4" s="7" t="str">
        <f aca="false">IF(K4="","",K4-AO4)</f>
        <v/>
      </c>
      <c r="AQ4" s="7" t="str">
        <f aca="false">IF(K4="","",K4-F4-IF(N4="",0,N4))</f>
        <v/>
      </c>
    </row>
    <row r="5" customFormat="false" ht="15" hidden="false" customHeight="false" outlineLevel="0" collapsed="false">
      <c r="A5" s="12"/>
      <c r="B5" s="12"/>
      <c r="C5" s="12"/>
      <c r="D5" s="13"/>
      <c r="E5" s="13"/>
      <c r="F5" s="14"/>
      <c r="G5" s="12"/>
      <c r="H5" s="12"/>
      <c r="I5" s="12"/>
      <c r="J5" s="14"/>
      <c r="K5" s="15" t="str">
        <f aca="false">IF(OR(I5="",J5=""),"",I5*J5)</f>
        <v/>
      </c>
      <c r="L5" s="12"/>
      <c r="M5" s="16"/>
      <c r="N5" s="15" t="str">
        <f aca="false">IF(OR(L5="",M5="",K5=""),"",IF(L5="GANANCIA",(K5-F5)*M5,IF(L5="BRUTO",K5*M5,"")))</f>
        <v/>
      </c>
      <c r="O5" s="17" t="str">
        <f aca="false">IF(D5="","",D5)</f>
        <v/>
      </c>
      <c r="P5" s="18" t="str">
        <f aca="false">IF(I5="","",IF(COUNTIF(Q5:AN5,TRUE())&gt;=I5,"PAGADO",IF(COUNTIF(Q5:AN5,TRUE())&gt;0,"PARCIAL","VIGENTE")))</f>
        <v/>
      </c>
      <c r="Q5" s="19" t="str">
        <f aca="false">IF(OR(I5="",I5&lt;1,O5=""),"",O5+0)</f>
        <v/>
      </c>
      <c r="R5" s="19" t="str">
        <f aca="false">IF(OR(I5="",I5&lt;2,O5=""),"",O5+30)</f>
        <v/>
      </c>
      <c r="S5" s="19" t="str">
        <f aca="false">IF(OR(I5="",I5&lt;3,O5=""),"",O5+60)</f>
        <v/>
      </c>
      <c r="T5" s="19" t="str">
        <f aca="false">IF(OR(I5="",I5&lt;4,O5=""),"",O5+90)</f>
        <v/>
      </c>
      <c r="U5" s="19" t="str">
        <f aca="false">IF(OR(I5="",I5&lt;5,O5=""),"",O5+120)</f>
        <v/>
      </c>
      <c r="V5" s="19" t="str">
        <f aca="false">IF(OR(I5="",I5&lt;6,O5=""),"",O5+150)</f>
        <v/>
      </c>
      <c r="W5" s="19" t="str">
        <f aca="false">IF(OR(I5="",I5&lt;7,O5=""),"",O5+180)</f>
        <v/>
      </c>
      <c r="X5" s="19" t="str">
        <f aca="false">IF(OR(I5="",I5&lt;8,O5=""),"",O5+210)</f>
        <v/>
      </c>
      <c r="Y5" s="19" t="str">
        <f aca="false">IF(OR(I5="",I5&lt;9,O5=""),"",O5+240)</f>
        <v/>
      </c>
      <c r="Z5" s="19" t="str">
        <f aca="false">IF(OR(I5="",I5&lt;10,O5=""),"",O5+270)</f>
        <v/>
      </c>
      <c r="AA5" s="19" t="str">
        <f aca="false">IF(OR(I5="",I5&lt;11,O5=""),"",O5+300)</f>
        <v/>
      </c>
      <c r="AB5" s="19" t="str">
        <f aca="false">IF(OR(I5="",I5&lt;12,O5=""),"",O5+330)</f>
        <v/>
      </c>
      <c r="AC5" s="19" t="str">
        <f aca="false">IF(OR(I5="",I5&lt;13,O5=""),"",O5+360)</f>
        <v/>
      </c>
      <c r="AD5" s="19" t="str">
        <f aca="false">IF(OR(I5="",I5&lt;14,O5=""),"",O5+390)</f>
        <v/>
      </c>
      <c r="AE5" s="19" t="str">
        <f aca="false">IF(OR(I5="",I5&lt;15,O5=""),"",O5+420)</f>
        <v/>
      </c>
      <c r="AF5" s="19" t="str">
        <f aca="false">IF(OR(I5="",I5&lt;16,O5=""),"",O5+450)</f>
        <v/>
      </c>
      <c r="AG5" s="19" t="str">
        <f aca="false">IF(OR(I5="",I5&lt;17,O5=""),"",O5+480)</f>
        <v/>
      </c>
      <c r="AH5" s="19" t="str">
        <f aca="false">IF(OR(I5="",I5&lt;18,O5=""),"",O5+510)</f>
        <v/>
      </c>
      <c r="AI5" s="19" t="str">
        <f aca="false">IF(OR(I5="",I5&lt;19,O5=""),"",O5+540)</f>
        <v/>
      </c>
      <c r="AJ5" s="19" t="str">
        <f aca="false">IF(OR(I5="",I5&lt;20,O5=""),"",O5+570)</f>
        <v/>
      </c>
      <c r="AK5" s="19" t="str">
        <f aca="false">IF(OR(I5="",I5&lt;21,O5=""),"",O5+600)</f>
        <v/>
      </c>
      <c r="AL5" s="19" t="str">
        <f aca="false">IF(OR(I5="",I5&lt;22,O5=""),"",O5+630)</f>
        <v/>
      </c>
      <c r="AM5" s="19" t="str">
        <f aca="false">IF(OR(I5="",I5&lt;23,O5=""),"",O5+660)</f>
        <v/>
      </c>
      <c r="AN5" s="19" t="str">
        <f aca="false">IF(OR(I5="",I5&lt;24,O5=""),"",O5+690)</f>
        <v/>
      </c>
      <c r="AO5" s="15" t="str">
        <f aca="false">IF(J5="","",COUNTIF(Q5:AN5,TRUE())*J5)</f>
        <v/>
      </c>
      <c r="AP5" s="15" t="str">
        <f aca="false">IF(K5="","",K5-AO5)</f>
        <v/>
      </c>
      <c r="AQ5" s="15" t="str">
        <f aca="false">IF(K5="","",K5-F5-IF(N5="",0,N5))</f>
        <v/>
      </c>
    </row>
    <row r="6" customFormat="false" ht="15" hidden="false" customHeight="false" outlineLevel="0" collapsed="false">
      <c r="A6" s="4"/>
      <c r="B6" s="4"/>
      <c r="C6" s="4"/>
      <c r="D6" s="5"/>
      <c r="E6" s="5"/>
      <c r="F6" s="6"/>
      <c r="G6" s="4"/>
      <c r="H6" s="4"/>
      <c r="I6" s="4"/>
      <c r="J6" s="6"/>
      <c r="K6" s="7" t="str">
        <f aca="false">IF(OR(I6="",J6=""),"",I6*J6)</f>
        <v/>
      </c>
      <c r="L6" s="4"/>
      <c r="M6" s="8"/>
      <c r="N6" s="7" t="str">
        <f aca="false">IF(OR(L6="",M6="",K6=""),"",IF(L6="GANANCIA",(K6-F6)*M6,IF(L6="BRUTO",K6*M6,"")))</f>
        <v/>
      </c>
      <c r="O6" s="9" t="str">
        <f aca="false">IF(D6="","",D6)</f>
        <v/>
      </c>
      <c r="P6" s="10" t="str">
        <f aca="false">IF(I6="","",IF(COUNTIF(Q6:AN6,TRUE())&gt;=I6,"PAGADO",IF(COUNTIF(Q6:AN6,TRUE())&gt;0,"PARCIAL","VIGENTE")))</f>
        <v/>
      </c>
      <c r="Q6" s="11" t="str">
        <f aca="false">IF(OR(I6="",I6&lt;1,O6=""),"",O6+0)</f>
        <v/>
      </c>
      <c r="R6" s="11" t="str">
        <f aca="false">IF(OR(I6="",I6&lt;2,O6=""),"",O6+30)</f>
        <v/>
      </c>
      <c r="S6" s="11" t="str">
        <f aca="false">IF(OR(I6="",I6&lt;3,O6=""),"",O6+60)</f>
        <v/>
      </c>
      <c r="T6" s="11" t="str">
        <f aca="false">IF(OR(I6="",I6&lt;4,O6=""),"",O6+90)</f>
        <v/>
      </c>
      <c r="U6" s="11" t="str">
        <f aca="false">IF(OR(I6="",I6&lt;5,O6=""),"",O6+120)</f>
        <v/>
      </c>
      <c r="V6" s="11" t="str">
        <f aca="false">IF(OR(I6="",I6&lt;6,O6=""),"",O6+150)</f>
        <v/>
      </c>
      <c r="W6" s="11" t="str">
        <f aca="false">IF(OR(I6="",I6&lt;7,O6=""),"",O6+180)</f>
        <v/>
      </c>
      <c r="X6" s="11" t="str">
        <f aca="false">IF(OR(I6="",I6&lt;8,O6=""),"",O6+210)</f>
        <v/>
      </c>
      <c r="Y6" s="11" t="str">
        <f aca="false">IF(OR(I6="",I6&lt;9,O6=""),"",O6+240)</f>
        <v/>
      </c>
      <c r="Z6" s="11" t="str">
        <f aca="false">IF(OR(I6="",I6&lt;10,O6=""),"",O6+270)</f>
        <v/>
      </c>
      <c r="AA6" s="11" t="str">
        <f aca="false">IF(OR(I6="",I6&lt;11,O6=""),"",O6+300)</f>
        <v/>
      </c>
      <c r="AB6" s="11" t="str">
        <f aca="false">IF(OR(I6="",I6&lt;12,O6=""),"",O6+330)</f>
        <v/>
      </c>
      <c r="AC6" s="11" t="str">
        <f aca="false">IF(OR(I6="",I6&lt;13,O6=""),"",O6+360)</f>
        <v/>
      </c>
      <c r="AD6" s="11" t="str">
        <f aca="false">IF(OR(I6="",I6&lt;14,O6=""),"",O6+390)</f>
        <v/>
      </c>
      <c r="AE6" s="11" t="str">
        <f aca="false">IF(OR(I6="",I6&lt;15,O6=""),"",O6+420)</f>
        <v/>
      </c>
      <c r="AF6" s="11" t="str">
        <f aca="false">IF(OR(I6="",I6&lt;16,O6=""),"",O6+450)</f>
        <v/>
      </c>
      <c r="AG6" s="11" t="str">
        <f aca="false">IF(OR(I6="",I6&lt;17,O6=""),"",O6+480)</f>
        <v/>
      </c>
      <c r="AH6" s="11" t="str">
        <f aca="false">IF(OR(I6="",I6&lt;18,O6=""),"",O6+510)</f>
        <v/>
      </c>
      <c r="AI6" s="11" t="str">
        <f aca="false">IF(OR(I6="",I6&lt;19,O6=""),"",O6+540)</f>
        <v/>
      </c>
      <c r="AJ6" s="11" t="str">
        <f aca="false">IF(OR(I6="",I6&lt;20,O6=""),"",O6+570)</f>
        <v/>
      </c>
      <c r="AK6" s="11" t="str">
        <f aca="false">IF(OR(I6="",I6&lt;21,O6=""),"",O6+600)</f>
        <v/>
      </c>
      <c r="AL6" s="11" t="str">
        <f aca="false">IF(OR(I6="",I6&lt;22,O6=""),"",O6+630)</f>
        <v/>
      </c>
      <c r="AM6" s="11" t="str">
        <f aca="false">IF(OR(I6="",I6&lt;23,O6=""),"",O6+660)</f>
        <v/>
      </c>
      <c r="AN6" s="11" t="str">
        <f aca="false">IF(OR(I6="",I6&lt;24,O6=""),"",O6+690)</f>
        <v/>
      </c>
      <c r="AO6" s="7" t="str">
        <f aca="false">IF(J6="","",COUNTIF(Q6:AN6,TRUE())*J6)</f>
        <v/>
      </c>
      <c r="AP6" s="7" t="str">
        <f aca="false">IF(K6="","",K6-AO6)</f>
        <v/>
      </c>
      <c r="AQ6" s="7" t="str">
        <f aca="false">IF(K6="","",K6-F6-IF(N6="",0,N6))</f>
        <v/>
      </c>
    </row>
    <row r="7" customFormat="false" ht="15" hidden="false" customHeight="false" outlineLevel="0" collapsed="false">
      <c r="A7" s="12"/>
      <c r="B7" s="12"/>
      <c r="C7" s="12"/>
      <c r="D7" s="13"/>
      <c r="E7" s="13"/>
      <c r="F7" s="14"/>
      <c r="G7" s="12"/>
      <c r="H7" s="12"/>
      <c r="I7" s="12"/>
      <c r="J7" s="14"/>
      <c r="K7" s="15" t="str">
        <f aca="false">IF(OR(I7="",J7=""),"",I7*J7)</f>
        <v/>
      </c>
      <c r="L7" s="12"/>
      <c r="M7" s="16"/>
      <c r="N7" s="15" t="str">
        <f aca="false">IF(OR(L7="",M7="",K7=""),"",IF(L7="GANANCIA",(K7-F7)*M7,IF(L7="BRUTO",K7*M7,"")))</f>
        <v/>
      </c>
      <c r="O7" s="17" t="str">
        <f aca="false">IF(D7="","",D7)</f>
        <v/>
      </c>
      <c r="P7" s="18" t="str">
        <f aca="false">IF(I7="","",IF(COUNTIF(Q7:AN7,TRUE())&gt;=I7,"PAGADO",IF(COUNTIF(Q7:AN7,TRUE())&gt;0,"PARCIAL","VIGENTE")))</f>
        <v/>
      </c>
      <c r="Q7" s="19" t="str">
        <f aca="false">IF(OR(I7="",I7&lt;1,O7=""),"",O7+0)</f>
        <v/>
      </c>
      <c r="R7" s="19" t="str">
        <f aca="false">IF(OR(I7="",I7&lt;2,O7=""),"",O7+30)</f>
        <v/>
      </c>
      <c r="S7" s="19" t="str">
        <f aca="false">IF(OR(I7="",I7&lt;3,O7=""),"",O7+60)</f>
        <v/>
      </c>
      <c r="T7" s="19" t="str">
        <f aca="false">IF(OR(I7="",I7&lt;4,O7=""),"",O7+90)</f>
        <v/>
      </c>
      <c r="U7" s="19" t="str">
        <f aca="false">IF(OR(I7="",I7&lt;5,O7=""),"",O7+120)</f>
        <v/>
      </c>
      <c r="V7" s="19" t="str">
        <f aca="false">IF(OR(I7="",I7&lt;6,O7=""),"",O7+150)</f>
        <v/>
      </c>
      <c r="W7" s="19" t="str">
        <f aca="false">IF(OR(I7="",I7&lt;7,O7=""),"",O7+180)</f>
        <v/>
      </c>
      <c r="X7" s="19" t="str">
        <f aca="false">IF(OR(I7="",I7&lt;8,O7=""),"",O7+210)</f>
        <v/>
      </c>
      <c r="Y7" s="19" t="str">
        <f aca="false">IF(OR(I7="",I7&lt;9,O7=""),"",O7+240)</f>
        <v/>
      </c>
      <c r="Z7" s="19" t="str">
        <f aca="false">IF(OR(I7="",I7&lt;10,O7=""),"",O7+270)</f>
        <v/>
      </c>
      <c r="AA7" s="19" t="str">
        <f aca="false">IF(OR(I7="",I7&lt;11,O7=""),"",O7+300)</f>
        <v/>
      </c>
      <c r="AB7" s="19" t="str">
        <f aca="false">IF(OR(I7="",I7&lt;12,O7=""),"",O7+330)</f>
        <v/>
      </c>
      <c r="AC7" s="19" t="str">
        <f aca="false">IF(OR(I7="",I7&lt;13,O7=""),"",O7+360)</f>
        <v/>
      </c>
      <c r="AD7" s="19" t="str">
        <f aca="false">IF(OR(I7="",I7&lt;14,O7=""),"",O7+390)</f>
        <v/>
      </c>
      <c r="AE7" s="19" t="str">
        <f aca="false">IF(OR(I7="",I7&lt;15,O7=""),"",O7+420)</f>
        <v/>
      </c>
      <c r="AF7" s="19" t="str">
        <f aca="false">IF(OR(I7="",I7&lt;16,O7=""),"",O7+450)</f>
        <v/>
      </c>
      <c r="AG7" s="19" t="str">
        <f aca="false">IF(OR(I7="",I7&lt;17,O7=""),"",O7+480)</f>
        <v/>
      </c>
      <c r="AH7" s="19" t="str">
        <f aca="false">IF(OR(I7="",I7&lt;18,O7=""),"",O7+510)</f>
        <v/>
      </c>
      <c r="AI7" s="19" t="str">
        <f aca="false">IF(OR(I7="",I7&lt;19,O7=""),"",O7+540)</f>
        <v/>
      </c>
      <c r="AJ7" s="19" t="str">
        <f aca="false">IF(OR(I7="",I7&lt;20,O7=""),"",O7+570)</f>
        <v/>
      </c>
      <c r="AK7" s="19" t="str">
        <f aca="false">IF(OR(I7="",I7&lt;21,O7=""),"",O7+600)</f>
        <v/>
      </c>
      <c r="AL7" s="19" t="str">
        <f aca="false">IF(OR(I7="",I7&lt;22,O7=""),"",O7+630)</f>
        <v/>
      </c>
      <c r="AM7" s="19" t="str">
        <f aca="false">IF(OR(I7="",I7&lt;23,O7=""),"",O7+660)</f>
        <v/>
      </c>
      <c r="AN7" s="19" t="str">
        <f aca="false">IF(OR(I7="",I7&lt;24,O7=""),"",O7+690)</f>
        <v/>
      </c>
      <c r="AO7" s="15" t="str">
        <f aca="false">IF(J7="","",COUNTIF(Q7:AN7,TRUE())*J7)</f>
        <v/>
      </c>
      <c r="AP7" s="15" t="str">
        <f aca="false">IF(K7="","",K7-AO7)</f>
        <v/>
      </c>
      <c r="AQ7" s="15" t="str">
        <f aca="false">IF(K7="","",K7-F7-IF(N7="",0,N7))</f>
        <v/>
      </c>
    </row>
    <row r="8" customFormat="false" ht="15" hidden="false" customHeight="false" outlineLevel="0" collapsed="false">
      <c r="A8" s="4"/>
      <c r="B8" s="4"/>
      <c r="C8" s="4"/>
      <c r="D8" s="5"/>
      <c r="E8" s="5"/>
      <c r="F8" s="6"/>
      <c r="G8" s="4"/>
      <c r="H8" s="4"/>
      <c r="I8" s="4"/>
      <c r="J8" s="6"/>
      <c r="K8" s="7" t="str">
        <f aca="false">IF(OR(I8="",J8=""),"",I8*J8)</f>
        <v/>
      </c>
      <c r="L8" s="4"/>
      <c r="M8" s="8"/>
      <c r="N8" s="7" t="str">
        <f aca="false">IF(OR(L8="",M8="",K8=""),"",IF(L8="GANANCIA",(K8-F8)*M8,IF(L8="BRUTO",K8*M8,"")))</f>
        <v/>
      </c>
      <c r="O8" s="9" t="str">
        <f aca="false">IF(D8="","",D8)</f>
        <v/>
      </c>
      <c r="P8" s="10" t="str">
        <f aca="false">IF(I8="","",IF(COUNTIF(Q8:AN8,TRUE())&gt;=I8,"PAGADO",IF(COUNTIF(Q8:AN8,TRUE())&gt;0,"PARCIAL","VIGENTE")))</f>
        <v/>
      </c>
      <c r="Q8" s="11" t="str">
        <f aca="false">IF(OR(I8="",I8&lt;1,O8=""),"",O8+0)</f>
        <v/>
      </c>
      <c r="R8" s="11" t="str">
        <f aca="false">IF(OR(I8="",I8&lt;2,O8=""),"",O8+30)</f>
        <v/>
      </c>
      <c r="S8" s="11" t="str">
        <f aca="false">IF(OR(I8="",I8&lt;3,O8=""),"",O8+60)</f>
        <v/>
      </c>
      <c r="T8" s="11" t="str">
        <f aca="false">IF(OR(I8="",I8&lt;4,O8=""),"",O8+90)</f>
        <v/>
      </c>
      <c r="U8" s="11" t="str">
        <f aca="false">IF(OR(I8="",I8&lt;5,O8=""),"",O8+120)</f>
        <v/>
      </c>
      <c r="V8" s="11" t="str">
        <f aca="false">IF(OR(I8="",I8&lt;6,O8=""),"",O8+150)</f>
        <v/>
      </c>
      <c r="W8" s="11" t="str">
        <f aca="false">IF(OR(I8="",I8&lt;7,O8=""),"",O8+180)</f>
        <v/>
      </c>
      <c r="X8" s="11" t="str">
        <f aca="false">IF(OR(I8="",I8&lt;8,O8=""),"",O8+210)</f>
        <v/>
      </c>
      <c r="Y8" s="11" t="str">
        <f aca="false">IF(OR(I8="",I8&lt;9,O8=""),"",O8+240)</f>
        <v/>
      </c>
      <c r="Z8" s="11" t="str">
        <f aca="false">IF(OR(I8="",I8&lt;10,O8=""),"",O8+270)</f>
        <v/>
      </c>
      <c r="AA8" s="11" t="str">
        <f aca="false">IF(OR(I8="",I8&lt;11,O8=""),"",O8+300)</f>
        <v/>
      </c>
      <c r="AB8" s="11" t="str">
        <f aca="false">IF(OR(I8="",I8&lt;12,O8=""),"",O8+330)</f>
        <v/>
      </c>
      <c r="AC8" s="11" t="str">
        <f aca="false">IF(OR(I8="",I8&lt;13,O8=""),"",O8+360)</f>
        <v/>
      </c>
      <c r="AD8" s="11" t="str">
        <f aca="false">IF(OR(I8="",I8&lt;14,O8=""),"",O8+390)</f>
        <v/>
      </c>
      <c r="AE8" s="11" t="str">
        <f aca="false">IF(OR(I8="",I8&lt;15,O8=""),"",O8+420)</f>
        <v/>
      </c>
      <c r="AF8" s="11" t="str">
        <f aca="false">IF(OR(I8="",I8&lt;16,O8=""),"",O8+450)</f>
        <v/>
      </c>
      <c r="AG8" s="11" t="str">
        <f aca="false">IF(OR(I8="",I8&lt;17,O8=""),"",O8+480)</f>
        <v/>
      </c>
      <c r="AH8" s="11" t="str">
        <f aca="false">IF(OR(I8="",I8&lt;18,O8=""),"",O8+510)</f>
        <v/>
      </c>
      <c r="AI8" s="11" t="str">
        <f aca="false">IF(OR(I8="",I8&lt;19,O8=""),"",O8+540)</f>
        <v/>
      </c>
      <c r="AJ8" s="11" t="str">
        <f aca="false">IF(OR(I8="",I8&lt;20,O8=""),"",O8+570)</f>
        <v/>
      </c>
      <c r="AK8" s="11" t="str">
        <f aca="false">IF(OR(I8="",I8&lt;21,O8=""),"",O8+600)</f>
        <v/>
      </c>
      <c r="AL8" s="11" t="str">
        <f aca="false">IF(OR(I8="",I8&lt;22,O8=""),"",O8+630)</f>
        <v/>
      </c>
      <c r="AM8" s="11" t="str">
        <f aca="false">IF(OR(I8="",I8&lt;23,O8=""),"",O8+660)</f>
        <v/>
      </c>
      <c r="AN8" s="11" t="str">
        <f aca="false">IF(OR(I8="",I8&lt;24,O8=""),"",O8+690)</f>
        <v/>
      </c>
      <c r="AO8" s="7" t="str">
        <f aca="false">IF(J8="","",COUNTIF(Q8:AN8,TRUE())*J8)</f>
        <v/>
      </c>
      <c r="AP8" s="7" t="str">
        <f aca="false">IF(K8="","",K8-AO8)</f>
        <v/>
      </c>
      <c r="AQ8" s="7" t="str">
        <f aca="false">IF(K8="","",K8-F8-IF(N8="",0,N8))</f>
        <v/>
      </c>
    </row>
    <row r="9" customFormat="false" ht="15" hidden="false" customHeight="false" outlineLevel="0" collapsed="false">
      <c r="A9" s="12"/>
      <c r="B9" s="12"/>
      <c r="C9" s="12"/>
      <c r="D9" s="13"/>
      <c r="E9" s="13"/>
      <c r="F9" s="14"/>
      <c r="G9" s="12"/>
      <c r="H9" s="12"/>
      <c r="I9" s="12"/>
      <c r="J9" s="14"/>
      <c r="K9" s="15" t="str">
        <f aca="false">IF(OR(I9="",J9=""),"",I9*J9)</f>
        <v/>
      </c>
      <c r="L9" s="12"/>
      <c r="M9" s="16"/>
      <c r="N9" s="15" t="str">
        <f aca="false">IF(OR(L9="",M9="",K9=""),"",IF(L9="GANANCIA",(K9-F9)*M9,IF(L9="BRUTO",K9*M9,"")))</f>
        <v/>
      </c>
      <c r="O9" s="17" t="str">
        <f aca="false">IF(D9="","",D9)</f>
        <v/>
      </c>
      <c r="P9" s="18" t="str">
        <f aca="false">IF(I9="","",IF(COUNTIF(Q9:AN9,TRUE())&gt;=I9,"PAGADO",IF(COUNTIF(Q9:AN9,TRUE())&gt;0,"PARCIAL","VIGENTE")))</f>
        <v/>
      </c>
      <c r="Q9" s="19" t="str">
        <f aca="false">IF(OR(I9="",I9&lt;1,O9=""),"",O9+0)</f>
        <v/>
      </c>
      <c r="R9" s="19" t="str">
        <f aca="false">IF(OR(I9="",I9&lt;2,O9=""),"",O9+30)</f>
        <v/>
      </c>
      <c r="S9" s="19" t="str">
        <f aca="false">IF(OR(I9="",I9&lt;3,O9=""),"",O9+60)</f>
        <v/>
      </c>
      <c r="T9" s="19" t="str">
        <f aca="false">IF(OR(I9="",I9&lt;4,O9=""),"",O9+90)</f>
        <v/>
      </c>
      <c r="U9" s="19" t="str">
        <f aca="false">IF(OR(I9="",I9&lt;5,O9=""),"",O9+120)</f>
        <v/>
      </c>
      <c r="V9" s="19" t="str">
        <f aca="false">IF(OR(I9="",I9&lt;6,O9=""),"",O9+150)</f>
        <v/>
      </c>
      <c r="W9" s="19" t="str">
        <f aca="false">IF(OR(I9="",I9&lt;7,O9=""),"",O9+180)</f>
        <v/>
      </c>
      <c r="X9" s="19" t="str">
        <f aca="false">IF(OR(I9="",I9&lt;8,O9=""),"",O9+210)</f>
        <v/>
      </c>
      <c r="Y9" s="19" t="str">
        <f aca="false">IF(OR(I9="",I9&lt;9,O9=""),"",O9+240)</f>
        <v/>
      </c>
      <c r="Z9" s="19" t="str">
        <f aca="false">IF(OR(I9="",I9&lt;10,O9=""),"",O9+270)</f>
        <v/>
      </c>
      <c r="AA9" s="19" t="str">
        <f aca="false">IF(OR(I9="",I9&lt;11,O9=""),"",O9+300)</f>
        <v/>
      </c>
      <c r="AB9" s="19" t="str">
        <f aca="false">IF(OR(I9="",I9&lt;12,O9=""),"",O9+330)</f>
        <v/>
      </c>
      <c r="AC9" s="19" t="str">
        <f aca="false">IF(OR(I9="",I9&lt;13,O9=""),"",O9+360)</f>
        <v/>
      </c>
      <c r="AD9" s="19" t="str">
        <f aca="false">IF(OR(I9="",I9&lt;14,O9=""),"",O9+390)</f>
        <v/>
      </c>
      <c r="AE9" s="19" t="str">
        <f aca="false">IF(OR(I9="",I9&lt;15,O9=""),"",O9+420)</f>
        <v/>
      </c>
      <c r="AF9" s="19" t="str">
        <f aca="false">IF(OR(I9="",I9&lt;16,O9=""),"",O9+450)</f>
        <v/>
      </c>
      <c r="AG9" s="19" t="str">
        <f aca="false">IF(OR(I9="",I9&lt;17,O9=""),"",O9+480)</f>
        <v/>
      </c>
      <c r="AH9" s="19" t="str">
        <f aca="false">IF(OR(I9="",I9&lt;18,O9=""),"",O9+510)</f>
        <v/>
      </c>
      <c r="AI9" s="19" t="str">
        <f aca="false">IF(OR(I9="",I9&lt;19,O9=""),"",O9+540)</f>
        <v/>
      </c>
      <c r="AJ9" s="19" t="str">
        <f aca="false">IF(OR(I9="",I9&lt;20,O9=""),"",O9+570)</f>
        <v/>
      </c>
      <c r="AK9" s="19" t="str">
        <f aca="false">IF(OR(I9="",I9&lt;21,O9=""),"",O9+600)</f>
        <v/>
      </c>
      <c r="AL9" s="19" t="str">
        <f aca="false">IF(OR(I9="",I9&lt;22,O9=""),"",O9+630)</f>
        <v/>
      </c>
      <c r="AM9" s="19" t="str">
        <f aca="false">IF(OR(I9="",I9&lt;23,O9=""),"",O9+660)</f>
        <v/>
      </c>
      <c r="AN9" s="19" t="str">
        <f aca="false">IF(OR(I9="",I9&lt;24,O9=""),"",O9+690)</f>
        <v/>
      </c>
      <c r="AO9" s="15" t="str">
        <f aca="false">IF(J9="","",COUNTIF(Q9:AN9,TRUE())*J9)</f>
        <v/>
      </c>
      <c r="AP9" s="15" t="str">
        <f aca="false">IF(K9="","",K9-AO9)</f>
        <v/>
      </c>
      <c r="AQ9" s="15" t="str">
        <f aca="false">IF(K9="","",K9-F9-IF(N9="",0,N9))</f>
        <v/>
      </c>
    </row>
    <row r="10" customFormat="false" ht="15" hidden="false" customHeight="false" outlineLevel="0" collapsed="false">
      <c r="A10" s="4"/>
      <c r="B10" s="4"/>
      <c r="C10" s="4"/>
      <c r="D10" s="5"/>
      <c r="E10" s="5"/>
      <c r="F10" s="6"/>
      <c r="G10" s="4"/>
      <c r="H10" s="4"/>
      <c r="I10" s="4"/>
      <c r="J10" s="6"/>
      <c r="K10" s="7" t="str">
        <f aca="false">IF(OR(I10="",J10=""),"",I10*J10)</f>
        <v/>
      </c>
      <c r="L10" s="4"/>
      <c r="M10" s="8"/>
      <c r="N10" s="7" t="str">
        <f aca="false">IF(OR(L10="",M10="",K10=""),"",IF(L10="GANANCIA",(K10-F10)*M10,IF(L10="BRUTO",K10*M10,"")))</f>
        <v/>
      </c>
      <c r="O10" s="9" t="str">
        <f aca="false">IF(D10="","",D10)</f>
        <v/>
      </c>
      <c r="P10" s="10" t="str">
        <f aca="false">IF(I10="","",IF(COUNTIF(Q10:AN10,TRUE())&gt;=I10,"PAGADO",IF(COUNTIF(Q10:AN10,TRUE())&gt;0,"PARCIAL","VIGENTE")))</f>
        <v/>
      </c>
      <c r="Q10" s="11" t="str">
        <f aca="false">IF(OR(I10="",I10&lt;1,O10=""),"",O10+0)</f>
        <v/>
      </c>
      <c r="R10" s="11" t="str">
        <f aca="false">IF(OR(I10="",I10&lt;2,O10=""),"",O10+30)</f>
        <v/>
      </c>
      <c r="S10" s="11" t="str">
        <f aca="false">IF(OR(I10="",I10&lt;3,O10=""),"",O10+60)</f>
        <v/>
      </c>
      <c r="T10" s="11" t="str">
        <f aca="false">IF(OR(I10="",I10&lt;4,O10=""),"",O10+90)</f>
        <v/>
      </c>
      <c r="U10" s="11" t="str">
        <f aca="false">IF(OR(I10="",I10&lt;5,O10=""),"",O10+120)</f>
        <v/>
      </c>
      <c r="V10" s="11" t="str">
        <f aca="false">IF(OR(I10="",I10&lt;6,O10=""),"",O10+150)</f>
        <v/>
      </c>
      <c r="W10" s="11" t="str">
        <f aca="false">IF(OR(I10="",I10&lt;7,O10=""),"",O10+180)</f>
        <v/>
      </c>
      <c r="X10" s="11" t="str">
        <f aca="false">IF(OR(I10="",I10&lt;8,O10=""),"",O10+210)</f>
        <v/>
      </c>
      <c r="Y10" s="11" t="str">
        <f aca="false">IF(OR(I10="",I10&lt;9,O10=""),"",O10+240)</f>
        <v/>
      </c>
      <c r="Z10" s="11" t="str">
        <f aca="false">IF(OR(I10="",I10&lt;10,O10=""),"",O10+270)</f>
        <v/>
      </c>
      <c r="AA10" s="11" t="str">
        <f aca="false">IF(OR(I10="",I10&lt;11,O10=""),"",O10+300)</f>
        <v/>
      </c>
      <c r="AB10" s="11" t="str">
        <f aca="false">IF(OR(I10="",I10&lt;12,O10=""),"",O10+330)</f>
        <v/>
      </c>
      <c r="AC10" s="11" t="str">
        <f aca="false">IF(OR(I10="",I10&lt;13,O10=""),"",O10+360)</f>
        <v/>
      </c>
      <c r="AD10" s="11" t="str">
        <f aca="false">IF(OR(I10="",I10&lt;14,O10=""),"",O10+390)</f>
        <v/>
      </c>
      <c r="AE10" s="11" t="str">
        <f aca="false">IF(OR(I10="",I10&lt;15,O10=""),"",O10+420)</f>
        <v/>
      </c>
      <c r="AF10" s="11" t="str">
        <f aca="false">IF(OR(I10="",I10&lt;16,O10=""),"",O10+450)</f>
        <v/>
      </c>
      <c r="AG10" s="11" t="str">
        <f aca="false">IF(OR(I10="",I10&lt;17,O10=""),"",O10+480)</f>
        <v/>
      </c>
      <c r="AH10" s="11" t="str">
        <f aca="false">IF(OR(I10="",I10&lt;18,O10=""),"",O10+510)</f>
        <v/>
      </c>
      <c r="AI10" s="11" t="str">
        <f aca="false">IF(OR(I10="",I10&lt;19,O10=""),"",O10+540)</f>
        <v/>
      </c>
      <c r="AJ10" s="11" t="str">
        <f aca="false">IF(OR(I10="",I10&lt;20,O10=""),"",O10+570)</f>
        <v/>
      </c>
      <c r="AK10" s="11" t="str">
        <f aca="false">IF(OR(I10="",I10&lt;21,O10=""),"",O10+600)</f>
        <v/>
      </c>
      <c r="AL10" s="11" t="str">
        <f aca="false">IF(OR(I10="",I10&lt;22,O10=""),"",O10+630)</f>
        <v/>
      </c>
      <c r="AM10" s="11" t="str">
        <f aca="false">IF(OR(I10="",I10&lt;23,O10=""),"",O10+660)</f>
        <v/>
      </c>
      <c r="AN10" s="11" t="str">
        <f aca="false">IF(OR(I10="",I10&lt;24,O10=""),"",O10+690)</f>
        <v/>
      </c>
      <c r="AO10" s="7" t="str">
        <f aca="false">IF(J10="","",COUNTIF(Q10:AN10,TRUE())*J10)</f>
        <v/>
      </c>
      <c r="AP10" s="7" t="str">
        <f aca="false">IF(K10="","",K10-AO10)</f>
        <v/>
      </c>
      <c r="AQ10" s="7" t="str">
        <f aca="false">IF(K10="","",K10-F10-IF(N10="",0,N10))</f>
        <v/>
      </c>
    </row>
    <row r="11" customFormat="false" ht="15" hidden="false" customHeight="false" outlineLevel="0" collapsed="false">
      <c r="A11" s="12"/>
      <c r="B11" s="12"/>
      <c r="C11" s="12"/>
      <c r="D11" s="13"/>
      <c r="E11" s="13"/>
      <c r="F11" s="14"/>
      <c r="G11" s="12"/>
      <c r="H11" s="12"/>
      <c r="I11" s="12"/>
      <c r="J11" s="14"/>
      <c r="K11" s="15" t="str">
        <f aca="false">IF(OR(I11="",J11=""),"",I11*J11)</f>
        <v/>
      </c>
      <c r="L11" s="12"/>
      <c r="M11" s="16"/>
      <c r="N11" s="15" t="str">
        <f aca="false">IF(OR(L11="",M11="",K11=""),"",IF(L11="GANANCIA",(K11-F11)*M11,IF(L11="BRUTO",K11*M11,"")))</f>
        <v/>
      </c>
      <c r="O11" s="17" t="str">
        <f aca="false">IF(D11="","",D11)</f>
        <v/>
      </c>
      <c r="P11" s="18" t="str">
        <f aca="false">IF(I11="","",IF(COUNTIF(Q11:AN11,TRUE())&gt;=I11,"PAGADO",IF(COUNTIF(Q11:AN11,TRUE())&gt;0,"PARCIAL","VIGENTE")))</f>
        <v/>
      </c>
      <c r="Q11" s="19" t="str">
        <f aca="false">IF(OR(I11="",I11&lt;1,O11=""),"",O11+0)</f>
        <v/>
      </c>
      <c r="R11" s="19" t="str">
        <f aca="false">IF(OR(I11="",I11&lt;2,O11=""),"",O11+30)</f>
        <v/>
      </c>
      <c r="S11" s="19" t="str">
        <f aca="false">IF(OR(I11="",I11&lt;3,O11=""),"",O11+60)</f>
        <v/>
      </c>
      <c r="T11" s="19" t="str">
        <f aca="false">IF(OR(I11="",I11&lt;4,O11=""),"",O11+90)</f>
        <v/>
      </c>
      <c r="U11" s="19" t="str">
        <f aca="false">IF(OR(I11="",I11&lt;5,O11=""),"",O11+120)</f>
        <v/>
      </c>
      <c r="V11" s="19" t="str">
        <f aca="false">IF(OR(I11="",I11&lt;6,O11=""),"",O11+150)</f>
        <v/>
      </c>
      <c r="W11" s="19" t="str">
        <f aca="false">IF(OR(I11="",I11&lt;7,O11=""),"",O11+180)</f>
        <v/>
      </c>
      <c r="X11" s="19" t="str">
        <f aca="false">IF(OR(I11="",I11&lt;8,O11=""),"",O11+210)</f>
        <v/>
      </c>
      <c r="Y11" s="19" t="str">
        <f aca="false">IF(OR(I11="",I11&lt;9,O11=""),"",O11+240)</f>
        <v/>
      </c>
      <c r="Z11" s="19" t="str">
        <f aca="false">IF(OR(I11="",I11&lt;10,O11=""),"",O11+270)</f>
        <v/>
      </c>
      <c r="AA11" s="19" t="str">
        <f aca="false">IF(OR(I11="",I11&lt;11,O11=""),"",O11+300)</f>
        <v/>
      </c>
      <c r="AB11" s="19" t="str">
        <f aca="false">IF(OR(I11="",I11&lt;12,O11=""),"",O11+330)</f>
        <v/>
      </c>
      <c r="AC11" s="19" t="str">
        <f aca="false">IF(OR(I11="",I11&lt;13,O11=""),"",O11+360)</f>
        <v/>
      </c>
      <c r="AD11" s="19" t="str">
        <f aca="false">IF(OR(I11="",I11&lt;14,O11=""),"",O11+390)</f>
        <v/>
      </c>
      <c r="AE11" s="19" t="str">
        <f aca="false">IF(OR(I11="",I11&lt;15,O11=""),"",O11+420)</f>
        <v/>
      </c>
      <c r="AF11" s="19" t="str">
        <f aca="false">IF(OR(I11="",I11&lt;16,O11=""),"",O11+450)</f>
        <v/>
      </c>
      <c r="AG11" s="19" t="str">
        <f aca="false">IF(OR(I11="",I11&lt;17,O11=""),"",O11+480)</f>
        <v/>
      </c>
      <c r="AH11" s="19" t="str">
        <f aca="false">IF(OR(I11="",I11&lt;18,O11=""),"",O11+510)</f>
        <v/>
      </c>
      <c r="AI11" s="19" t="str">
        <f aca="false">IF(OR(I11="",I11&lt;19,O11=""),"",O11+540)</f>
        <v/>
      </c>
      <c r="AJ11" s="19" t="str">
        <f aca="false">IF(OR(I11="",I11&lt;20,O11=""),"",O11+570)</f>
        <v/>
      </c>
      <c r="AK11" s="19" t="str">
        <f aca="false">IF(OR(I11="",I11&lt;21,O11=""),"",O11+600)</f>
        <v/>
      </c>
      <c r="AL11" s="19" t="str">
        <f aca="false">IF(OR(I11="",I11&lt;22,O11=""),"",O11+630)</f>
        <v/>
      </c>
      <c r="AM11" s="19" t="str">
        <f aca="false">IF(OR(I11="",I11&lt;23,O11=""),"",O11+660)</f>
        <v/>
      </c>
      <c r="AN11" s="19" t="str">
        <f aca="false">IF(OR(I11="",I11&lt;24,O11=""),"",O11+690)</f>
        <v/>
      </c>
      <c r="AO11" s="15" t="str">
        <f aca="false">IF(J11="","",COUNTIF(Q11:AN11,TRUE())*J11)</f>
        <v/>
      </c>
      <c r="AP11" s="15" t="str">
        <f aca="false">IF(K11="","",K11-AO11)</f>
        <v/>
      </c>
      <c r="AQ11" s="15" t="str">
        <f aca="false">IF(K11="","",K11-F11-IF(N11="",0,N11))</f>
        <v/>
      </c>
    </row>
    <row r="12" customFormat="false" ht="15" hidden="false" customHeight="false" outlineLevel="0" collapsed="false">
      <c r="A12" s="4"/>
      <c r="B12" s="4"/>
      <c r="C12" s="4"/>
      <c r="D12" s="5"/>
      <c r="E12" s="5"/>
      <c r="F12" s="6"/>
      <c r="G12" s="4"/>
      <c r="H12" s="4"/>
      <c r="I12" s="4"/>
      <c r="J12" s="6"/>
      <c r="K12" s="7" t="str">
        <f aca="false">IF(OR(I12="",J12=""),"",I12*J12)</f>
        <v/>
      </c>
      <c r="L12" s="4"/>
      <c r="M12" s="8"/>
      <c r="N12" s="7" t="str">
        <f aca="false">IF(OR(L12="",M12="",K12=""),"",IF(L12="GANANCIA",(K12-F12)*M12,IF(L12="BRUTO",K12*M12,"")))</f>
        <v/>
      </c>
      <c r="O12" s="9" t="str">
        <f aca="false">IF(D12="","",D12)</f>
        <v/>
      </c>
      <c r="P12" s="10" t="str">
        <f aca="false">IF(I12="","",IF(COUNTIF(Q12:AN12,TRUE())&gt;=I12,"PAGADO",IF(COUNTIF(Q12:AN12,TRUE())&gt;0,"PARCIAL","VIGENTE")))</f>
        <v/>
      </c>
      <c r="Q12" s="11" t="str">
        <f aca="false">IF(OR(I12="",I12&lt;1,O12=""),"",O12+0)</f>
        <v/>
      </c>
      <c r="R12" s="11" t="str">
        <f aca="false">IF(OR(I12="",I12&lt;2,O12=""),"",O12+30)</f>
        <v/>
      </c>
      <c r="S12" s="11" t="str">
        <f aca="false">IF(OR(I12="",I12&lt;3,O12=""),"",O12+60)</f>
        <v/>
      </c>
      <c r="T12" s="11" t="str">
        <f aca="false">IF(OR(I12="",I12&lt;4,O12=""),"",O12+90)</f>
        <v/>
      </c>
      <c r="U12" s="11" t="str">
        <f aca="false">IF(OR(I12="",I12&lt;5,O12=""),"",O12+120)</f>
        <v/>
      </c>
      <c r="V12" s="11" t="str">
        <f aca="false">IF(OR(I12="",I12&lt;6,O12=""),"",O12+150)</f>
        <v/>
      </c>
      <c r="W12" s="11" t="str">
        <f aca="false">IF(OR(I12="",I12&lt;7,O12=""),"",O12+180)</f>
        <v/>
      </c>
      <c r="X12" s="11" t="str">
        <f aca="false">IF(OR(I12="",I12&lt;8,O12=""),"",O12+210)</f>
        <v/>
      </c>
      <c r="Y12" s="11" t="str">
        <f aca="false">IF(OR(I12="",I12&lt;9,O12=""),"",O12+240)</f>
        <v/>
      </c>
      <c r="Z12" s="11" t="str">
        <f aca="false">IF(OR(I12="",I12&lt;10,O12=""),"",O12+270)</f>
        <v/>
      </c>
      <c r="AA12" s="11" t="str">
        <f aca="false">IF(OR(I12="",I12&lt;11,O12=""),"",O12+300)</f>
        <v/>
      </c>
      <c r="AB12" s="11" t="str">
        <f aca="false">IF(OR(I12="",I12&lt;12,O12=""),"",O12+330)</f>
        <v/>
      </c>
      <c r="AC12" s="11" t="str">
        <f aca="false">IF(OR(I12="",I12&lt;13,O12=""),"",O12+360)</f>
        <v/>
      </c>
      <c r="AD12" s="11" t="str">
        <f aca="false">IF(OR(I12="",I12&lt;14,O12=""),"",O12+390)</f>
        <v/>
      </c>
      <c r="AE12" s="11" t="str">
        <f aca="false">IF(OR(I12="",I12&lt;15,O12=""),"",O12+420)</f>
        <v/>
      </c>
      <c r="AF12" s="11" t="str">
        <f aca="false">IF(OR(I12="",I12&lt;16,O12=""),"",O12+450)</f>
        <v/>
      </c>
      <c r="AG12" s="11" t="str">
        <f aca="false">IF(OR(I12="",I12&lt;17,O12=""),"",O12+480)</f>
        <v/>
      </c>
      <c r="AH12" s="11" t="str">
        <f aca="false">IF(OR(I12="",I12&lt;18,O12=""),"",O12+510)</f>
        <v/>
      </c>
      <c r="AI12" s="11" t="str">
        <f aca="false">IF(OR(I12="",I12&lt;19,O12=""),"",O12+540)</f>
        <v/>
      </c>
      <c r="AJ12" s="11" t="str">
        <f aca="false">IF(OR(I12="",I12&lt;20,O12=""),"",O12+570)</f>
        <v/>
      </c>
      <c r="AK12" s="11" t="str">
        <f aca="false">IF(OR(I12="",I12&lt;21,O12=""),"",O12+600)</f>
        <v/>
      </c>
      <c r="AL12" s="11" t="str">
        <f aca="false">IF(OR(I12="",I12&lt;22,O12=""),"",O12+630)</f>
        <v/>
      </c>
      <c r="AM12" s="11" t="str">
        <f aca="false">IF(OR(I12="",I12&lt;23,O12=""),"",O12+660)</f>
        <v/>
      </c>
      <c r="AN12" s="11" t="str">
        <f aca="false">IF(OR(I12="",I12&lt;24,O12=""),"",O12+690)</f>
        <v/>
      </c>
      <c r="AO12" s="7" t="str">
        <f aca="false">IF(J12="","",COUNTIF(Q12:AN12,TRUE())*J12)</f>
        <v/>
      </c>
      <c r="AP12" s="7" t="str">
        <f aca="false">IF(K12="","",K12-AO12)</f>
        <v/>
      </c>
      <c r="AQ12" s="7" t="str">
        <f aca="false">IF(K12="","",K12-F12-IF(N12="",0,N12))</f>
        <v/>
      </c>
    </row>
    <row r="13" customFormat="false" ht="15" hidden="false" customHeight="false" outlineLevel="0" collapsed="false">
      <c r="A13" s="12"/>
      <c r="B13" s="12"/>
      <c r="C13" s="12"/>
      <c r="D13" s="13"/>
      <c r="E13" s="13"/>
      <c r="F13" s="14"/>
      <c r="G13" s="12"/>
      <c r="H13" s="12"/>
      <c r="I13" s="12"/>
      <c r="J13" s="14"/>
      <c r="K13" s="15" t="str">
        <f aca="false">IF(OR(I13="",J13=""),"",I13*J13)</f>
        <v/>
      </c>
      <c r="L13" s="12"/>
      <c r="M13" s="16"/>
      <c r="N13" s="15" t="str">
        <f aca="false">IF(OR(L13="",M13="",K13=""),"",IF(L13="GANANCIA",(K13-F13)*M13,IF(L13="BRUTO",K13*M13,"")))</f>
        <v/>
      </c>
      <c r="O13" s="17" t="str">
        <f aca="false">IF(D13="","",D13)</f>
        <v/>
      </c>
      <c r="P13" s="18" t="str">
        <f aca="false">IF(I13="","",IF(COUNTIF(Q13:AN13,TRUE())&gt;=I13,"PAGADO",IF(COUNTIF(Q13:AN13,TRUE())&gt;0,"PARCIAL","VIGENTE")))</f>
        <v/>
      </c>
      <c r="Q13" s="19" t="str">
        <f aca="false">IF(OR(I13="",I13&lt;1,O13=""),"",O13+0)</f>
        <v/>
      </c>
      <c r="R13" s="19" t="str">
        <f aca="false">IF(OR(I13="",I13&lt;2,O13=""),"",O13+30)</f>
        <v/>
      </c>
      <c r="S13" s="19" t="str">
        <f aca="false">IF(OR(I13="",I13&lt;3,O13=""),"",O13+60)</f>
        <v/>
      </c>
      <c r="T13" s="19" t="str">
        <f aca="false">IF(OR(I13="",I13&lt;4,O13=""),"",O13+90)</f>
        <v/>
      </c>
      <c r="U13" s="19" t="str">
        <f aca="false">IF(OR(I13="",I13&lt;5,O13=""),"",O13+120)</f>
        <v/>
      </c>
      <c r="V13" s="19" t="str">
        <f aca="false">IF(OR(I13="",I13&lt;6,O13=""),"",O13+150)</f>
        <v/>
      </c>
      <c r="W13" s="19" t="str">
        <f aca="false">IF(OR(I13="",I13&lt;7,O13=""),"",O13+180)</f>
        <v/>
      </c>
      <c r="X13" s="19" t="str">
        <f aca="false">IF(OR(I13="",I13&lt;8,O13=""),"",O13+210)</f>
        <v/>
      </c>
      <c r="Y13" s="19" t="str">
        <f aca="false">IF(OR(I13="",I13&lt;9,O13=""),"",O13+240)</f>
        <v/>
      </c>
      <c r="Z13" s="19" t="str">
        <f aca="false">IF(OR(I13="",I13&lt;10,O13=""),"",O13+270)</f>
        <v/>
      </c>
      <c r="AA13" s="19" t="str">
        <f aca="false">IF(OR(I13="",I13&lt;11,O13=""),"",O13+300)</f>
        <v/>
      </c>
      <c r="AB13" s="19" t="str">
        <f aca="false">IF(OR(I13="",I13&lt;12,O13=""),"",O13+330)</f>
        <v/>
      </c>
      <c r="AC13" s="19" t="str">
        <f aca="false">IF(OR(I13="",I13&lt;13,O13=""),"",O13+360)</f>
        <v/>
      </c>
      <c r="AD13" s="19" t="str">
        <f aca="false">IF(OR(I13="",I13&lt;14,O13=""),"",O13+390)</f>
        <v/>
      </c>
      <c r="AE13" s="19" t="str">
        <f aca="false">IF(OR(I13="",I13&lt;15,O13=""),"",O13+420)</f>
        <v/>
      </c>
      <c r="AF13" s="19" t="str">
        <f aca="false">IF(OR(I13="",I13&lt;16,O13=""),"",O13+450)</f>
        <v/>
      </c>
      <c r="AG13" s="19" t="str">
        <f aca="false">IF(OR(I13="",I13&lt;17,O13=""),"",O13+480)</f>
        <v/>
      </c>
      <c r="AH13" s="19" t="str">
        <f aca="false">IF(OR(I13="",I13&lt;18,O13=""),"",O13+510)</f>
        <v/>
      </c>
      <c r="AI13" s="19" t="str">
        <f aca="false">IF(OR(I13="",I13&lt;19,O13=""),"",O13+540)</f>
        <v/>
      </c>
      <c r="AJ13" s="19" t="str">
        <f aca="false">IF(OR(I13="",I13&lt;20,O13=""),"",O13+570)</f>
        <v/>
      </c>
      <c r="AK13" s="19" t="str">
        <f aca="false">IF(OR(I13="",I13&lt;21,O13=""),"",O13+600)</f>
        <v/>
      </c>
      <c r="AL13" s="19" t="str">
        <f aca="false">IF(OR(I13="",I13&lt;22,O13=""),"",O13+630)</f>
        <v/>
      </c>
      <c r="AM13" s="19" t="str">
        <f aca="false">IF(OR(I13="",I13&lt;23,O13=""),"",O13+660)</f>
        <v/>
      </c>
      <c r="AN13" s="19" t="str">
        <f aca="false">IF(OR(I13="",I13&lt;24,O13=""),"",O13+690)</f>
        <v/>
      </c>
      <c r="AO13" s="15" t="str">
        <f aca="false">IF(J13="","",COUNTIF(Q13:AN13,TRUE())*J13)</f>
        <v/>
      </c>
      <c r="AP13" s="15" t="str">
        <f aca="false">IF(K13="","",K13-AO13)</f>
        <v/>
      </c>
      <c r="AQ13" s="15" t="str">
        <f aca="false">IF(K13="","",K13-F13-IF(N13="",0,N13))</f>
        <v/>
      </c>
    </row>
    <row r="14" customFormat="false" ht="15" hidden="false" customHeight="false" outlineLevel="0" collapsed="false">
      <c r="A14" s="4"/>
      <c r="B14" s="4"/>
      <c r="C14" s="4"/>
      <c r="D14" s="5"/>
      <c r="E14" s="5"/>
      <c r="F14" s="6"/>
      <c r="G14" s="4"/>
      <c r="H14" s="4"/>
      <c r="I14" s="4"/>
      <c r="J14" s="6"/>
      <c r="K14" s="7" t="str">
        <f aca="false">IF(OR(I14="",J14=""),"",I14*J14)</f>
        <v/>
      </c>
      <c r="L14" s="4"/>
      <c r="M14" s="8"/>
      <c r="N14" s="7" t="str">
        <f aca="false">IF(OR(L14="",M14="",K14=""),"",IF(L14="GANANCIA",(K14-F14)*M14,IF(L14="BRUTO",K14*M14,"")))</f>
        <v/>
      </c>
      <c r="O14" s="9" t="str">
        <f aca="false">IF(D14="","",D14)</f>
        <v/>
      </c>
      <c r="P14" s="10" t="str">
        <f aca="false">IF(I14="","",IF(COUNTIF(Q14:AN14,TRUE())&gt;=I14,"PAGADO",IF(COUNTIF(Q14:AN14,TRUE())&gt;0,"PARCIAL","VIGENTE")))</f>
        <v/>
      </c>
      <c r="Q14" s="11" t="str">
        <f aca="false">IF(OR(I14="",I14&lt;1,O14=""),"",O14+0)</f>
        <v/>
      </c>
      <c r="R14" s="11" t="str">
        <f aca="false">IF(OR(I14="",I14&lt;2,O14=""),"",O14+30)</f>
        <v/>
      </c>
      <c r="S14" s="11" t="str">
        <f aca="false">IF(OR(I14="",I14&lt;3,O14=""),"",O14+60)</f>
        <v/>
      </c>
      <c r="T14" s="11" t="str">
        <f aca="false">IF(OR(I14="",I14&lt;4,O14=""),"",O14+90)</f>
        <v/>
      </c>
      <c r="U14" s="11" t="str">
        <f aca="false">IF(OR(I14="",I14&lt;5,O14=""),"",O14+120)</f>
        <v/>
      </c>
      <c r="V14" s="11" t="str">
        <f aca="false">IF(OR(I14="",I14&lt;6,O14=""),"",O14+150)</f>
        <v/>
      </c>
      <c r="W14" s="11" t="str">
        <f aca="false">IF(OR(I14="",I14&lt;7,O14=""),"",O14+180)</f>
        <v/>
      </c>
      <c r="X14" s="11" t="str">
        <f aca="false">IF(OR(I14="",I14&lt;8,O14=""),"",O14+210)</f>
        <v/>
      </c>
      <c r="Y14" s="11" t="str">
        <f aca="false">IF(OR(I14="",I14&lt;9,O14=""),"",O14+240)</f>
        <v/>
      </c>
      <c r="Z14" s="11" t="str">
        <f aca="false">IF(OR(I14="",I14&lt;10,O14=""),"",O14+270)</f>
        <v/>
      </c>
      <c r="AA14" s="11" t="str">
        <f aca="false">IF(OR(I14="",I14&lt;11,O14=""),"",O14+300)</f>
        <v/>
      </c>
      <c r="AB14" s="11" t="str">
        <f aca="false">IF(OR(I14="",I14&lt;12,O14=""),"",O14+330)</f>
        <v/>
      </c>
      <c r="AC14" s="11" t="str">
        <f aca="false">IF(OR(I14="",I14&lt;13,O14=""),"",O14+360)</f>
        <v/>
      </c>
      <c r="AD14" s="11" t="str">
        <f aca="false">IF(OR(I14="",I14&lt;14,O14=""),"",O14+390)</f>
        <v/>
      </c>
      <c r="AE14" s="11" t="str">
        <f aca="false">IF(OR(I14="",I14&lt;15,O14=""),"",O14+420)</f>
        <v/>
      </c>
      <c r="AF14" s="11" t="str">
        <f aca="false">IF(OR(I14="",I14&lt;16,O14=""),"",O14+450)</f>
        <v/>
      </c>
      <c r="AG14" s="11" t="str">
        <f aca="false">IF(OR(I14="",I14&lt;17,O14=""),"",O14+480)</f>
        <v/>
      </c>
      <c r="AH14" s="11" t="str">
        <f aca="false">IF(OR(I14="",I14&lt;18,O14=""),"",O14+510)</f>
        <v/>
      </c>
      <c r="AI14" s="11" t="str">
        <f aca="false">IF(OR(I14="",I14&lt;19,O14=""),"",O14+540)</f>
        <v/>
      </c>
      <c r="AJ14" s="11" t="str">
        <f aca="false">IF(OR(I14="",I14&lt;20,O14=""),"",O14+570)</f>
        <v/>
      </c>
      <c r="AK14" s="11" t="str">
        <f aca="false">IF(OR(I14="",I14&lt;21,O14=""),"",O14+600)</f>
        <v/>
      </c>
      <c r="AL14" s="11" t="str">
        <f aca="false">IF(OR(I14="",I14&lt;22,O14=""),"",O14+630)</f>
        <v/>
      </c>
      <c r="AM14" s="11" t="str">
        <f aca="false">IF(OR(I14="",I14&lt;23,O14=""),"",O14+660)</f>
        <v/>
      </c>
      <c r="AN14" s="11" t="str">
        <f aca="false">IF(OR(I14="",I14&lt;24,O14=""),"",O14+690)</f>
        <v/>
      </c>
      <c r="AO14" s="7" t="str">
        <f aca="false">IF(J14="","",COUNTIF(Q14:AN14,TRUE())*J14)</f>
        <v/>
      </c>
      <c r="AP14" s="7" t="str">
        <f aca="false">IF(K14="","",K14-AO14)</f>
        <v/>
      </c>
      <c r="AQ14" s="7" t="str">
        <f aca="false">IF(K14="","",K14-F14-IF(N14="",0,N14))</f>
        <v/>
      </c>
    </row>
    <row r="15" customFormat="false" ht="15" hidden="false" customHeight="false" outlineLevel="0" collapsed="false">
      <c r="A15" s="12"/>
      <c r="B15" s="12"/>
      <c r="C15" s="12"/>
      <c r="D15" s="13"/>
      <c r="E15" s="13"/>
      <c r="F15" s="14"/>
      <c r="G15" s="12"/>
      <c r="H15" s="12"/>
      <c r="I15" s="12"/>
      <c r="J15" s="14"/>
      <c r="K15" s="15" t="str">
        <f aca="false">IF(OR(I15="",J15=""),"",I15*J15)</f>
        <v/>
      </c>
      <c r="L15" s="12"/>
      <c r="M15" s="16"/>
      <c r="N15" s="15" t="str">
        <f aca="false">IF(OR(L15="",M15="",K15=""),"",IF(L15="GANANCIA",(K15-F15)*M15,IF(L15="BRUTO",K15*M15,"")))</f>
        <v/>
      </c>
      <c r="O15" s="17" t="str">
        <f aca="false">IF(D15="","",D15)</f>
        <v/>
      </c>
      <c r="P15" s="18" t="str">
        <f aca="false">IF(I15="","",IF(COUNTIF(Q15:AN15,TRUE())&gt;=I15,"PAGADO",IF(COUNTIF(Q15:AN15,TRUE())&gt;0,"PARCIAL","VIGENTE")))</f>
        <v/>
      </c>
      <c r="Q15" s="19" t="str">
        <f aca="false">IF(OR(I15="",I15&lt;1,O15=""),"",O15+0)</f>
        <v/>
      </c>
      <c r="R15" s="19" t="str">
        <f aca="false">IF(OR(I15="",I15&lt;2,O15=""),"",O15+30)</f>
        <v/>
      </c>
      <c r="S15" s="19" t="str">
        <f aca="false">IF(OR(I15="",I15&lt;3,O15=""),"",O15+60)</f>
        <v/>
      </c>
      <c r="T15" s="19" t="str">
        <f aca="false">IF(OR(I15="",I15&lt;4,O15=""),"",O15+90)</f>
        <v/>
      </c>
      <c r="U15" s="19" t="str">
        <f aca="false">IF(OR(I15="",I15&lt;5,O15=""),"",O15+120)</f>
        <v/>
      </c>
      <c r="V15" s="19" t="str">
        <f aca="false">IF(OR(I15="",I15&lt;6,O15=""),"",O15+150)</f>
        <v/>
      </c>
      <c r="W15" s="19" t="str">
        <f aca="false">IF(OR(I15="",I15&lt;7,O15=""),"",O15+180)</f>
        <v/>
      </c>
      <c r="X15" s="19" t="str">
        <f aca="false">IF(OR(I15="",I15&lt;8,O15=""),"",O15+210)</f>
        <v/>
      </c>
      <c r="Y15" s="19" t="str">
        <f aca="false">IF(OR(I15="",I15&lt;9,O15=""),"",O15+240)</f>
        <v/>
      </c>
      <c r="Z15" s="19" t="str">
        <f aca="false">IF(OR(I15="",I15&lt;10,O15=""),"",O15+270)</f>
        <v/>
      </c>
      <c r="AA15" s="19" t="str">
        <f aca="false">IF(OR(I15="",I15&lt;11,O15=""),"",O15+300)</f>
        <v/>
      </c>
      <c r="AB15" s="19" t="str">
        <f aca="false">IF(OR(I15="",I15&lt;12,O15=""),"",O15+330)</f>
        <v/>
      </c>
      <c r="AC15" s="19" t="str">
        <f aca="false">IF(OR(I15="",I15&lt;13,O15=""),"",O15+360)</f>
        <v/>
      </c>
      <c r="AD15" s="19" t="str">
        <f aca="false">IF(OR(I15="",I15&lt;14,O15=""),"",O15+390)</f>
        <v/>
      </c>
      <c r="AE15" s="19" t="str">
        <f aca="false">IF(OR(I15="",I15&lt;15,O15=""),"",O15+420)</f>
        <v/>
      </c>
      <c r="AF15" s="19" t="str">
        <f aca="false">IF(OR(I15="",I15&lt;16,O15=""),"",O15+450)</f>
        <v/>
      </c>
      <c r="AG15" s="19" t="str">
        <f aca="false">IF(OR(I15="",I15&lt;17,O15=""),"",O15+480)</f>
        <v/>
      </c>
      <c r="AH15" s="19" t="str">
        <f aca="false">IF(OR(I15="",I15&lt;18,O15=""),"",O15+510)</f>
        <v/>
      </c>
      <c r="AI15" s="19" t="str">
        <f aca="false">IF(OR(I15="",I15&lt;19,O15=""),"",O15+540)</f>
        <v/>
      </c>
      <c r="AJ15" s="19" t="str">
        <f aca="false">IF(OR(I15="",I15&lt;20,O15=""),"",O15+570)</f>
        <v/>
      </c>
      <c r="AK15" s="19" t="str">
        <f aca="false">IF(OR(I15="",I15&lt;21,O15=""),"",O15+600)</f>
        <v/>
      </c>
      <c r="AL15" s="19" t="str">
        <f aca="false">IF(OR(I15="",I15&lt;22,O15=""),"",O15+630)</f>
        <v/>
      </c>
      <c r="AM15" s="19" t="str">
        <f aca="false">IF(OR(I15="",I15&lt;23,O15=""),"",O15+660)</f>
        <v/>
      </c>
      <c r="AN15" s="19" t="str">
        <f aca="false">IF(OR(I15="",I15&lt;24,O15=""),"",O15+690)</f>
        <v/>
      </c>
      <c r="AO15" s="15" t="str">
        <f aca="false">IF(J15="","",COUNTIF(Q15:AN15,TRUE())*J15)</f>
        <v/>
      </c>
      <c r="AP15" s="15" t="str">
        <f aca="false">IF(K15="","",K15-AO15)</f>
        <v/>
      </c>
      <c r="AQ15" s="15" t="str">
        <f aca="false">IF(K15="","",K15-F15-IF(N15="",0,N15))</f>
        <v/>
      </c>
    </row>
    <row r="16" customFormat="false" ht="15" hidden="false" customHeight="false" outlineLevel="0" collapsed="false">
      <c r="A16" s="4"/>
      <c r="B16" s="4"/>
      <c r="C16" s="4"/>
      <c r="D16" s="5"/>
      <c r="E16" s="5"/>
      <c r="F16" s="6"/>
      <c r="G16" s="4"/>
      <c r="H16" s="4"/>
      <c r="I16" s="4"/>
      <c r="J16" s="6"/>
      <c r="K16" s="7" t="str">
        <f aca="false">IF(OR(I16="",J16=""),"",I16*J16)</f>
        <v/>
      </c>
      <c r="L16" s="4"/>
      <c r="M16" s="8"/>
      <c r="N16" s="7" t="str">
        <f aca="false">IF(OR(L16="",M16="",K16=""),"",IF(L16="GANANCIA",(K16-F16)*M16,IF(L16="BRUTO",K16*M16,"")))</f>
        <v/>
      </c>
      <c r="O16" s="9" t="str">
        <f aca="false">IF(D16="","",D16)</f>
        <v/>
      </c>
      <c r="P16" s="10" t="str">
        <f aca="false">IF(I16="","",IF(COUNTIF(Q16:AN16,TRUE())&gt;=I16,"PAGADO",IF(COUNTIF(Q16:AN16,TRUE())&gt;0,"PARCIAL","VIGENTE")))</f>
        <v/>
      </c>
      <c r="Q16" s="11" t="str">
        <f aca="false">IF(OR(I16="",I16&lt;1,O16=""),"",O16+0)</f>
        <v/>
      </c>
      <c r="R16" s="11" t="str">
        <f aca="false">IF(OR(I16="",I16&lt;2,O16=""),"",O16+30)</f>
        <v/>
      </c>
      <c r="S16" s="11" t="str">
        <f aca="false">IF(OR(I16="",I16&lt;3,O16=""),"",O16+60)</f>
        <v/>
      </c>
      <c r="T16" s="11" t="str">
        <f aca="false">IF(OR(I16="",I16&lt;4,O16=""),"",O16+90)</f>
        <v/>
      </c>
      <c r="U16" s="11" t="str">
        <f aca="false">IF(OR(I16="",I16&lt;5,O16=""),"",O16+120)</f>
        <v/>
      </c>
      <c r="V16" s="11" t="str">
        <f aca="false">IF(OR(I16="",I16&lt;6,O16=""),"",O16+150)</f>
        <v/>
      </c>
      <c r="W16" s="11" t="str">
        <f aca="false">IF(OR(I16="",I16&lt;7,O16=""),"",O16+180)</f>
        <v/>
      </c>
      <c r="X16" s="11" t="str">
        <f aca="false">IF(OR(I16="",I16&lt;8,O16=""),"",O16+210)</f>
        <v/>
      </c>
      <c r="Y16" s="11" t="str">
        <f aca="false">IF(OR(I16="",I16&lt;9,O16=""),"",O16+240)</f>
        <v/>
      </c>
      <c r="Z16" s="11" t="str">
        <f aca="false">IF(OR(I16="",I16&lt;10,O16=""),"",O16+270)</f>
        <v/>
      </c>
      <c r="AA16" s="11" t="str">
        <f aca="false">IF(OR(I16="",I16&lt;11,O16=""),"",O16+300)</f>
        <v/>
      </c>
      <c r="AB16" s="11" t="str">
        <f aca="false">IF(OR(I16="",I16&lt;12,O16=""),"",O16+330)</f>
        <v/>
      </c>
      <c r="AC16" s="11" t="str">
        <f aca="false">IF(OR(I16="",I16&lt;13,O16=""),"",O16+360)</f>
        <v/>
      </c>
      <c r="AD16" s="11" t="str">
        <f aca="false">IF(OR(I16="",I16&lt;14,O16=""),"",O16+390)</f>
        <v/>
      </c>
      <c r="AE16" s="11" t="str">
        <f aca="false">IF(OR(I16="",I16&lt;15,O16=""),"",O16+420)</f>
        <v/>
      </c>
      <c r="AF16" s="11" t="str">
        <f aca="false">IF(OR(I16="",I16&lt;16,O16=""),"",O16+450)</f>
        <v/>
      </c>
      <c r="AG16" s="11" t="str">
        <f aca="false">IF(OR(I16="",I16&lt;17,O16=""),"",O16+480)</f>
        <v/>
      </c>
      <c r="AH16" s="11" t="str">
        <f aca="false">IF(OR(I16="",I16&lt;18,O16=""),"",O16+510)</f>
        <v/>
      </c>
      <c r="AI16" s="11" t="str">
        <f aca="false">IF(OR(I16="",I16&lt;19,O16=""),"",O16+540)</f>
        <v/>
      </c>
      <c r="AJ16" s="11" t="str">
        <f aca="false">IF(OR(I16="",I16&lt;20,O16=""),"",O16+570)</f>
        <v/>
      </c>
      <c r="AK16" s="11" t="str">
        <f aca="false">IF(OR(I16="",I16&lt;21,O16=""),"",O16+600)</f>
        <v/>
      </c>
      <c r="AL16" s="11" t="str">
        <f aca="false">IF(OR(I16="",I16&lt;22,O16=""),"",O16+630)</f>
        <v/>
      </c>
      <c r="AM16" s="11" t="str">
        <f aca="false">IF(OR(I16="",I16&lt;23,O16=""),"",O16+660)</f>
        <v/>
      </c>
      <c r="AN16" s="11" t="str">
        <f aca="false">IF(OR(I16="",I16&lt;24,O16=""),"",O16+690)</f>
        <v/>
      </c>
      <c r="AO16" s="7" t="str">
        <f aca="false">IF(J16="","",COUNTIF(Q16:AN16,TRUE())*J16)</f>
        <v/>
      </c>
      <c r="AP16" s="7" t="str">
        <f aca="false">IF(K16="","",K16-AO16)</f>
        <v/>
      </c>
      <c r="AQ16" s="7" t="str">
        <f aca="false">IF(K16="","",K16-F16-IF(N16="",0,N16))</f>
        <v/>
      </c>
    </row>
    <row r="17" customFormat="false" ht="15" hidden="false" customHeight="false" outlineLevel="0" collapsed="false">
      <c r="A17" s="12"/>
      <c r="B17" s="12"/>
      <c r="C17" s="12"/>
      <c r="D17" s="13"/>
      <c r="E17" s="13"/>
      <c r="F17" s="14"/>
      <c r="G17" s="12"/>
      <c r="H17" s="12"/>
      <c r="I17" s="12"/>
      <c r="J17" s="14"/>
      <c r="K17" s="15" t="str">
        <f aca="false">IF(OR(I17="",J17=""),"",I17*J17)</f>
        <v/>
      </c>
      <c r="L17" s="12"/>
      <c r="M17" s="16"/>
      <c r="N17" s="15" t="str">
        <f aca="false">IF(OR(L17="",M17="",K17=""),"",IF(L17="GANANCIA",(K17-F17)*M17,IF(L17="BRUTO",K17*M17,"")))</f>
        <v/>
      </c>
      <c r="O17" s="17" t="str">
        <f aca="false">IF(D17="","",D17)</f>
        <v/>
      </c>
      <c r="P17" s="18" t="str">
        <f aca="false">IF(I17="","",IF(COUNTIF(Q17:AN17,TRUE())&gt;=I17,"PAGADO",IF(COUNTIF(Q17:AN17,TRUE())&gt;0,"PARCIAL","VIGENTE")))</f>
        <v/>
      </c>
      <c r="Q17" s="19" t="str">
        <f aca="false">IF(OR(I17="",I17&lt;1,O17=""),"",O17+0)</f>
        <v/>
      </c>
      <c r="R17" s="19" t="str">
        <f aca="false">IF(OR(I17="",I17&lt;2,O17=""),"",O17+30)</f>
        <v/>
      </c>
      <c r="S17" s="19" t="str">
        <f aca="false">IF(OR(I17="",I17&lt;3,O17=""),"",O17+60)</f>
        <v/>
      </c>
      <c r="T17" s="19" t="str">
        <f aca="false">IF(OR(I17="",I17&lt;4,O17=""),"",O17+90)</f>
        <v/>
      </c>
      <c r="U17" s="19" t="str">
        <f aca="false">IF(OR(I17="",I17&lt;5,O17=""),"",O17+120)</f>
        <v/>
      </c>
      <c r="V17" s="19" t="str">
        <f aca="false">IF(OR(I17="",I17&lt;6,O17=""),"",O17+150)</f>
        <v/>
      </c>
      <c r="W17" s="19" t="str">
        <f aca="false">IF(OR(I17="",I17&lt;7,O17=""),"",O17+180)</f>
        <v/>
      </c>
      <c r="X17" s="19" t="str">
        <f aca="false">IF(OR(I17="",I17&lt;8,O17=""),"",O17+210)</f>
        <v/>
      </c>
      <c r="Y17" s="19" t="str">
        <f aca="false">IF(OR(I17="",I17&lt;9,O17=""),"",O17+240)</f>
        <v/>
      </c>
      <c r="Z17" s="19" t="str">
        <f aca="false">IF(OR(I17="",I17&lt;10,O17=""),"",O17+270)</f>
        <v/>
      </c>
      <c r="AA17" s="19" t="str">
        <f aca="false">IF(OR(I17="",I17&lt;11,O17=""),"",O17+300)</f>
        <v/>
      </c>
      <c r="AB17" s="19" t="str">
        <f aca="false">IF(OR(I17="",I17&lt;12,O17=""),"",O17+330)</f>
        <v/>
      </c>
      <c r="AC17" s="19" t="str">
        <f aca="false">IF(OR(I17="",I17&lt;13,O17=""),"",O17+360)</f>
        <v/>
      </c>
      <c r="AD17" s="19" t="str">
        <f aca="false">IF(OR(I17="",I17&lt;14,O17=""),"",O17+390)</f>
        <v/>
      </c>
      <c r="AE17" s="19" t="str">
        <f aca="false">IF(OR(I17="",I17&lt;15,O17=""),"",O17+420)</f>
        <v/>
      </c>
      <c r="AF17" s="19" t="str">
        <f aca="false">IF(OR(I17="",I17&lt;16,O17=""),"",O17+450)</f>
        <v/>
      </c>
      <c r="AG17" s="19" t="str">
        <f aca="false">IF(OR(I17="",I17&lt;17,O17=""),"",O17+480)</f>
        <v/>
      </c>
      <c r="AH17" s="19" t="str">
        <f aca="false">IF(OR(I17="",I17&lt;18,O17=""),"",O17+510)</f>
        <v/>
      </c>
      <c r="AI17" s="19" t="str">
        <f aca="false">IF(OR(I17="",I17&lt;19,O17=""),"",O17+540)</f>
        <v/>
      </c>
      <c r="AJ17" s="19" t="str">
        <f aca="false">IF(OR(I17="",I17&lt;20,O17=""),"",O17+570)</f>
        <v/>
      </c>
      <c r="AK17" s="19" t="str">
        <f aca="false">IF(OR(I17="",I17&lt;21,O17=""),"",O17+600)</f>
        <v/>
      </c>
      <c r="AL17" s="19" t="str">
        <f aca="false">IF(OR(I17="",I17&lt;22,O17=""),"",O17+630)</f>
        <v/>
      </c>
      <c r="AM17" s="19" t="str">
        <f aca="false">IF(OR(I17="",I17&lt;23,O17=""),"",O17+660)</f>
        <v/>
      </c>
      <c r="AN17" s="19" t="str">
        <f aca="false">IF(OR(I17="",I17&lt;24,O17=""),"",O17+690)</f>
        <v/>
      </c>
      <c r="AO17" s="15" t="str">
        <f aca="false">IF(J17="","",COUNTIF(Q17:AN17,TRUE())*J17)</f>
        <v/>
      </c>
      <c r="AP17" s="15" t="str">
        <f aca="false">IF(K17="","",K17-AO17)</f>
        <v/>
      </c>
      <c r="AQ17" s="15" t="str">
        <f aca="false">IF(K17="","",K17-F17-IF(N17="",0,N17))</f>
        <v/>
      </c>
    </row>
    <row r="18" customFormat="false" ht="15" hidden="false" customHeight="false" outlineLevel="0" collapsed="false">
      <c r="A18" s="4"/>
      <c r="B18" s="4"/>
      <c r="C18" s="4"/>
      <c r="D18" s="5"/>
      <c r="E18" s="5"/>
      <c r="F18" s="6"/>
      <c r="G18" s="4"/>
      <c r="H18" s="4"/>
      <c r="I18" s="4"/>
      <c r="J18" s="6"/>
      <c r="K18" s="7" t="str">
        <f aca="false">IF(OR(I18="",J18=""),"",I18*J18)</f>
        <v/>
      </c>
      <c r="L18" s="4"/>
      <c r="M18" s="8"/>
      <c r="N18" s="7" t="str">
        <f aca="false">IF(OR(L18="",M18="",K18=""),"",IF(L18="GANANCIA",(K18-F18)*M18,IF(L18="BRUTO",K18*M18,"")))</f>
        <v/>
      </c>
      <c r="O18" s="9" t="str">
        <f aca="false">IF(D18="","",D18)</f>
        <v/>
      </c>
      <c r="P18" s="10" t="str">
        <f aca="false">IF(I18="","",IF(COUNTIF(Q18:AN18,TRUE())&gt;=I18,"PAGADO",IF(COUNTIF(Q18:AN18,TRUE())&gt;0,"PARCIAL","VIGENTE")))</f>
        <v/>
      </c>
      <c r="Q18" s="11" t="str">
        <f aca="false">IF(OR(I18="",I18&lt;1,O18=""),"",O18+0)</f>
        <v/>
      </c>
      <c r="R18" s="11" t="str">
        <f aca="false">IF(OR(I18="",I18&lt;2,O18=""),"",O18+30)</f>
        <v/>
      </c>
      <c r="S18" s="11" t="str">
        <f aca="false">IF(OR(I18="",I18&lt;3,O18=""),"",O18+60)</f>
        <v/>
      </c>
      <c r="T18" s="11" t="str">
        <f aca="false">IF(OR(I18="",I18&lt;4,O18=""),"",O18+90)</f>
        <v/>
      </c>
      <c r="U18" s="11" t="str">
        <f aca="false">IF(OR(I18="",I18&lt;5,O18=""),"",O18+120)</f>
        <v/>
      </c>
      <c r="V18" s="11" t="str">
        <f aca="false">IF(OR(I18="",I18&lt;6,O18=""),"",O18+150)</f>
        <v/>
      </c>
      <c r="W18" s="11" t="str">
        <f aca="false">IF(OR(I18="",I18&lt;7,O18=""),"",O18+180)</f>
        <v/>
      </c>
      <c r="X18" s="11" t="str">
        <f aca="false">IF(OR(I18="",I18&lt;8,O18=""),"",O18+210)</f>
        <v/>
      </c>
      <c r="Y18" s="11" t="str">
        <f aca="false">IF(OR(I18="",I18&lt;9,O18=""),"",O18+240)</f>
        <v/>
      </c>
      <c r="Z18" s="11" t="str">
        <f aca="false">IF(OR(I18="",I18&lt;10,O18=""),"",O18+270)</f>
        <v/>
      </c>
      <c r="AA18" s="11" t="str">
        <f aca="false">IF(OR(I18="",I18&lt;11,O18=""),"",O18+300)</f>
        <v/>
      </c>
      <c r="AB18" s="11" t="str">
        <f aca="false">IF(OR(I18="",I18&lt;12,O18=""),"",O18+330)</f>
        <v/>
      </c>
      <c r="AC18" s="11" t="str">
        <f aca="false">IF(OR(I18="",I18&lt;13,O18=""),"",O18+360)</f>
        <v/>
      </c>
      <c r="AD18" s="11" t="str">
        <f aca="false">IF(OR(I18="",I18&lt;14,O18=""),"",O18+390)</f>
        <v/>
      </c>
      <c r="AE18" s="11" t="str">
        <f aca="false">IF(OR(I18="",I18&lt;15,O18=""),"",O18+420)</f>
        <v/>
      </c>
      <c r="AF18" s="11" t="str">
        <f aca="false">IF(OR(I18="",I18&lt;16,O18=""),"",O18+450)</f>
        <v/>
      </c>
      <c r="AG18" s="11" t="str">
        <f aca="false">IF(OR(I18="",I18&lt;17,O18=""),"",O18+480)</f>
        <v/>
      </c>
      <c r="AH18" s="11" t="str">
        <f aca="false">IF(OR(I18="",I18&lt;18,O18=""),"",O18+510)</f>
        <v/>
      </c>
      <c r="AI18" s="11" t="str">
        <f aca="false">IF(OR(I18="",I18&lt;19,O18=""),"",O18+540)</f>
        <v/>
      </c>
      <c r="AJ18" s="11" t="str">
        <f aca="false">IF(OR(I18="",I18&lt;20,O18=""),"",O18+570)</f>
        <v/>
      </c>
      <c r="AK18" s="11" t="str">
        <f aca="false">IF(OR(I18="",I18&lt;21,O18=""),"",O18+600)</f>
        <v/>
      </c>
      <c r="AL18" s="11" t="str">
        <f aca="false">IF(OR(I18="",I18&lt;22,O18=""),"",O18+630)</f>
        <v/>
      </c>
      <c r="AM18" s="11" t="str">
        <f aca="false">IF(OR(I18="",I18&lt;23,O18=""),"",O18+660)</f>
        <v/>
      </c>
      <c r="AN18" s="11" t="str">
        <f aca="false">IF(OR(I18="",I18&lt;24,O18=""),"",O18+690)</f>
        <v/>
      </c>
      <c r="AO18" s="7" t="str">
        <f aca="false">IF(J18="","",COUNTIF(Q18:AN18,TRUE())*J18)</f>
        <v/>
      </c>
      <c r="AP18" s="7" t="str">
        <f aca="false">IF(K18="","",K18-AO18)</f>
        <v/>
      </c>
      <c r="AQ18" s="7" t="str">
        <f aca="false">IF(K18="","",K18-F18-IF(N18="",0,N18))</f>
        <v/>
      </c>
    </row>
    <row r="19" customFormat="false" ht="15" hidden="false" customHeight="false" outlineLevel="0" collapsed="false">
      <c r="A19" s="12"/>
      <c r="B19" s="12"/>
      <c r="C19" s="12"/>
      <c r="D19" s="13"/>
      <c r="E19" s="13"/>
      <c r="F19" s="14"/>
      <c r="G19" s="12"/>
      <c r="H19" s="12"/>
      <c r="I19" s="12"/>
      <c r="J19" s="14"/>
      <c r="K19" s="15" t="str">
        <f aca="false">IF(OR(I19="",J19=""),"",I19*J19)</f>
        <v/>
      </c>
      <c r="L19" s="12"/>
      <c r="M19" s="16"/>
      <c r="N19" s="15" t="str">
        <f aca="false">IF(OR(L19="",M19="",K19=""),"",IF(L19="GANANCIA",(K19-F19)*M19,IF(L19="BRUTO",K19*M19,"")))</f>
        <v/>
      </c>
      <c r="O19" s="17" t="str">
        <f aca="false">IF(D19="","",D19)</f>
        <v/>
      </c>
      <c r="P19" s="18" t="str">
        <f aca="false">IF(I19="","",IF(COUNTIF(Q19:AN19,TRUE())&gt;=I19,"PAGADO",IF(COUNTIF(Q19:AN19,TRUE())&gt;0,"PARCIAL","VIGENTE")))</f>
        <v/>
      </c>
      <c r="Q19" s="19" t="str">
        <f aca="false">IF(OR(I19="",I19&lt;1,O19=""),"",O19+0)</f>
        <v/>
      </c>
      <c r="R19" s="19" t="str">
        <f aca="false">IF(OR(I19="",I19&lt;2,O19=""),"",O19+30)</f>
        <v/>
      </c>
      <c r="S19" s="19" t="str">
        <f aca="false">IF(OR(I19="",I19&lt;3,O19=""),"",O19+60)</f>
        <v/>
      </c>
      <c r="T19" s="19" t="str">
        <f aca="false">IF(OR(I19="",I19&lt;4,O19=""),"",O19+90)</f>
        <v/>
      </c>
      <c r="U19" s="19" t="str">
        <f aca="false">IF(OR(I19="",I19&lt;5,O19=""),"",O19+120)</f>
        <v/>
      </c>
      <c r="V19" s="19" t="str">
        <f aca="false">IF(OR(I19="",I19&lt;6,O19=""),"",O19+150)</f>
        <v/>
      </c>
      <c r="W19" s="19" t="str">
        <f aca="false">IF(OR(I19="",I19&lt;7,O19=""),"",O19+180)</f>
        <v/>
      </c>
      <c r="X19" s="19" t="str">
        <f aca="false">IF(OR(I19="",I19&lt;8,O19=""),"",O19+210)</f>
        <v/>
      </c>
      <c r="Y19" s="19" t="str">
        <f aca="false">IF(OR(I19="",I19&lt;9,O19=""),"",O19+240)</f>
        <v/>
      </c>
      <c r="Z19" s="19" t="str">
        <f aca="false">IF(OR(I19="",I19&lt;10,O19=""),"",O19+270)</f>
        <v/>
      </c>
      <c r="AA19" s="19" t="str">
        <f aca="false">IF(OR(I19="",I19&lt;11,O19=""),"",O19+300)</f>
        <v/>
      </c>
      <c r="AB19" s="19" t="str">
        <f aca="false">IF(OR(I19="",I19&lt;12,O19=""),"",O19+330)</f>
        <v/>
      </c>
      <c r="AC19" s="19" t="str">
        <f aca="false">IF(OR(I19="",I19&lt;13,O19=""),"",O19+360)</f>
        <v/>
      </c>
      <c r="AD19" s="19" t="str">
        <f aca="false">IF(OR(I19="",I19&lt;14,O19=""),"",O19+390)</f>
        <v/>
      </c>
      <c r="AE19" s="19" t="str">
        <f aca="false">IF(OR(I19="",I19&lt;15,O19=""),"",O19+420)</f>
        <v/>
      </c>
      <c r="AF19" s="19" t="str">
        <f aca="false">IF(OR(I19="",I19&lt;16,O19=""),"",O19+450)</f>
        <v/>
      </c>
      <c r="AG19" s="19" t="str">
        <f aca="false">IF(OR(I19="",I19&lt;17,O19=""),"",O19+480)</f>
        <v/>
      </c>
      <c r="AH19" s="19" t="str">
        <f aca="false">IF(OR(I19="",I19&lt;18,O19=""),"",O19+510)</f>
        <v/>
      </c>
      <c r="AI19" s="19" t="str">
        <f aca="false">IF(OR(I19="",I19&lt;19,O19=""),"",O19+540)</f>
        <v/>
      </c>
      <c r="AJ19" s="19" t="str">
        <f aca="false">IF(OR(I19="",I19&lt;20,O19=""),"",O19+570)</f>
        <v/>
      </c>
      <c r="AK19" s="19" t="str">
        <f aca="false">IF(OR(I19="",I19&lt;21,O19=""),"",O19+600)</f>
        <v/>
      </c>
      <c r="AL19" s="19" t="str">
        <f aca="false">IF(OR(I19="",I19&lt;22,O19=""),"",O19+630)</f>
        <v/>
      </c>
      <c r="AM19" s="19" t="str">
        <f aca="false">IF(OR(I19="",I19&lt;23,O19=""),"",O19+660)</f>
        <v/>
      </c>
      <c r="AN19" s="19" t="str">
        <f aca="false">IF(OR(I19="",I19&lt;24,O19=""),"",O19+690)</f>
        <v/>
      </c>
      <c r="AO19" s="15" t="str">
        <f aca="false">IF(J19="","",COUNTIF(Q19:AN19,TRUE())*J19)</f>
        <v/>
      </c>
      <c r="AP19" s="15" t="str">
        <f aca="false">IF(K19="","",K19-AO19)</f>
        <v/>
      </c>
      <c r="AQ19" s="15" t="str">
        <f aca="false">IF(K19="","",K19-F19-IF(N19="",0,N19))</f>
        <v/>
      </c>
    </row>
    <row r="20" customFormat="false" ht="15" hidden="false" customHeight="false" outlineLevel="0" collapsed="false">
      <c r="A20" s="4"/>
      <c r="B20" s="4"/>
      <c r="C20" s="4"/>
      <c r="D20" s="5"/>
      <c r="E20" s="5"/>
      <c r="F20" s="6"/>
      <c r="G20" s="4"/>
      <c r="H20" s="4"/>
      <c r="I20" s="4"/>
      <c r="J20" s="6"/>
      <c r="K20" s="7" t="str">
        <f aca="false">IF(OR(I20="",J20=""),"",I20*J20)</f>
        <v/>
      </c>
      <c r="L20" s="4"/>
      <c r="M20" s="8"/>
      <c r="N20" s="7" t="str">
        <f aca="false">IF(OR(L20="",M20="",K20=""),"",IF(L20="GANANCIA",(K20-F20)*M20,IF(L20="BRUTO",K20*M20,"")))</f>
        <v/>
      </c>
      <c r="O20" s="9" t="str">
        <f aca="false">IF(D20="","",D20)</f>
        <v/>
      </c>
      <c r="P20" s="10" t="str">
        <f aca="false">IF(I20="","",IF(COUNTIF(Q20:AN20,TRUE())&gt;=I20,"PAGADO",IF(COUNTIF(Q20:AN20,TRUE())&gt;0,"PARCIAL","VIGENTE")))</f>
        <v/>
      </c>
      <c r="Q20" s="11" t="str">
        <f aca="false">IF(OR(I20="",I20&lt;1,O20=""),"",O20+0)</f>
        <v/>
      </c>
      <c r="R20" s="11" t="str">
        <f aca="false">IF(OR(I20="",I20&lt;2,O20=""),"",O20+30)</f>
        <v/>
      </c>
      <c r="S20" s="11" t="str">
        <f aca="false">IF(OR(I20="",I20&lt;3,O20=""),"",O20+60)</f>
        <v/>
      </c>
      <c r="T20" s="11" t="str">
        <f aca="false">IF(OR(I20="",I20&lt;4,O20=""),"",O20+90)</f>
        <v/>
      </c>
      <c r="U20" s="11" t="str">
        <f aca="false">IF(OR(I20="",I20&lt;5,O20=""),"",O20+120)</f>
        <v/>
      </c>
      <c r="V20" s="11" t="str">
        <f aca="false">IF(OR(I20="",I20&lt;6,O20=""),"",O20+150)</f>
        <v/>
      </c>
      <c r="W20" s="11" t="str">
        <f aca="false">IF(OR(I20="",I20&lt;7,O20=""),"",O20+180)</f>
        <v/>
      </c>
      <c r="X20" s="11" t="str">
        <f aca="false">IF(OR(I20="",I20&lt;8,O20=""),"",O20+210)</f>
        <v/>
      </c>
      <c r="Y20" s="11" t="str">
        <f aca="false">IF(OR(I20="",I20&lt;9,O20=""),"",O20+240)</f>
        <v/>
      </c>
      <c r="Z20" s="11" t="str">
        <f aca="false">IF(OR(I20="",I20&lt;10,O20=""),"",O20+270)</f>
        <v/>
      </c>
      <c r="AA20" s="11" t="str">
        <f aca="false">IF(OR(I20="",I20&lt;11,O20=""),"",O20+300)</f>
        <v/>
      </c>
      <c r="AB20" s="11" t="str">
        <f aca="false">IF(OR(I20="",I20&lt;12,O20=""),"",O20+330)</f>
        <v/>
      </c>
      <c r="AC20" s="11" t="str">
        <f aca="false">IF(OR(I20="",I20&lt;13,O20=""),"",O20+360)</f>
        <v/>
      </c>
      <c r="AD20" s="11" t="str">
        <f aca="false">IF(OR(I20="",I20&lt;14,O20=""),"",O20+390)</f>
        <v/>
      </c>
      <c r="AE20" s="11" t="str">
        <f aca="false">IF(OR(I20="",I20&lt;15,O20=""),"",O20+420)</f>
        <v/>
      </c>
      <c r="AF20" s="11" t="str">
        <f aca="false">IF(OR(I20="",I20&lt;16,O20=""),"",O20+450)</f>
        <v/>
      </c>
      <c r="AG20" s="11" t="str">
        <f aca="false">IF(OR(I20="",I20&lt;17,O20=""),"",O20+480)</f>
        <v/>
      </c>
      <c r="AH20" s="11" t="str">
        <f aca="false">IF(OR(I20="",I20&lt;18,O20=""),"",O20+510)</f>
        <v/>
      </c>
      <c r="AI20" s="11" t="str">
        <f aca="false">IF(OR(I20="",I20&lt;19,O20=""),"",O20+540)</f>
        <v/>
      </c>
      <c r="AJ20" s="11" t="str">
        <f aca="false">IF(OR(I20="",I20&lt;20,O20=""),"",O20+570)</f>
        <v/>
      </c>
      <c r="AK20" s="11" t="str">
        <f aca="false">IF(OR(I20="",I20&lt;21,O20=""),"",O20+600)</f>
        <v/>
      </c>
      <c r="AL20" s="11" t="str">
        <f aca="false">IF(OR(I20="",I20&lt;22,O20=""),"",O20+630)</f>
        <v/>
      </c>
      <c r="AM20" s="11" t="str">
        <f aca="false">IF(OR(I20="",I20&lt;23,O20=""),"",O20+660)</f>
        <v/>
      </c>
      <c r="AN20" s="11" t="str">
        <f aca="false">IF(OR(I20="",I20&lt;24,O20=""),"",O20+690)</f>
        <v/>
      </c>
      <c r="AO20" s="7" t="str">
        <f aca="false">IF(J20="","",COUNTIF(Q20:AN20,TRUE())*J20)</f>
        <v/>
      </c>
      <c r="AP20" s="7" t="str">
        <f aca="false">IF(K20="","",K20-AO20)</f>
        <v/>
      </c>
      <c r="AQ20" s="7" t="str">
        <f aca="false">IF(K20="","",K20-F20-IF(N20="",0,N20))</f>
        <v/>
      </c>
    </row>
    <row r="21" customFormat="false" ht="15" hidden="false" customHeight="false" outlineLevel="0" collapsed="false">
      <c r="A21" s="12"/>
      <c r="B21" s="12"/>
      <c r="C21" s="12"/>
      <c r="D21" s="13"/>
      <c r="E21" s="13"/>
      <c r="F21" s="14"/>
      <c r="G21" s="12"/>
      <c r="H21" s="12"/>
      <c r="I21" s="12"/>
      <c r="J21" s="14"/>
      <c r="K21" s="15" t="str">
        <f aca="false">IF(OR(I21="",J21=""),"",I21*J21)</f>
        <v/>
      </c>
      <c r="L21" s="12"/>
      <c r="M21" s="16"/>
      <c r="N21" s="15" t="str">
        <f aca="false">IF(OR(L21="",M21="",K21=""),"",IF(L21="GANANCIA",(K21-F21)*M21,IF(L21="BRUTO",K21*M21,"")))</f>
        <v/>
      </c>
      <c r="O21" s="17" t="str">
        <f aca="false">IF(D21="","",D21)</f>
        <v/>
      </c>
      <c r="P21" s="18" t="str">
        <f aca="false">IF(I21="","",IF(COUNTIF(Q21:AN21,TRUE())&gt;=I21,"PAGADO",IF(COUNTIF(Q21:AN21,TRUE())&gt;0,"PARCIAL","VIGENTE")))</f>
        <v/>
      </c>
      <c r="Q21" s="19" t="str">
        <f aca="false">IF(OR(I21="",I21&lt;1,O21=""),"",O21+0)</f>
        <v/>
      </c>
      <c r="R21" s="19" t="str">
        <f aca="false">IF(OR(I21="",I21&lt;2,O21=""),"",O21+30)</f>
        <v/>
      </c>
      <c r="S21" s="19" t="str">
        <f aca="false">IF(OR(I21="",I21&lt;3,O21=""),"",O21+60)</f>
        <v/>
      </c>
      <c r="T21" s="19" t="str">
        <f aca="false">IF(OR(I21="",I21&lt;4,O21=""),"",O21+90)</f>
        <v/>
      </c>
      <c r="U21" s="19" t="str">
        <f aca="false">IF(OR(I21="",I21&lt;5,O21=""),"",O21+120)</f>
        <v/>
      </c>
      <c r="V21" s="19" t="str">
        <f aca="false">IF(OR(I21="",I21&lt;6,O21=""),"",O21+150)</f>
        <v/>
      </c>
      <c r="W21" s="19" t="str">
        <f aca="false">IF(OR(I21="",I21&lt;7,O21=""),"",O21+180)</f>
        <v/>
      </c>
      <c r="X21" s="19" t="str">
        <f aca="false">IF(OR(I21="",I21&lt;8,O21=""),"",O21+210)</f>
        <v/>
      </c>
      <c r="Y21" s="19" t="str">
        <f aca="false">IF(OR(I21="",I21&lt;9,O21=""),"",O21+240)</f>
        <v/>
      </c>
      <c r="Z21" s="19" t="str">
        <f aca="false">IF(OR(I21="",I21&lt;10,O21=""),"",O21+270)</f>
        <v/>
      </c>
      <c r="AA21" s="19" t="str">
        <f aca="false">IF(OR(I21="",I21&lt;11,O21=""),"",O21+300)</f>
        <v/>
      </c>
      <c r="AB21" s="19" t="str">
        <f aca="false">IF(OR(I21="",I21&lt;12,O21=""),"",O21+330)</f>
        <v/>
      </c>
      <c r="AC21" s="19" t="str">
        <f aca="false">IF(OR(I21="",I21&lt;13,O21=""),"",O21+360)</f>
        <v/>
      </c>
      <c r="AD21" s="19" t="str">
        <f aca="false">IF(OR(I21="",I21&lt;14,O21=""),"",O21+390)</f>
        <v/>
      </c>
      <c r="AE21" s="19" t="str">
        <f aca="false">IF(OR(I21="",I21&lt;15,O21=""),"",O21+420)</f>
        <v/>
      </c>
      <c r="AF21" s="19" t="str">
        <f aca="false">IF(OR(I21="",I21&lt;16,O21=""),"",O21+450)</f>
        <v/>
      </c>
      <c r="AG21" s="19" t="str">
        <f aca="false">IF(OR(I21="",I21&lt;17,O21=""),"",O21+480)</f>
        <v/>
      </c>
      <c r="AH21" s="19" t="str">
        <f aca="false">IF(OR(I21="",I21&lt;18,O21=""),"",O21+510)</f>
        <v/>
      </c>
      <c r="AI21" s="19" t="str">
        <f aca="false">IF(OR(I21="",I21&lt;19,O21=""),"",O21+540)</f>
        <v/>
      </c>
      <c r="AJ21" s="19" t="str">
        <f aca="false">IF(OR(I21="",I21&lt;20,O21=""),"",O21+570)</f>
        <v/>
      </c>
      <c r="AK21" s="19" t="str">
        <f aca="false">IF(OR(I21="",I21&lt;21,O21=""),"",O21+600)</f>
        <v/>
      </c>
      <c r="AL21" s="19" t="str">
        <f aca="false">IF(OR(I21="",I21&lt;22,O21=""),"",O21+630)</f>
        <v/>
      </c>
      <c r="AM21" s="19" t="str">
        <f aca="false">IF(OR(I21="",I21&lt;23,O21=""),"",O21+660)</f>
        <v/>
      </c>
      <c r="AN21" s="19" t="str">
        <f aca="false">IF(OR(I21="",I21&lt;24,O21=""),"",O21+690)</f>
        <v/>
      </c>
      <c r="AO21" s="15" t="str">
        <f aca="false">IF(J21="","",COUNTIF(Q21:AN21,TRUE())*J21)</f>
        <v/>
      </c>
      <c r="AP21" s="15" t="str">
        <f aca="false">IF(K21="","",K21-AO21)</f>
        <v/>
      </c>
      <c r="AQ21" s="15" t="str">
        <f aca="false">IF(K21="","",K21-F21-IF(N21="",0,N21))</f>
        <v/>
      </c>
    </row>
    <row r="22" customFormat="false" ht="15" hidden="false" customHeight="false" outlineLevel="0" collapsed="false">
      <c r="A22" s="4"/>
      <c r="B22" s="4"/>
      <c r="C22" s="4"/>
      <c r="D22" s="5"/>
      <c r="E22" s="5"/>
      <c r="F22" s="6"/>
      <c r="G22" s="4"/>
      <c r="H22" s="4"/>
      <c r="I22" s="4"/>
      <c r="J22" s="6"/>
      <c r="K22" s="7" t="str">
        <f aca="false">IF(OR(I22="",J22=""),"",I22*J22)</f>
        <v/>
      </c>
      <c r="L22" s="4"/>
      <c r="M22" s="8"/>
      <c r="N22" s="7" t="str">
        <f aca="false">IF(OR(L22="",M22="",K22=""),"",IF(L22="GANANCIA",(K22-F22)*M22,IF(L22="BRUTO",K22*M22,"")))</f>
        <v/>
      </c>
      <c r="O22" s="9" t="str">
        <f aca="false">IF(D22="","",D22)</f>
        <v/>
      </c>
      <c r="P22" s="10" t="str">
        <f aca="false">IF(I22="","",IF(COUNTIF(Q22:AN22,TRUE())&gt;=I22,"PAGADO",IF(COUNTIF(Q22:AN22,TRUE())&gt;0,"PARCIAL","VIGENTE")))</f>
        <v/>
      </c>
      <c r="Q22" s="11" t="str">
        <f aca="false">IF(OR(I22="",I22&lt;1,O22=""),"",O22+0)</f>
        <v/>
      </c>
      <c r="R22" s="11" t="str">
        <f aca="false">IF(OR(I22="",I22&lt;2,O22=""),"",O22+30)</f>
        <v/>
      </c>
      <c r="S22" s="11" t="str">
        <f aca="false">IF(OR(I22="",I22&lt;3,O22=""),"",O22+60)</f>
        <v/>
      </c>
      <c r="T22" s="11" t="str">
        <f aca="false">IF(OR(I22="",I22&lt;4,O22=""),"",O22+90)</f>
        <v/>
      </c>
      <c r="U22" s="11" t="str">
        <f aca="false">IF(OR(I22="",I22&lt;5,O22=""),"",O22+120)</f>
        <v/>
      </c>
      <c r="V22" s="11" t="str">
        <f aca="false">IF(OR(I22="",I22&lt;6,O22=""),"",O22+150)</f>
        <v/>
      </c>
      <c r="W22" s="11" t="str">
        <f aca="false">IF(OR(I22="",I22&lt;7,O22=""),"",O22+180)</f>
        <v/>
      </c>
      <c r="X22" s="11" t="str">
        <f aca="false">IF(OR(I22="",I22&lt;8,O22=""),"",O22+210)</f>
        <v/>
      </c>
      <c r="Y22" s="11" t="str">
        <f aca="false">IF(OR(I22="",I22&lt;9,O22=""),"",O22+240)</f>
        <v/>
      </c>
      <c r="Z22" s="11" t="str">
        <f aca="false">IF(OR(I22="",I22&lt;10,O22=""),"",O22+270)</f>
        <v/>
      </c>
      <c r="AA22" s="11" t="str">
        <f aca="false">IF(OR(I22="",I22&lt;11,O22=""),"",O22+300)</f>
        <v/>
      </c>
      <c r="AB22" s="11" t="str">
        <f aca="false">IF(OR(I22="",I22&lt;12,O22=""),"",O22+330)</f>
        <v/>
      </c>
      <c r="AC22" s="11" t="str">
        <f aca="false">IF(OR(I22="",I22&lt;13,O22=""),"",O22+360)</f>
        <v/>
      </c>
      <c r="AD22" s="11" t="str">
        <f aca="false">IF(OR(I22="",I22&lt;14,O22=""),"",O22+390)</f>
        <v/>
      </c>
      <c r="AE22" s="11" t="str">
        <f aca="false">IF(OR(I22="",I22&lt;15,O22=""),"",O22+420)</f>
        <v/>
      </c>
      <c r="AF22" s="11" t="str">
        <f aca="false">IF(OR(I22="",I22&lt;16,O22=""),"",O22+450)</f>
        <v/>
      </c>
      <c r="AG22" s="11" t="str">
        <f aca="false">IF(OR(I22="",I22&lt;17,O22=""),"",O22+480)</f>
        <v/>
      </c>
      <c r="AH22" s="11" t="str">
        <f aca="false">IF(OR(I22="",I22&lt;18,O22=""),"",O22+510)</f>
        <v/>
      </c>
      <c r="AI22" s="11" t="str">
        <f aca="false">IF(OR(I22="",I22&lt;19,O22=""),"",O22+540)</f>
        <v/>
      </c>
      <c r="AJ22" s="11" t="str">
        <f aca="false">IF(OR(I22="",I22&lt;20,O22=""),"",O22+570)</f>
        <v/>
      </c>
      <c r="AK22" s="11" t="str">
        <f aca="false">IF(OR(I22="",I22&lt;21,O22=""),"",O22+600)</f>
        <v/>
      </c>
      <c r="AL22" s="11" t="str">
        <f aca="false">IF(OR(I22="",I22&lt;22,O22=""),"",O22+630)</f>
        <v/>
      </c>
      <c r="AM22" s="11" t="str">
        <f aca="false">IF(OR(I22="",I22&lt;23,O22=""),"",O22+660)</f>
        <v/>
      </c>
      <c r="AN22" s="11" t="str">
        <f aca="false">IF(OR(I22="",I22&lt;24,O22=""),"",O22+690)</f>
        <v/>
      </c>
      <c r="AO22" s="7" t="str">
        <f aca="false">IF(J22="","",COUNTIF(Q22:AN22,TRUE())*J22)</f>
        <v/>
      </c>
      <c r="AP22" s="7" t="str">
        <f aca="false">IF(K22="","",K22-AO22)</f>
        <v/>
      </c>
      <c r="AQ22" s="7" t="str">
        <f aca="false">IF(K22="","",K22-F22-IF(N22="",0,N22))</f>
        <v/>
      </c>
    </row>
    <row r="23" customFormat="false" ht="15" hidden="false" customHeight="false" outlineLevel="0" collapsed="false">
      <c r="A23" s="12"/>
      <c r="B23" s="12"/>
      <c r="C23" s="12"/>
      <c r="D23" s="13"/>
      <c r="E23" s="13"/>
      <c r="F23" s="14"/>
      <c r="G23" s="12"/>
      <c r="H23" s="12"/>
      <c r="I23" s="12"/>
      <c r="J23" s="14"/>
      <c r="K23" s="15" t="str">
        <f aca="false">IF(OR(I23="",J23=""),"",I23*J23)</f>
        <v/>
      </c>
      <c r="L23" s="12"/>
      <c r="M23" s="16"/>
      <c r="N23" s="15" t="str">
        <f aca="false">IF(OR(L23="",M23="",K23=""),"",IF(L23="GANANCIA",(K23-F23)*M23,IF(L23="BRUTO",K23*M23,"")))</f>
        <v/>
      </c>
      <c r="O23" s="17" t="str">
        <f aca="false">IF(D23="","",D23)</f>
        <v/>
      </c>
      <c r="P23" s="18" t="str">
        <f aca="false">IF(I23="","",IF(COUNTIF(Q23:AN23,TRUE())&gt;=I23,"PAGADO",IF(COUNTIF(Q23:AN23,TRUE())&gt;0,"PARCIAL","VIGENTE")))</f>
        <v/>
      </c>
      <c r="Q23" s="19" t="str">
        <f aca="false">IF(OR(I23="",I23&lt;1,O23=""),"",O23+0)</f>
        <v/>
      </c>
      <c r="R23" s="19" t="str">
        <f aca="false">IF(OR(I23="",I23&lt;2,O23=""),"",O23+30)</f>
        <v/>
      </c>
      <c r="S23" s="19" t="str">
        <f aca="false">IF(OR(I23="",I23&lt;3,O23=""),"",O23+60)</f>
        <v/>
      </c>
      <c r="T23" s="19" t="str">
        <f aca="false">IF(OR(I23="",I23&lt;4,O23=""),"",O23+90)</f>
        <v/>
      </c>
      <c r="U23" s="19" t="str">
        <f aca="false">IF(OR(I23="",I23&lt;5,O23=""),"",O23+120)</f>
        <v/>
      </c>
      <c r="V23" s="19" t="str">
        <f aca="false">IF(OR(I23="",I23&lt;6,O23=""),"",O23+150)</f>
        <v/>
      </c>
      <c r="W23" s="19" t="str">
        <f aca="false">IF(OR(I23="",I23&lt;7,O23=""),"",O23+180)</f>
        <v/>
      </c>
      <c r="X23" s="19" t="str">
        <f aca="false">IF(OR(I23="",I23&lt;8,O23=""),"",O23+210)</f>
        <v/>
      </c>
      <c r="Y23" s="19" t="str">
        <f aca="false">IF(OR(I23="",I23&lt;9,O23=""),"",O23+240)</f>
        <v/>
      </c>
      <c r="Z23" s="19" t="str">
        <f aca="false">IF(OR(I23="",I23&lt;10,O23=""),"",O23+270)</f>
        <v/>
      </c>
      <c r="AA23" s="19" t="str">
        <f aca="false">IF(OR(I23="",I23&lt;11,O23=""),"",O23+300)</f>
        <v/>
      </c>
      <c r="AB23" s="19" t="str">
        <f aca="false">IF(OR(I23="",I23&lt;12,O23=""),"",O23+330)</f>
        <v/>
      </c>
      <c r="AC23" s="19" t="str">
        <f aca="false">IF(OR(I23="",I23&lt;13,O23=""),"",O23+360)</f>
        <v/>
      </c>
      <c r="AD23" s="19" t="str">
        <f aca="false">IF(OR(I23="",I23&lt;14,O23=""),"",O23+390)</f>
        <v/>
      </c>
      <c r="AE23" s="19" t="str">
        <f aca="false">IF(OR(I23="",I23&lt;15,O23=""),"",O23+420)</f>
        <v/>
      </c>
      <c r="AF23" s="19" t="str">
        <f aca="false">IF(OR(I23="",I23&lt;16,O23=""),"",O23+450)</f>
        <v/>
      </c>
      <c r="AG23" s="19" t="str">
        <f aca="false">IF(OR(I23="",I23&lt;17,O23=""),"",O23+480)</f>
        <v/>
      </c>
      <c r="AH23" s="19" t="str">
        <f aca="false">IF(OR(I23="",I23&lt;18,O23=""),"",O23+510)</f>
        <v/>
      </c>
      <c r="AI23" s="19" t="str">
        <f aca="false">IF(OR(I23="",I23&lt;19,O23=""),"",O23+540)</f>
        <v/>
      </c>
      <c r="AJ23" s="19" t="str">
        <f aca="false">IF(OR(I23="",I23&lt;20,O23=""),"",O23+570)</f>
        <v/>
      </c>
      <c r="AK23" s="19" t="str">
        <f aca="false">IF(OR(I23="",I23&lt;21,O23=""),"",O23+600)</f>
        <v/>
      </c>
      <c r="AL23" s="19" t="str">
        <f aca="false">IF(OR(I23="",I23&lt;22,O23=""),"",O23+630)</f>
        <v/>
      </c>
      <c r="AM23" s="19" t="str">
        <f aca="false">IF(OR(I23="",I23&lt;23,O23=""),"",O23+660)</f>
        <v/>
      </c>
      <c r="AN23" s="19" t="str">
        <f aca="false">IF(OR(I23="",I23&lt;24,O23=""),"",O23+690)</f>
        <v/>
      </c>
      <c r="AO23" s="15" t="str">
        <f aca="false">IF(J23="","",COUNTIF(Q23:AN23,TRUE())*J23)</f>
        <v/>
      </c>
      <c r="AP23" s="15" t="str">
        <f aca="false">IF(K23="","",K23-AO23)</f>
        <v/>
      </c>
      <c r="AQ23" s="15" t="str">
        <f aca="false">IF(K23="","",K23-F23-IF(N23="",0,N23))</f>
        <v/>
      </c>
    </row>
    <row r="24" customFormat="false" ht="15" hidden="false" customHeight="false" outlineLevel="0" collapsed="false">
      <c r="A24" s="4"/>
      <c r="B24" s="4"/>
      <c r="C24" s="4"/>
      <c r="D24" s="5"/>
      <c r="E24" s="5"/>
      <c r="F24" s="6"/>
      <c r="G24" s="4"/>
      <c r="H24" s="4"/>
      <c r="I24" s="4"/>
      <c r="J24" s="6"/>
      <c r="K24" s="7" t="str">
        <f aca="false">IF(OR(I24="",J24=""),"",I24*J24)</f>
        <v/>
      </c>
      <c r="L24" s="4"/>
      <c r="M24" s="8"/>
      <c r="N24" s="7" t="str">
        <f aca="false">IF(OR(L24="",M24="",K24=""),"",IF(L24="GANANCIA",(K24-F24)*M24,IF(L24="BRUTO",K24*M24,"")))</f>
        <v/>
      </c>
      <c r="O24" s="9" t="str">
        <f aca="false">IF(D24="","",D24)</f>
        <v/>
      </c>
      <c r="P24" s="10" t="str">
        <f aca="false">IF(I24="","",IF(COUNTIF(Q24:AN24,TRUE())&gt;=I24,"PAGADO",IF(COUNTIF(Q24:AN24,TRUE())&gt;0,"PARCIAL","VIGENTE")))</f>
        <v/>
      </c>
      <c r="Q24" s="11" t="str">
        <f aca="false">IF(OR(I24="",I24&lt;1,O24=""),"",O24+0)</f>
        <v/>
      </c>
      <c r="R24" s="11" t="str">
        <f aca="false">IF(OR(I24="",I24&lt;2,O24=""),"",O24+30)</f>
        <v/>
      </c>
      <c r="S24" s="11" t="str">
        <f aca="false">IF(OR(I24="",I24&lt;3,O24=""),"",O24+60)</f>
        <v/>
      </c>
      <c r="T24" s="11" t="str">
        <f aca="false">IF(OR(I24="",I24&lt;4,O24=""),"",O24+90)</f>
        <v/>
      </c>
      <c r="U24" s="11" t="str">
        <f aca="false">IF(OR(I24="",I24&lt;5,O24=""),"",O24+120)</f>
        <v/>
      </c>
      <c r="V24" s="11" t="str">
        <f aca="false">IF(OR(I24="",I24&lt;6,O24=""),"",O24+150)</f>
        <v/>
      </c>
      <c r="W24" s="11" t="str">
        <f aca="false">IF(OR(I24="",I24&lt;7,O24=""),"",O24+180)</f>
        <v/>
      </c>
      <c r="X24" s="11" t="str">
        <f aca="false">IF(OR(I24="",I24&lt;8,O24=""),"",O24+210)</f>
        <v/>
      </c>
      <c r="Y24" s="11" t="str">
        <f aca="false">IF(OR(I24="",I24&lt;9,O24=""),"",O24+240)</f>
        <v/>
      </c>
      <c r="Z24" s="11" t="str">
        <f aca="false">IF(OR(I24="",I24&lt;10,O24=""),"",O24+270)</f>
        <v/>
      </c>
      <c r="AA24" s="11" t="str">
        <f aca="false">IF(OR(I24="",I24&lt;11,O24=""),"",O24+300)</f>
        <v/>
      </c>
      <c r="AB24" s="11" t="str">
        <f aca="false">IF(OR(I24="",I24&lt;12,O24=""),"",O24+330)</f>
        <v/>
      </c>
      <c r="AC24" s="11" t="str">
        <f aca="false">IF(OR(I24="",I24&lt;13,O24=""),"",O24+360)</f>
        <v/>
      </c>
      <c r="AD24" s="11" t="str">
        <f aca="false">IF(OR(I24="",I24&lt;14,O24=""),"",O24+390)</f>
        <v/>
      </c>
      <c r="AE24" s="11" t="str">
        <f aca="false">IF(OR(I24="",I24&lt;15,O24=""),"",O24+420)</f>
        <v/>
      </c>
      <c r="AF24" s="11" t="str">
        <f aca="false">IF(OR(I24="",I24&lt;16,O24=""),"",O24+450)</f>
        <v/>
      </c>
      <c r="AG24" s="11" t="str">
        <f aca="false">IF(OR(I24="",I24&lt;17,O24=""),"",O24+480)</f>
        <v/>
      </c>
      <c r="AH24" s="11" t="str">
        <f aca="false">IF(OR(I24="",I24&lt;18,O24=""),"",O24+510)</f>
        <v/>
      </c>
      <c r="AI24" s="11" t="str">
        <f aca="false">IF(OR(I24="",I24&lt;19,O24=""),"",O24+540)</f>
        <v/>
      </c>
      <c r="AJ24" s="11" t="str">
        <f aca="false">IF(OR(I24="",I24&lt;20,O24=""),"",O24+570)</f>
        <v/>
      </c>
      <c r="AK24" s="11" t="str">
        <f aca="false">IF(OR(I24="",I24&lt;21,O24=""),"",O24+600)</f>
        <v/>
      </c>
      <c r="AL24" s="11" t="str">
        <f aca="false">IF(OR(I24="",I24&lt;22,O24=""),"",O24+630)</f>
        <v/>
      </c>
      <c r="AM24" s="11" t="str">
        <f aca="false">IF(OR(I24="",I24&lt;23,O24=""),"",O24+660)</f>
        <v/>
      </c>
      <c r="AN24" s="11" t="str">
        <f aca="false">IF(OR(I24="",I24&lt;24,O24=""),"",O24+690)</f>
        <v/>
      </c>
      <c r="AO24" s="7" t="str">
        <f aca="false">IF(J24="","",COUNTIF(Q24:AN24,TRUE())*J24)</f>
        <v/>
      </c>
      <c r="AP24" s="7" t="str">
        <f aca="false">IF(K24="","",K24-AO24)</f>
        <v/>
      </c>
      <c r="AQ24" s="7" t="str">
        <f aca="false">IF(K24="","",K24-F24-IF(N24="",0,N24))</f>
        <v/>
      </c>
    </row>
    <row r="25" customFormat="false" ht="15" hidden="false" customHeight="false" outlineLevel="0" collapsed="false">
      <c r="A25" s="12"/>
      <c r="B25" s="12"/>
      <c r="C25" s="12"/>
      <c r="D25" s="13"/>
      <c r="E25" s="13"/>
      <c r="F25" s="14"/>
      <c r="G25" s="12"/>
      <c r="H25" s="12"/>
      <c r="I25" s="12"/>
      <c r="J25" s="14"/>
      <c r="K25" s="15" t="str">
        <f aca="false">IF(OR(I25="",J25=""),"",I25*J25)</f>
        <v/>
      </c>
      <c r="L25" s="12"/>
      <c r="M25" s="16"/>
      <c r="N25" s="15" t="str">
        <f aca="false">IF(OR(L25="",M25="",K25=""),"",IF(L25="GANANCIA",(K25-F25)*M25,IF(L25="BRUTO",K25*M25,"")))</f>
        <v/>
      </c>
      <c r="O25" s="17" t="str">
        <f aca="false">IF(D25="","",D25)</f>
        <v/>
      </c>
      <c r="P25" s="18" t="str">
        <f aca="false">IF(I25="","",IF(COUNTIF(Q25:AN25,TRUE())&gt;=I25,"PAGADO",IF(COUNTIF(Q25:AN25,TRUE())&gt;0,"PARCIAL","VIGENTE")))</f>
        <v/>
      </c>
      <c r="Q25" s="19" t="str">
        <f aca="false">IF(OR(I25="",I25&lt;1,O25=""),"",O25+0)</f>
        <v/>
      </c>
      <c r="R25" s="19" t="str">
        <f aca="false">IF(OR(I25="",I25&lt;2,O25=""),"",O25+30)</f>
        <v/>
      </c>
      <c r="S25" s="19" t="str">
        <f aca="false">IF(OR(I25="",I25&lt;3,O25=""),"",O25+60)</f>
        <v/>
      </c>
      <c r="T25" s="19" t="str">
        <f aca="false">IF(OR(I25="",I25&lt;4,O25=""),"",O25+90)</f>
        <v/>
      </c>
      <c r="U25" s="19" t="str">
        <f aca="false">IF(OR(I25="",I25&lt;5,O25=""),"",O25+120)</f>
        <v/>
      </c>
      <c r="V25" s="19" t="str">
        <f aca="false">IF(OR(I25="",I25&lt;6,O25=""),"",O25+150)</f>
        <v/>
      </c>
      <c r="W25" s="19" t="str">
        <f aca="false">IF(OR(I25="",I25&lt;7,O25=""),"",O25+180)</f>
        <v/>
      </c>
      <c r="X25" s="19" t="str">
        <f aca="false">IF(OR(I25="",I25&lt;8,O25=""),"",O25+210)</f>
        <v/>
      </c>
      <c r="Y25" s="19" t="str">
        <f aca="false">IF(OR(I25="",I25&lt;9,O25=""),"",O25+240)</f>
        <v/>
      </c>
      <c r="Z25" s="19" t="str">
        <f aca="false">IF(OR(I25="",I25&lt;10,O25=""),"",O25+270)</f>
        <v/>
      </c>
      <c r="AA25" s="19" t="str">
        <f aca="false">IF(OR(I25="",I25&lt;11,O25=""),"",O25+300)</f>
        <v/>
      </c>
      <c r="AB25" s="19" t="str">
        <f aca="false">IF(OR(I25="",I25&lt;12,O25=""),"",O25+330)</f>
        <v/>
      </c>
      <c r="AC25" s="19" t="str">
        <f aca="false">IF(OR(I25="",I25&lt;13,O25=""),"",O25+360)</f>
        <v/>
      </c>
      <c r="AD25" s="19" t="str">
        <f aca="false">IF(OR(I25="",I25&lt;14,O25=""),"",O25+390)</f>
        <v/>
      </c>
      <c r="AE25" s="19" t="str">
        <f aca="false">IF(OR(I25="",I25&lt;15,O25=""),"",O25+420)</f>
        <v/>
      </c>
      <c r="AF25" s="19" t="str">
        <f aca="false">IF(OR(I25="",I25&lt;16,O25=""),"",O25+450)</f>
        <v/>
      </c>
      <c r="AG25" s="19" t="str">
        <f aca="false">IF(OR(I25="",I25&lt;17,O25=""),"",O25+480)</f>
        <v/>
      </c>
      <c r="AH25" s="19" t="str">
        <f aca="false">IF(OR(I25="",I25&lt;18,O25=""),"",O25+510)</f>
        <v/>
      </c>
      <c r="AI25" s="19" t="str">
        <f aca="false">IF(OR(I25="",I25&lt;19,O25=""),"",O25+540)</f>
        <v/>
      </c>
      <c r="AJ25" s="19" t="str">
        <f aca="false">IF(OR(I25="",I25&lt;20,O25=""),"",O25+570)</f>
        <v/>
      </c>
      <c r="AK25" s="19" t="str">
        <f aca="false">IF(OR(I25="",I25&lt;21,O25=""),"",O25+600)</f>
        <v/>
      </c>
      <c r="AL25" s="19" t="str">
        <f aca="false">IF(OR(I25="",I25&lt;22,O25=""),"",O25+630)</f>
        <v/>
      </c>
      <c r="AM25" s="19" t="str">
        <f aca="false">IF(OR(I25="",I25&lt;23,O25=""),"",O25+660)</f>
        <v/>
      </c>
      <c r="AN25" s="19" t="str">
        <f aca="false">IF(OR(I25="",I25&lt;24,O25=""),"",O25+690)</f>
        <v/>
      </c>
      <c r="AO25" s="15" t="str">
        <f aca="false">IF(J25="","",COUNTIF(Q25:AN25,TRUE())*J25)</f>
        <v/>
      </c>
      <c r="AP25" s="15" t="str">
        <f aca="false">IF(K25="","",K25-AO25)</f>
        <v/>
      </c>
      <c r="AQ25" s="15" t="str">
        <f aca="false">IF(K25="","",K25-F25-IF(N25="",0,N25))</f>
        <v/>
      </c>
    </row>
    <row r="26" customFormat="false" ht="15" hidden="false" customHeight="false" outlineLevel="0" collapsed="false">
      <c r="A26" s="4"/>
      <c r="B26" s="4"/>
      <c r="C26" s="4"/>
      <c r="D26" s="5"/>
      <c r="E26" s="5"/>
      <c r="F26" s="6"/>
      <c r="G26" s="4"/>
      <c r="H26" s="4"/>
      <c r="I26" s="4"/>
      <c r="J26" s="6"/>
      <c r="K26" s="7" t="str">
        <f aca="false">IF(OR(I26="",J26=""),"",I26*J26)</f>
        <v/>
      </c>
      <c r="L26" s="4"/>
      <c r="M26" s="8"/>
      <c r="N26" s="7" t="str">
        <f aca="false">IF(OR(L26="",M26="",K26=""),"",IF(L26="GANANCIA",(K26-F26)*M26,IF(L26="BRUTO",K26*M26,"")))</f>
        <v/>
      </c>
      <c r="O26" s="9" t="str">
        <f aca="false">IF(D26="","",D26)</f>
        <v/>
      </c>
      <c r="P26" s="10" t="str">
        <f aca="false">IF(I26="","",IF(COUNTIF(Q26:AN26,TRUE())&gt;=I26,"PAGADO",IF(COUNTIF(Q26:AN26,TRUE())&gt;0,"PARCIAL","VIGENTE")))</f>
        <v/>
      </c>
      <c r="Q26" s="11" t="str">
        <f aca="false">IF(OR(I26="",I26&lt;1,O26=""),"",O26+0)</f>
        <v/>
      </c>
      <c r="R26" s="11" t="str">
        <f aca="false">IF(OR(I26="",I26&lt;2,O26=""),"",O26+30)</f>
        <v/>
      </c>
      <c r="S26" s="11" t="str">
        <f aca="false">IF(OR(I26="",I26&lt;3,O26=""),"",O26+60)</f>
        <v/>
      </c>
      <c r="T26" s="11" t="str">
        <f aca="false">IF(OR(I26="",I26&lt;4,O26=""),"",O26+90)</f>
        <v/>
      </c>
      <c r="U26" s="11" t="str">
        <f aca="false">IF(OR(I26="",I26&lt;5,O26=""),"",O26+120)</f>
        <v/>
      </c>
      <c r="V26" s="11" t="str">
        <f aca="false">IF(OR(I26="",I26&lt;6,O26=""),"",O26+150)</f>
        <v/>
      </c>
      <c r="W26" s="11" t="str">
        <f aca="false">IF(OR(I26="",I26&lt;7,O26=""),"",O26+180)</f>
        <v/>
      </c>
      <c r="X26" s="11" t="str">
        <f aca="false">IF(OR(I26="",I26&lt;8,O26=""),"",O26+210)</f>
        <v/>
      </c>
      <c r="Y26" s="11" t="str">
        <f aca="false">IF(OR(I26="",I26&lt;9,O26=""),"",O26+240)</f>
        <v/>
      </c>
      <c r="Z26" s="11" t="str">
        <f aca="false">IF(OR(I26="",I26&lt;10,O26=""),"",O26+270)</f>
        <v/>
      </c>
      <c r="AA26" s="11" t="str">
        <f aca="false">IF(OR(I26="",I26&lt;11,O26=""),"",O26+300)</f>
        <v/>
      </c>
      <c r="AB26" s="11" t="str">
        <f aca="false">IF(OR(I26="",I26&lt;12,O26=""),"",O26+330)</f>
        <v/>
      </c>
      <c r="AC26" s="11" t="str">
        <f aca="false">IF(OR(I26="",I26&lt;13,O26=""),"",O26+360)</f>
        <v/>
      </c>
      <c r="AD26" s="11" t="str">
        <f aca="false">IF(OR(I26="",I26&lt;14,O26=""),"",O26+390)</f>
        <v/>
      </c>
      <c r="AE26" s="11" t="str">
        <f aca="false">IF(OR(I26="",I26&lt;15,O26=""),"",O26+420)</f>
        <v/>
      </c>
      <c r="AF26" s="11" t="str">
        <f aca="false">IF(OR(I26="",I26&lt;16,O26=""),"",O26+450)</f>
        <v/>
      </c>
      <c r="AG26" s="11" t="str">
        <f aca="false">IF(OR(I26="",I26&lt;17,O26=""),"",O26+480)</f>
        <v/>
      </c>
      <c r="AH26" s="11" t="str">
        <f aca="false">IF(OR(I26="",I26&lt;18,O26=""),"",O26+510)</f>
        <v/>
      </c>
      <c r="AI26" s="11" t="str">
        <f aca="false">IF(OR(I26="",I26&lt;19,O26=""),"",O26+540)</f>
        <v/>
      </c>
      <c r="AJ26" s="11" t="str">
        <f aca="false">IF(OR(I26="",I26&lt;20,O26=""),"",O26+570)</f>
        <v/>
      </c>
      <c r="AK26" s="11" t="str">
        <f aca="false">IF(OR(I26="",I26&lt;21,O26=""),"",O26+600)</f>
        <v/>
      </c>
      <c r="AL26" s="11" t="str">
        <f aca="false">IF(OR(I26="",I26&lt;22,O26=""),"",O26+630)</f>
        <v/>
      </c>
      <c r="AM26" s="11" t="str">
        <f aca="false">IF(OR(I26="",I26&lt;23,O26=""),"",O26+660)</f>
        <v/>
      </c>
      <c r="AN26" s="11" t="str">
        <f aca="false">IF(OR(I26="",I26&lt;24,O26=""),"",O26+690)</f>
        <v/>
      </c>
      <c r="AO26" s="7" t="str">
        <f aca="false">IF(J26="","",COUNTIF(Q26:AN26,TRUE())*J26)</f>
        <v/>
      </c>
      <c r="AP26" s="7" t="str">
        <f aca="false">IF(K26="","",K26-AO26)</f>
        <v/>
      </c>
      <c r="AQ26" s="7" t="str">
        <f aca="false">IF(K26="","",K26-F26-IF(N26="",0,N26))</f>
        <v/>
      </c>
    </row>
    <row r="27" customFormat="false" ht="15" hidden="false" customHeight="false" outlineLevel="0" collapsed="false">
      <c r="A27" s="12"/>
      <c r="B27" s="12"/>
      <c r="C27" s="12"/>
      <c r="D27" s="13"/>
      <c r="E27" s="13"/>
      <c r="F27" s="14"/>
      <c r="G27" s="12"/>
      <c r="H27" s="12"/>
      <c r="I27" s="12"/>
      <c r="J27" s="14"/>
      <c r="K27" s="15" t="str">
        <f aca="false">IF(OR(I27="",J27=""),"",I27*J27)</f>
        <v/>
      </c>
      <c r="L27" s="12"/>
      <c r="M27" s="16"/>
      <c r="N27" s="15" t="str">
        <f aca="false">IF(OR(L27="",M27="",K27=""),"",IF(L27="GANANCIA",(K27-F27)*M27,IF(L27="BRUTO",K27*M27,"")))</f>
        <v/>
      </c>
      <c r="O27" s="17" t="str">
        <f aca="false">IF(D27="","",D27)</f>
        <v/>
      </c>
      <c r="P27" s="18" t="str">
        <f aca="false">IF(I27="","",IF(COUNTIF(Q27:AN27,TRUE())&gt;=I27,"PAGADO",IF(COUNTIF(Q27:AN27,TRUE())&gt;0,"PARCIAL","VIGENTE")))</f>
        <v/>
      </c>
      <c r="Q27" s="19" t="str">
        <f aca="false">IF(OR(I27="",I27&lt;1,O27=""),"",O27+0)</f>
        <v/>
      </c>
      <c r="R27" s="19" t="str">
        <f aca="false">IF(OR(I27="",I27&lt;2,O27=""),"",O27+30)</f>
        <v/>
      </c>
      <c r="S27" s="19" t="str">
        <f aca="false">IF(OR(I27="",I27&lt;3,O27=""),"",O27+60)</f>
        <v/>
      </c>
      <c r="T27" s="19" t="str">
        <f aca="false">IF(OR(I27="",I27&lt;4,O27=""),"",O27+90)</f>
        <v/>
      </c>
      <c r="U27" s="19" t="str">
        <f aca="false">IF(OR(I27="",I27&lt;5,O27=""),"",O27+120)</f>
        <v/>
      </c>
      <c r="V27" s="19" t="str">
        <f aca="false">IF(OR(I27="",I27&lt;6,O27=""),"",O27+150)</f>
        <v/>
      </c>
      <c r="W27" s="19" t="str">
        <f aca="false">IF(OR(I27="",I27&lt;7,O27=""),"",O27+180)</f>
        <v/>
      </c>
      <c r="X27" s="19" t="str">
        <f aca="false">IF(OR(I27="",I27&lt;8,O27=""),"",O27+210)</f>
        <v/>
      </c>
      <c r="Y27" s="19" t="str">
        <f aca="false">IF(OR(I27="",I27&lt;9,O27=""),"",O27+240)</f>
        <v/>
      </c>
      <c r="Z27" s="19" t="str">
        <f aca="false">IF(OR(I27="",I27&lt;10,O27=""),"",O27+270)</f>
        <v/>
      </c>
      <c r="AA27" s="19" t="str">
        <f aca="false">IF(OR(I27="",I27&lt;11,O27=""),"",O27+300)</f>
        <v/>
      </c>
      <c r="AB27" s="19" t="str">
        <f aca="false">IF(OR(I27="",I27&lt;12,O27=""),"",O27+330)</f>
        <v/>
      </c>
      <c r="AC27" s="19" t="str">
        <f aca="false">IF(OR(I27="",I27&lt;13,O27=""),"",O27+360)</f>
        <v/>
      </c>
      <c r="AD27" s="19" t="str">
        <f aca="false">IF(OR(I27="",I27&lt;14,O27=""),"",O27+390)</f>
        <v/>
      </c>
      <c r="AE27" s="19" t="str">
        <f aca="false">IF(OR(I27="",I27&lt;15,O27=""),"",O27+420)</f>
        <v/>
      </c>
      <c r="AF27" s="19" t="str">
        <f aca="false">IF(OR(I27="",I27&lt;16,O27=""),"",O27+450)</f>
        <v/>
      </c>
      <c r="AG27" s="19" t="str">
        <f aca="false">IF(OR(I27="",I27&lt;17,O27=""),"",O27+480)</f>
        <v/>
      </c>
      <c r="AH27" s="19" t="str">
        <f aca="false">IF(OR(I27="",I27&lt;18,O27=""),"",O27+510)</f>
        <v/>
      </c>
      <c r="AI27" s="19" t="str">
        <f aca="false">IF(OR(I27="",I27&lt;19,O27=""),"",O27+540)</f>
        <v/>
      </c>
      <c r="AJ27" s="19" t="str">
        <f aca="false">IF(OR(I27="",I27&lt;20,O27=""),"",O27+570)</f>
        <v/>
      </c>
      <c r="AK27" s="19" t="str">
        <f aca="false">IF(OR(I27="",I27&lt;21,O27=""),"",O27+600)</f>
        <v/>
      </c>
      <c r="AL27" s="19" t="str">
        <f aca="false">IF(OR(I27="",I27&lt;22,O27=""),"",O27+630)</f>
        <v/>
      </c>
      <c r="AM27" s="19" t="str">
        <f aca="false">IF(OR(I27="",I27&lt;23,O27=""),"",O27+660)</f>
        <v/>
      </c>
      <c r="AN27" s="19" t="str">
        <f aca="false">IF(OR(I27="",I27&lt;24,O27=""),"",O27+690)</f>
        <v/>
      </c>
      <c r="AO27" s="15" t="str">
        <f aca="false">IF(J27="","",COUNTIF(Q27:AN27,TRUE())*J27)</f>
        <v/>
      </c>
      <c r="AP27" s="15" t="str">
        <f aca="false">IF(K27="","",K27-AO27)</f>
        <v/>
      </c>
      <c r="AQ27" s="15" t="str">
        <f aca="false">IF(K27="","",K27-F27-IF(N27="",0,N27))</f>
        <v/>
      </c>
    </row>
    <row r="28" customFormat="false" ht="15" hidden="false" customHeight="false" outlineLevel="0" collapsed="false">
      <c r="A28" s="4"/>
      <c r="B28" s="4"/>
      <c r="C28" s="4"/>
      <c r="D28" s="5"/>
      <c r="E28" s="5"/>
      <c r="F28" s="6"/>
      <c r="G28" s="4"/>
      <c r="H28" s="4"/>
      <c r="I28" s="4"/>
      <c r="J28" s="6"/>
      <c r="K28" s="7" t="str">
        <f aca="false">IF(OR(I28="",J28=""),"",I28*J28)</f>
        <v/>
      </c>
      <c r="L28" s="4"/>
      <c r="M28" s="8"/>
      <c r="N28" s="7" t="str">
        <f aca="false">IF(OR(L28="",M28="",K28=""),"",IF(L28="GANANCIA",(K28-F28)*M28,IF(L28="BRUTO",K28*M28,"")))</f>
        <v/>
      </c>
      <c r="O28" s="9" t="str">
        <f aca="false">IF(D28="","",D28)</f>
        <v/>
      </c>
      <c r="P28" s="10" t="str">
        <f aca="false">IF(I28="","",IF(COUNTIF(Q28:AN28,TRUE())&gt;=I28,"PAGADO",IF(COUNTIF(Q28:AN28,TRUE())&gt;0,"PARCIAL","VIGENTE")))</f>
        <v/>
      </c>
      <c r="Q28" s="11" t="str">
        <f aca="false">IF(OR(I28="",I28&lt;1,O28=""),"",O28+0)</f>
        <v/>
      </c>
      <c r="R28" s="11" t="str">
        <f aca="false">IF(OR(I28="",I28&lt;2,O28=""),"",O28+30)</f>
        <v/>
      </c>
      <c r="S28" s="11" t="str">
        <f aca="false">IF(OR(I28="",I28&lt;3,O28=""),"",O28+60)</f>
        <v/>
      </c>
      <c r="T28" s="11" t="str">
        <f aca="false">IF(OR(I28="",I28&lt;4,O28=""),"",O28+90)</f>
        <v/>
      </c>
      <c r="U28" s="11" t="str">
        <f aca="false">IF(OR(I28="",I28&lt;5,O28=""),"",O28+120)</f>
        <v/>
      </c>
      <c r="V28" s="11" t="str">
        <f aca="false">IF(OR(I28="",I28&lt;6,O28=""),"",O28+150)</f>
        <v/>
      </c>
      <c r="W28" s="11" t="str">
        <f aca="false">IF(OR(I28="",I28&lt;7,O28=""),"",O28+180)</f>
        <v/>
      </c>
      <c r="X28" s="11" t="str">
        <f aca="false">IF(OR(I28="",I28&lt;8,O28=""),"",O28+210)</f>
        <v/>
      </c>
      <c r="Y28" s="11" t="str">
        <f aca="false">IF(OR(I28="",I28&lt;9,O28=""),"",O28+240)</f>
        <v/>
      </c>
      <c r="Z28" s="11" t="str">
        <f aca="false">IF(OR(I28="",I28&lt;10,O28=""),"",O28+270)</f>
        <v/>
      </c>
      <c r="AA28" s="11" t="str">
        <f aca="false">IF(OR(I28="",I28&lt;11,O28=""),"",O28+300)</f>
        <v/>
      </c>
      <c r="AB28" s="11" t="str">
        <f aca="false">IF(OR(I28="",I28&lt;12,O28=""),"",O28+330)</f>
        <v/>
      </c>
      <c r="AC28" s="11" t="str">
        <f aca="false">IF(OR(I28="",I28&lt;13,O28=""),"",O28+360)</f>
        <v/>
      </c>
      <c r="AD28" s="11" t="str">
        <f aca="false">IF(OR(I28="",I28&lt;14,O28=""),"",O28+390)</f>
        <v/>
      </c>
      <c r="AE28" s="11" t="str">
        <f aca="false">IF(OR(I28="",I28&lt;15,O28=""),"",O28+420)</f>
        <v/>
      </c>
      <c r="AF28" s="11" t="str">
        <f aca="false">IF(OR(I28="",I28&lt;16,O28=""),"",O28+450)</f>
        <v/>
      </c>
      <c r="AG28" s="11" t="str">
        <f aca="false">IF(OR(I28="",I28&lt;17,O28=""),"",O28+480)</f>
        <v/>
      </c>
      <c r="AH28" s="11" t="str">
        <f aca="false">IF(OR(I28="",I28&lt;18,O28=""),"",O28+510)</f>
        <v/>
      </c>
      <c r="AI28" s="11" t="str">
        <f aca="false">IF(OR(I28="",I28&lt;19,O28=""),"",O28+540)</f>
        <v/>
      </c>
      <c r="AJ28" s="11" t="str">
        <f aca="false">IF(OR(I28="",I28&lt;20,O28=""),"",O28+570)</f>
        <v/>
      </c>
      <c r="AK28" s="11" t="str">
        <f aca="false">IF(OR(I28="",I28&lt;21,O28=""),"",O28+600)</f>
        <v/>
      </c>
      <c r="AL28" s="11" t="str">
        <f aca="false">IF(OR(I28="",I28&lt;22,O28=""),"",O28+630)</f>
        <v/>
      </c>
      <c r="AM28" s="11" t="str">
        <f aca="false">IF(OR(I28="",I28&lt;23,O28=""),"",O28+660)</f>
        <v/>
      </c>
      <c r="AN28" s="11" t="str">
        <f aca="false">IF(OR(I28="",I28&lt;24,O28=""),"",O28+690)</f>
        <v/>
      </c>
      <c r="AO28" s="7" t="str">
        <f aca="false">IF(J28="","",COUNTIF(Q28:AN28,TRUE())*J28)</f>
        <v/>
      </c>
      <c r="AP28" s="7" t="str">
        <f aca="false">IF(K28="","",K28-AO28)</f>
        <v/>
      </c>
      <c r="AQ28" s="7" t="str">
        <f aca="false">IF(K28="","",K28-F28-IF(N28="",0,N28))</f>
        <v/>
      </c>
    </row>
    <row r="29" customFormat="false" ht="15" hidden="false" customHeight="false" outlineLevel="0" collapsed="false">
      <c r="A29" s="12"/>
      <c r="B29" s="12"/>
      <c r="C29" s="12"/>
      <c r="D29" s="13"/>
      <c r="E29" s="13"/>
      <c r="F29" s="14"/>
      <c r="G29" s="12"/>
      <c r="H29" s="12"/>
      <c r="I29" s="12"/>
      <c r="J29" s="14"/>
      <c r="K29" s="15" t="str">
        <f aca="false">IF(OR(I29="",J29=""),"",I29*J29)</f>
        <v/>
      </c>
      <c r="L29" s="12"/>
      <c r="M29" s="16"/>
      <c r="N29" s="15" t="str">
        <f aca="false">IF(OR(L29="",M29="",K29=""),"",IF(L29="GANANCIA",(K29-F29)*M29,IF(L29="BRUTO",K29*M29,"")))</f>
        <v/>
      </c>
      <c r="O29" s="17" t="str">
        <f aca="false">IF(D29="","",D29)</f>
        <v/>
      </c>
      <c r="P29" s="18" t="str">
        <f aca="false">IF(I29="","",IF(COUNTIF(Q29:AN29,TRUE())&gt;=I29,"PAGADO",IF(COUNTIF(Q29:AN29,TRUE())&gt;0,"PARCIAL","VIGENTE")))</f>
        <v/>
      </c>
      <c r="Q29" s="19" t="str">
        <f aca="false">IF(OR(I29="",I29&lt;1,O29=""),"",O29+0)</f>
        <v/>
      </c>
      <c r="R29" s="19" t="str">
        <f aca="false">IF(OR(I29="",I29&lt;2,O29=""),"",O29+30)</f>
        <v/>
      </c>
      <c r="S29" s="19" t="str">
        <f aca="false">IF(OR(I29="",I29&lt;3,O29=""),"",O29+60)</f>
        <v/>
      </c>
      <c r="T29" s="19" t="str">
        <f aca="false">IF(OR(I29="",I29&lt;4,O29=""),"",O29+90)</f>
        <v/>
      </c>
      <c r="U29" s="19" t="str">
        <f aca="false">IF(OR(I29="",I29&lt;5,O29=""),"",O29+120)</f>
        <v/>
      </c>
      <c r="V29" s="19" t="str">
        <f aca="false">IF(OR(I29="",I29&lt;6,O29=""),"",O29+150)</f>
        <v/>
      </c>
      <c r="W29" s="19" t="str">
        <f aca="false">IF(OR(I29="",I29&lt;7,O29=""),"",O29+180)</f>
        <v/>
      </c>
      <c r="X29" s="19" t="str">
        <f aca="false">IF(OR(I29="",I29&lt;8,O29=""),"",O29+210)</f>
        <v/>
      </c>
      <c r="Y29" s="19" t="str">
        <f aca="false">IF(OR(I29="",I29&lt;9,O29=""),"",O29+240)</f>
        <v/>
      </c>
      <c r="Z29" s="19" t="str">
        <f aca="false">IF(OR(I29="",I29&lt;10,O29=""),"",O29+270)</f>
        <v/>
      </c>
      <c r="AA29" s="19" t="str">
        <f aca="false">IF(OR(I29="",I29&lt;11,O29=""),"",O29+300)</f>
        <v/>
      </c>
      <c r="AB29" s="19" t="str">
        <f aca="false">IF(OR(I29="",I29&lt;12,O29=""),"",O29+330)</f>
        <v/>
      </c>
      <c r="AC29" s="19" t="str">
        <f aca="false">IF(OR(I29="",I29&lt;13,O29=""),"",O29+360)</f>
        <v/>
      </c>
      <c r="AD29" s="19" t="str">
        <f aca="false">IF(OR(I29="",I29&lt;14,O29=""),"",O29+390)</f>
        <v/>
      </c>
      <c r="AE29" s="19" t="str">
        <f aca="false">IF(OR(I29="",I29&lt;15,O29=""),"",O29+420)</f>
        <v/>
      </c>
      <c r="AF29" s="19" t="str">
        <f aca="false">IF(OR(I29="",I29&lt;16,O29=""),"",O29+450)</f>
        <v/>
      </c>
      <c r="AG29" s="19" t="str">
        <f aca="false">IF(OR(I29="",I29&lt;17,O29=""),"",O29+480)</f>
        <v/>
      </c>
      <c r="AH29" s="19" t="str">
        <f aca="false">IF(OR(I29="",I29&lt;18,O29=""),"",O29+510)</f>
        <v/>
      </c>
      <c r="AI29" s="19" t="str">
        <f aca="false">IF(OR(I29="",I29&lt;19,O29=""),"",O29+540)</f>
        <v/>
      </c>
      <c r="AJ29" s="19" t="str">
        <f aca="false">IF(OR(I29="",I29&lt;20,O29=""),"",O29+570)</f>
        <v/>
      </c>
      <c r="AK29" s="19" t="str">
        <f aca="false">IF(OR(I29="",I29&lt;21,O29=""),"",O29+600)</f>
        <v/>
      </c>
      <c r="AL29" s="19" t="str">
        <f aca="false">IF(OR(I29="",I29&lt;22,O29=""),"",O29+630)</f>
        <v/>
      </c>
      <c r="AM29" s="19" t="str">
        <f aca="false">IF(OR(I29="",I29&lt;23,O29=""),"",O29+660)</f>
        <v/>
      </c>
      <c r="AN29" s="19" t="str">
        <f aca="false">IF(OR(I29="",I29&lt;24,O29=""),"",O29+690)</f>
        <v/>
      </c>
      <c r="AO29" s="15" t="str">
        <f aca="false">IF(J29="","",COUNTIF(Q29:AN29,TRUE())*J29)</f>
        <v/>
      </c>
      <c r="AP29" s="15" t="str">
        <f aca="false">IF(K29="","",K29-AO29)</f>
        <v/>
      </c>
      <c r="AQ29" s="15" t="str">
        <f aca="false">IF(K29="","",K29-F29-IF(N29="",0,N29))</f>
        <v/>
      </c>
    </row>
    <row r="30" customFormat="false" ht="15" hidden="false" customHeight="false" outlineLevel="0" collapsed="false">
      <c r="A30" s="4"/>
      <c r="B30" s="4"/>
      <c r="C30" s="4"/>
      <c r="D30" s="5"/>
      <c r="E30" s="5"/>
      <c r="F30" s="6"/>
      <c r="G30" s="4"/>
      <c r="H30" s="4"/>
      <c r="I30" s="4"/>
      <c r="J30" s="6"/>
      <c r="K30" s="7" t="str">
        <f aca="false">IF(OR(I30="",J30=""),"",I30*J30)</f>
        <v/>
      </c>
      <c r="L30" s="4"/>
      <c r="M30" s="8"/>
      <c r="N30" s="7" t="str">
        <f aca="false">IF(OR(L30="",M30="",K30=""),"",IF(L30="GANANCIA",(K30-F30)*M30,IF(L30="BRUTO",K30*M30,"")))</f>
        <v/>
      </c>
      <c r="O30" s="9" t="str">
        <f aca="false">IF(D30="","",D30)</f>
        <v/>
      </c>
      <c r="P30" s="10" t="str">
        <f aca="false">IF(I30="","",IF(COUNTIF(Q30:AN30,TRUE())&gt;=I30,"PAGADO",IF(COUNTIF(Q30:AN30,TRUE())&gt;0,"PARCIAL","VIGENTE")))</f>
        <v/>
      </c>
      <c r="Q30" s="11" t="str">
        <f aca="false">IF(OR(I30="",I30&lt;1,O30=""),"",O30+0)</f>
        <v/>
      </c>
      <c r="R30" s="11" t="str">
        <f aca="false">IF(OR(I30="",I30&lt;2,O30=""),"",O30+30)</f>
        <v/>
      </c>
      <c r="S30" s="11" t="str">
        <f aca="false">IF(OR(I30="",I30&lt;3,O30=""),"",O30+60)</f>
        <v/>
      </c>
      <c r="T30" s="11" t="str">
        <f aca="false">IF(OR(I30="",I30&lt;4,O30=""),"",O30+90)</f>
        <v/>
      </c>
      <c r="U30" s="11" t="str">
        <f aca="false">IF(OR(I30="",I30&lt;5,O30=""),"",O30+120)</f>
        <v/>
      </c>
      <c r="V30" s="11" t="str">
        <f aca="false">IF(OR(I30="",I30&lt;6,O30=""),"",O30+150)</f>
        <v/>
      </c>
      <c r="W30" s="11" t="str">
        <f aca="false">IF(OR(I30="",I30&lt;7,O30=""),"",O30+180)</f>
        <v/>
      </c>
      <c r="X30" s="11" t="str">
        <f aca="false">IF(OR(I30="",I30&lt;8,O30=""),"",O30+210)</f>
        <v/>
      </c>
      <c r="Y30" s="11" t="str">
        <f aca="false">IF(OR(I30="",I30&lt;9,O30=""),"",O30+240)</f>
        <v/>
      </c>
      <c r="Z30" s="11" t="str">
        <f aca="false">IF(OR(I30="",I30&lt;10,O30=""),"",O30+270)</f>
        <v/>
      </c>
      <c r="AA30" s="11" t="str">
        <f aca="false">IF(OR(I30="",I30&lt;11,O30=""),"",O30+300)</f>
        <v/>
      </c>
      <c r="AB30" s="11" t="str">
        <f aca="false">IF(OR(I30="",I30&lt;12,O30=""),"",O30+330)</f>
        <v/>
      </c>
      <c r="AC30" s="11" t="str">
        <f aca="false">IF(OR(I30="",I30&lt;13,O30=""),"",O30+360)</f>
        <v/>
      </c>
      <c r="AD30" s="11" t="str">
        <f aca="false">IF(OR(I30="",I30&lt;14,O30=""),"",O30+390)</f>
        <v/>
      </c>
      <c r="AE30" s="11" t="str">
        <f aca="false">IF(OR(I30="",I30&lt;15,O30=""),"",O30+420)</f>
        <v/>
      </c>
      <c r="AF30" s="11" t="str">
        <f aca="false">IF(OR(I30="",I30&lt;16,O30=""),"",O30+450)</f>
        <v/>
      </c>
      <c r="AG30" s="11" t="str">
        <f aca="false">IF(OR(I30="",I30&lt;17,O30=""),"",O30+480)</f>
        <v/>
      </c>
      <c r="AH30" s="11" t="str">
        <f aca="false">IF(OR(I30="",I30&lt;18,O30=""),"",O30+510)</f>
        <v/>
      </c>
      <c r="AI30" s="11" t="str">
        <f aca="false">IF(OR(I30="",I30&lt;19,O30=""),"",O30+540)</f>
        <v/>
      </c>
      <c r="AJ30" s="11" t="str">
        <f aca="false">IF(OR(I30="",I30&lt;20,O30=""),"",O30+570)</f>
        <v/>
      </c>
      <c r="AK30" s="11" t="str">
        <f aca="false">IF(OR(I30="",I30&lt;21,O30=""),"",O30+600)</f>
        <v/>
      </c>
      <c r="AL30" s="11" t="str">
        <f aca="false">IF(OR(I30="",I30&lt;22,O30=""),"",O30+630)</f>
        <v/>
      </c>
      <c r="AM30" s="11" t="str">
        <f aca="false">IF(OR(I30="",I30&lt;23,O30=""),"",O30+660)</f>
        <v/>
      </c>
      <c r="AN30" s="11" t="str">
        <f aca="false">IF(OR(I30="",I30&lt;24,O30=""),"",O30+690)</f>
        <v/>
      </c>
      <c r="AO30" s="7" t="str">
        <f aca="false">IF(J30="","",COUNTIF(Q30:AN30,TRUE())*J30)</f>
        <v/>
      </c>
      <c r="AP30" s="7" t="str">
        <f aca="false">IF(K30="","",K30-AO30)</f>
        <v/>
      </c>
      <c r="AQ30" s="7" t="str">
        <f aca="false">IF(K30="","",K30-F30-IF(N30="",0,N30))</f>
        <v/>
      </c>
    </row>
    <row r="31" customFormat="false" ht="15" hidden="false" customHeight="false" outlineLevel="0" collapsed="false">
      <c r="A31" s="12"/>
      <c r="B31" s="12"/>
      <c r="C31" s="12"/>
      <c r="D31" s="13"/>
      <c r="E31" s="13"/>
      <c r="F31" s="14"/>
      <c r="G31" s="12"/>
      <c r="H31" s="12"/>
      <c r="I31" s="12"/>
      <c r="J31" s="14"/>
      <c r="K31" s="15" t="str">
        <f aca="false">IF(OR(I31="",J31=""),"",I31*J31)</f>
        <v/>
      </c>
      <c r="L31" s="12"/>
      <c r="M31" s="16"/>
      <c r="N31" s="15" t="str">
        <f aca="false">IF(OR(L31="",M31="",K31=""),"",IF(L31="GANANCIA",(K31-F31)*M31,IF(L31="BRUTO",K31*M31,"")))</f>
        <v/>
      </c>
      <c r="O31" s="17" t="str">
        <f aca="false">IF(D31="","",D31)</f>
        <v/>
      </c>
      <c r="P31" s="18" t="str">
        <f aca="false">IF(I31="","",IF(COUNTIF(Q31:AN31,TRUE())&gt;=I31,"PAGADO",IF(COUNTIF(Q31:AN31,TRUE())&gt;0,"PARCIAL","VIGENTE")))</f>
        <v/>
      </c>
      <c r="Q31" s="19" t="str">
        <f aca="false">IF(OR(I31="",I31&lt;1,O31=""),"",O31+0)</f>
        <v/>
      </c>
      <c r="R31" s="19" t="str">
        <f aca="false">IF(OR(I31="",I31&lt;2,O31=""),"",O31+30)</f>
        <v/>
      </c>
      <c r="S31" s="19" t="str">
        <f aca="false">IF(OR(I31="",I31&lt;3,O31=""),"",O31+60)</f>
        <v/>
      </c>
      <c r="T31" s="19" t="str">
        <f aca="false">IF(OR(I31="",I31&lt;4,O31=""),"",O31+90)</f>
        <v/>
      </c>
      <c r="U31" s="19" t="str">
        <f aca="false">IF(OR(I31="",I31&lt;5,O31=""),"",O31+120)</f>
        <v/>
      </c>
      <c r="V31" s="19" t="str">
        <f aca="false">IF(OR(I31="",I31&lt;6,O31=""),"",O31+150)</f>
        <v/>
      </c>
      <c r="W31" s="19" t="str">
        <f aca="false">IF(OR(I31="",I31&lt;7,O31=""),"",O31+180)</f>
        <v/>
      </c>
      <c r="X31" s="19" t="str">
        <f aca="false">IF(OR(I31="",I31&lt;8,O31=""),"",O31+210)</f>
        <v/>
      </c>
      <c r="Y31" s="19" t="str">
        <f aca="false">IF(OR(I31="",I31&lt;9,O31=""),"",O31+240)</f>
        <v/>
      </c>
      <c r="Z31" s="19" t="str">
        <f aca="false">IF(OR(I31="",I31&lt;10,O31=""),"",O31+270)</f>
        <v/>
      </c>
      <c r="AA31" s="19" t="str">
        <f aca="false">IF(OR(I31="",I31&lt;11,O31=""),"",O31+300)</f>
        <v/>
      </c>
      <c r="AB31" s="19" t="str">
        <f aca="false">IF(OR(I31="",I31&lt;12,O31=""),"",O31+330)</f>
        <v/>
      </c>
      <c r="AC31" s="19" t="str">
        <f aca="false">IF(OR(I31="",I31&lt;13,O31=""),"",O31+360)</f>
        <v/>
      </c>
      <c r="AD31" s="19" t="str">
        <f aca="false">IF(OR(I31="",I31&lt;14,O31=""),"",O31+390)</f>
        <v/>
      </c>
      <c r="AE31" s="19" t="str">
        <f aca="false">IF(OR(I31="",I31&lt;15,O31=""),"",O31+420)</f>
        <v/>
      </c>
      <c r="AF31" s="19" t="str">
        <f aca="false">IF(OR(I31="",I31&lt;16,O31=""),"",O31+450)</f>
        <v/>
      </c>
      <c r="AG31" s="19" t="str">
        <f aca="false">IF(OR(I31="",I31&lt;17,O31=""),"",O31+480)</f>
        <v/>
      </c>
      <c r="AH31" s="19" t="str">
        <f aca="false">IF(OR(I31="",I31&lt;18,O31=""),"",O31+510)</f>
        <v/>
      </c>
      <c r="AI31" s="19" t="str">
        <f aca="false">IF(OR(I31="",I31&lt;19,O31=""),"",O31+540)</f>
        <v/>
      </c>
      <c r="AJ31" s="19" t="str">
        <f aca="false">IF(OR(I31="",I31&lt;20,O31=""),"",O31+570)</f>
        <v/>
      </c>
      <c r="AK31" s="19" t="str">
        <f aca="false">IF(OR(I31="",I31&lt;21,O31=""),"",O31+600)</f>
        <v/>
      </c>
      <c r="AL31" s="19" t="str">
        <f aca="false">IF(OR(I31="",I31&lt;22,O31=""),"",O31+630)</f>
        <v/>
      </c>
      <c r="AM31" s="19" t="str">
        <f aca="false">IF(OR(I31="",I31&lt;23,O31=""),"",O31+660)</f>
        <v/>
      </c>
      <c r="AN31" s="19" t="str">
        <f aca="false">IF(OR(I31="",I31&lt;24,O31=""),"",O31+690)</f>
        <v/>
      </c>
      <c r="AO31" s="15" t="str">
        <f aca="false">IF(J31="","",COUNTIF(Q31:AN31,TRUE())*J31)</f>
        <v/>
      </c>
      <c r="AP31" s="15" t="str">
        <f aca="false">IF(K31="","",K31-AO31)</f>
        <v/>
      </c>
      <c r="AQ31" s="15" t="str">
        <f aca="false">IF(K31="","",K31-F31-IF(N31="",0,N31))</f>
        <v/>
      </c>
    </row>
    <row r="32" customFormat="false" ht="15" hidden="false" customHeight="false" outlineLevel="0" collapsed="false">
      <c r="A32" s="4"/>
      <c r="B32" s="4"/>
      <c r="C32" s="4"/>
      <c r="D32" s="5"/>
      <c r="E32" s="5"/>
      <c r="F32" s="6"/>
      <c r="G32" s="4"/>
      <c r="H32" s="4"/>
      <c r="I32" s="4"/>
      <c r="J32" s="6"/>
      <c r="K32" s="7" t="str">
        <f aca="false">IF(OR(I32="",J32=""),"",I32*J32)</f>
        <v/>
      </c>
      <c r="L32" s="4"/>
      <c r="M32" s="8"/>
      <c r="N32" s="7" t="str">
        <f aca="false">IF(OR(L32="",M32="",K32=""),"",IF(L32="GANANCIA",(K32-F32)*M32,IF(L32="BRUTO",K32*M32,"")))</f>
        <v/>
      </c>
      <c r="O32" s="9" t="str">
        <f aca="false">IF(D32="","",D32)</f>
        <v/>
      </c>
      <c r="P32" s="10" t="str">
        <f aca="false">IF(I32="","",IF(COUNTIF(Q32:AN32,TRUE())&gt;=I32,"PAGADO",IF(COUNTIF(Q32:AN32,TRUE())&gt;0,"PARCIAL","VIGENTE")))</f>
        <v/>
      </c>
      <c r="Q32" s="11" t="str">
        <f aca="false">IF(OR(I32="",I32&lt;1,O32=""),"",O32+0)</f>
        <v/>
      </c>
      <c r="R32" s="11" t="str">
        <f aca="false">IF(OR(I32="",I32&lt;2,O32=""),"",O32+30)</f>
        <v/>
      </c>
      <c r="S32" s="11" t="str">
        <f aca="false">IF(OR(I32="",I32&lt;3,O32=""),"",O32+60)</f>
        <v/>
      </c>
      <c r="T32" s="11" t="str">
        <f aca="false">IF(OR(I32="",I32&lt;4,O32=""),"",O32+90)</f>
        <v/>
      </c>
      <c r="U32" s="11" t="str">
        <f aca="false">IF(OR(I32="",I32&lt;5,O32=""),"",O32+120)</f>
        <v/>
      </c>
      <c r="V32" s="11" t="str">
        <f aca="false">IF(OR(I32="",I32&lt;6,O32=""),"",O32+150)</f>
        <v/>
      </c>
      <c r="W32" s="11" t="str">
        <f aca="false">IF(OR(I32="",I32&lt;7,O32=""),"",O32+180)</f>
        <v/>
      </c>
      <c r="X32" s="11" t="str">
        <f aca="false">IF(OR(I32="",I32&lt;8,O32=""),"",O32+210)</f>
        <v/>
      </c>
      <c r="Y32" s="11" t="str">
        <f aca="false">IF(OR(I32="",I32&lt;9,O32=""),"",O32+240)</f>
        <v/>
      </c>
      <c r="Z32" s="11" t="str">
        <f aca="false">IF(OR(I32="",I32&lt;10,O32=""),"",O32+270)</f>
        <v/>
      </c>
      <c r="AA32" s="11" t="str">
        <f aca="false">IF(OR(I32="",I32&lt;11,O32=""),"",O32+300)</f>
        <v/>
      </c>
      <c r="AB32" s="11" t="str">
        <f aca="false">IF(OR(I32="",I32&lt;12,O32=""),"",O32+330)</f>
        <v/>
      </c>
      <c r="AC32" s="11" t="str">
        <f aca="false">IF(OR(I32="",I32&lt;13,O32=""),"",O32+360)</f>
        <v/>
      </c>
      <c r="AD32" s="11" t="str">
        <f aca="false">IF(OR(I32="",I32&lt;14,O32=""),"",O32+390)</f>
        <v/>
      </c>
      <c r="AE32" s="11" t="str">
        <f aca="false">IF(OR(I32="",I32&lt;15,O32=""),"",O32+420)</f>
        <v/>
      </c>
      <c r="AF32" s="11" t="str">
        <f aca="false">IF(OR(I32="",I32&lt;16,O32=""),"",O32+450)</f>
        <v/>
      </c>
      <c r="AG32" s="11" t="str">
        <f aca="false">IF(OR(I32="",I32&lt;17,O32=""),"",O32+480)</f>
        <v/>
      </c>
      <c r="AH32" s="11" t="str">
        <f aca="false">IF(OR(I32="",I32&lt;18,O32=""),"",O32+510)</f>
        <v/>
      </c>
      <c r="AI32" s="11" t="str">
        <f aca="false">IF(OR(I32="",I32&lt;19,O32=""),"",O32+540)</f>
        <v/>
      </c>
      <c r="AJ32" s="11" t="str">
        <f aca="false">IF(OR(I32="",I32&lt;20,O32=""),"",O32+570)</f>
        <v/>
      </c>
      <c r="AK32" s="11" t="str">
        <f aca="false">IF(OR(I32="",I32&lt;21,O32=""),"",O32+600)</f>
        <v/>
      </c>
      <c r="AL32" s="11" t="str">
        <f aca="false">IF(OR(I32="",I32&lt;22,O32=""),"",O32+630)</f>
        <v/>
      </c>
      <c r="AM32" s="11" t="str">
        <f aca="false">IF(OR(I32="",I32&lt;23,O32=""),"",O32+660)</f>
        <v/>
      </c>
      <c r="AN32" s="11" t="str">
        <f aca="false">IF(OR(I32="",I32&lt;24,O32=""),"",O32+690)</f>
        <v/>
      </c>
      <c r="AO32" s="7" t="str">
        <f aca="false">IF(J32="","",COUNTIF(Q32:AN32,TRUE())*J32)</f>
        <v/>
      </c>
      <c r="AP32" s="7" t="str">
        <f aca="false">IF(K32="","",K32-AO32)</f>
        <v/>
      </c>
      <c r="AQ32" s="7" t="str">
        <f aca="false">IF(K32="","",K32-F32-IF(N32="",0,N32))</f>
        <v/>
      </c>
    </row>
    <row r="33" customFormat="false" ht="15" hidden="false" customHeight="false" outlineLevel="0" collapsed="false">
      <c r="A33" s="12"/>
      <c r="B33" s="12"/>
      <c r="C33" s="12"/>
      <c r="D33" s="13"/>
      <c r="E33" s="13"/>
      <c r="F33" s="14"/>
      <c r="G33" s="12"/>
      <c r="H33" s="12"/>
      <c r="I33" s="12"/>
      <c r="J33" s="14"/>
      <c r="K33" s="15" t="str">
        <f aca="false">IF(OR(I33="",J33=""),"",I33*J33)</f>
        <v/>
      </c>
      <c r="L33" s="12"/>
      <c r="M33" s="16"/>
      <c r="N33" s="15" t="str">
        <f aca="false">IF(OR(L33="",M33="",K33=""),"",IF(L33="GANANCIA",(K33-F33)*M33,IF(L33="BRUTO",K33*M33,"")))</f>
        <v/>
      </c>
      <c r="O33" s="17" t="str">
        <f aca="false">IF(D33="","",D33)</f>
        <v/>
      </c>
      <c r="P33" s="18" t="str">
        <f aca="false">IF(I33="","",IF(COUNTIF(Q33:AN33,TRUE())&gt;=I33,"PAGADO",IF(COUNTIF(Q33:AN33,TRUE())&gt;0,"PARCIAL","VIGENTE")))</f>
        <v/>
      </c>
      <c r="Q33" s="19" t="str">
        <f aca="false">IF(OR(I33="",I33&lt;1,O33=""),"",O33+0)</f>
        <v/>
      </c>
      <c r="R33" s="19" t="str">
        <f aca="false">IF(OR(I33="",I33&lt;2,O33=""),"",O33+30)</f>
        <v/>
      </c>
      <c r="S33" s="19" t="str">
        <f aca="false">IF(OR(I33="",I33&lt;3,O33=""),"",O33+60)</f>
        <v/>
      </c>
      <c r="T33" s="19" t="str">
        <f aca="false">IF(OR(I33="",I33&lt;4,O33=""),"",O33+90)</f>
        <v/>
      </c>
      <c r="U33" s="19" t="str">
        <f aca="false">IF(OR(I33="",I33&lt;5,O33=""),"",O33+120)</f>
        <v/>
      </c>
      <c r="V33" s="19" t="str">
        <f aca="false">IF(OR(I33="",I33&lt;6,O33=""),"",O33+150)</f>
        <v/>
      </c>
      <c r="W33" s="19" t="str">
        <f aca="false">IF(OR(I33="",I33&lt;7,O33=""),"",O33+180)</f>
        <v/>
      </c>
      <c r="X33" s="19" t="str">
        <f aca="false">IF(OR(I33="",I33&lt;8,O33=""),"",O33+210)</f>
        <v/>
      </c>
      <c r="Y33" s="19" t="str">
        <f aca="false">IF(OR(I33="",I33&lt;9,O33=""),"",O33+240)</f>
        <v/>
      </c>
      <c r="Z33" s="19" t="str">
        <f aca="false">IF(OR(I33="",I33&lt;10,O33=""),"",O33+270)</f>
        <v/>
      </c>
      <c r="AA33" s="19" t="str">
        <f aca="false">IF(OR(I33="",I33&lt;11,O33=""),"",O33+300)</f>
        <v/>
      </c>
      <c r="AB33" s="19" t="str">
        <f aca="false">IF(OR(I33="",I33&lt;12,O33=""),"",O33+330)</f>
        <v/>
      </c>
      <c r="AC33" s="19" t="str">
        <f aca="false">IF(OR(I33="",I33&lt;13,O33=""),"",O33+360)</f>
        <v/>
      </c>
      <c r="AD33" s="19" t="str">
        <f aca="false">IF(OR(I33="",I33&lt;14,O33=""),"",O33+390)</f>
        <v/>
      </c>
      <c r="AE33" s="19" t="str">
        <f aca="false">IF(OR(I33="",I33&lt;15,O33=""),"",O33+420)</f>
        <v/>
      </c>
      <c r="AF33" s="19" t="str">
        <f aca="false">IF(OR(I33="",I33&lt;16,O33=""),"",O33+450)</f>
        <v/>
      </c>
      <c r="AG33" s="19" t="str">
        <f aca="false">IF(OR(I33="",I33&lt;17,O33=""),"",O33+480)</f>
        <v/>
      </c>
      <c r="AH33" s="19" t="str">
        <f aca="false">IF(OR(I33="",I33&lt;18,O33=""),"",O33+510)</f>
        <v/>
      </c>
      <c r="AI33" s="19" t="str">
        <f aca="false">IF(OR(I33="",I33&lt;19,O33=""),"",O33+540)</f>
        <v/>
      </c>
      <c r="AJ33" s="19" t="str">
        <f aca="false">IF(OR(I33="",I33&lt;20,O33=""),"",O33+570)</f>
        <v/>
      </c>
      <c r="AK33" s="19" t="str">
        <f aca="false">IF(OR(I33="",I33&lt;21,O33=""),"",O33+600)</f>
        <v/>
      </c>
      <c r="AL33" s="19" t="str">
        <f aca="false">IF(OR(I33="",I33&lt;22,O33=""),"",O33+630)</f>
        <v/>
      </c>
      <c r="AM33" s="19" t="str">
        <f aca="false">IF(OR(I33="",I33&lt;23,O33=""),"",O33+660)</f>
        <v/>
      </c>
      <c r="AN33" s="19" t="str">
        <f aca="false">IF(OR(I33="",I33&lt;24,O33=""),"",O33+690)</f>
        <v/>
      </c>
      <c r="AO33" s="15" t="str">
        <f aca="false">IF(J33="","",COUNTIF(Q33:AN33,TRUE())*J33)</f>
        <v/>
      </c>
      <c r="AP33" s="15" t="str">
        <f aca="false">IF(K33="","",K33-AO33)</f>
        <v/>
      </c>
      <c r="AQ33" s="15" t="str">
        <f aca="false">IF(K33="","",K33-F33-IF(N33="",0,N33))</f>
        <v/>
      </c>
    </row>
    <row r="34" customFormat="false" ht="15" hidden="false" customHeight="false" outlineLevel="0" collapsed="false">
      <c r="A34" s="4"/>
      <c r="B34" s="4"/>
      <c r="C34" s="4"/>
      <c r="D34" s="5"/>
      <c r="E34" s="5"/>
      <c r="F34" s="6"/>
      <c r="G34" s="4"/>
      <c r="H34" s="4"/>
      <c r="I34" s="4"/>
      <c r="J34" s="6"/>
      <c r="K34" s="7" t="str">
        <f aca="false">IF(OR(I34="",J34=""),"",I34*J34)</f>
        <v/>
      </c>
      <c r="L34" s="4"/>
      <c r="M34" s="8"/>
      <c r="N34" s="7" t="str">
        <f aca="false">IF(OR(L34="",M34="",K34=""),"",IF(L34="GANANCIA",(K34-F34)*M34,IF(L34="BRUTO",K34*M34,"")))</f>
        <v/>
      </c>
      <c r="O34" s="9" t="str">
        <f aca="false">IF(D34="","",D34)</f>
        <v/>
      </c>
      <c r="P34" s="10" t="str">
        <f aca="false">IF(I34="","",IF(COUNTIF(Q34:AN34,TRUE())&gt;=I34,"PAGADO",IF(COUNTIF(Q34:AN34,TRUE())&gt;0,"PARCIAL","VIGENTE")))</f>
        <v/>
      </c>
      <c r="Q34" s="11" t="str">
        <f aca="false">IF(OR(I34="",I34&lt;1,O34=""),"",O34+0)</f>
        <v/>
      </c>
      <c r="R34" s="11" t="str">
        <f aca="false">IF(OR(I34="",I34&lt;2,O34=""),"",O34+30)</f>
        <v/>
      </c>
      <c r="S34" s="11" t="str">
        <f aca="false">IF(OR(I34="",I34&lt;3,O34=""),"",O34+60)</f>
        <v/>
      </c>
      <c r="T34" s="11" t="str">
        <f aca="false">IF(OR(I34="",I34&lt;4,O34=""),"",O34+90)</f>
        <v/>
      </c>
      <c r="U34" s="11" t="str">
        <f aca="false">IF(OR(I34="",I34&lt;5,O34=""),"",O34+120)</f>
        <v/>
      </c>
      <c r="V34" s="11" t="str">
        <f aca="false">IF(OR(I34="",I34&lt;6,O34=""),"",O34+150)</f>
        <v/>
      </c>
      <c r="W34" s="11" t="str">
        <f aca="false">IF(OR(I34="",I34&lt;7,O34=""),"",O34+180)</f>
        <v/>
      </c>
      <c r="X34" s="11" t="str">
        <f aca="false">IF(OR(I34="",I34&lt;8,O34=""),"",O34+210)</f>
        <v/>
      </c>
      <c r="Y34" s="11" t="str">
        <f aca="false">IF(OR(I34="",I34&lt;9,O34=""),"",O34+240)</f>
        <v/>
      </c>
      <c r="Z34" s="11" t="str">
        <f aca="false">IF(OR(I34="",I34&lt;10,O34=""),"",O34+270)</f>
        <v/>
      </c>
      <c r="AA34" s="11" t="str">
        <f aca="false">IF(OR(I34="",I34&lt;11,O34=""),"",O34+300)</f>
        <v/>
      </c>
      <c r="AB34" s="11" t="str">
        <f aca="false">IF(OR(I34="",I34&lt;12,O34=""),"",O34+330)</f>
        <v/>
      </c>
      <c r="AC34" s="11" t="str">
        <f aca="false">IF(OR(I34="",I34&lt;13,O34=""),"",O34+360)</f>
        <v/>
      </c>
      <c r="AD34" s="11" t="str">
        <f aca="false">IF(OR(I34="",I34&lt;14,O34=""),"",O34+390)</f>
        <v/>
      </c>
      <c r="AE34" s="11" t="str">
        <f aca="false">IF(OR(I34="",I34&lt;15,O34=""),"",O34+420)</f>
        <v/>
      </c>
      <c r="AF34" s="11" t="str">
        <f aca="false">IF(OR(I34="",I34&lt;16,O34=""),"",O34+450)</f>
        <v/>
      </c>
      <c r="AG34" s="11" t="str">
        <f aca="false">IF(OR(I34="",I34&lt;17,O34=""),"",O34+480)</f>
        <v/>
      </c>
      <c r="AH34" s="11" t="str">
        <f aca="false">IF(OR(I34="",I34&lt;18,O34=""),"",O34+510)</f>
        <v/>
      </c>
      <c r="AI34" s="11" t="str">
        <f aca="false">IF(OR(I34="",I34&lt;19,O34=""),"",O34+540)</f>
        <v/>
      </c>
      <c r="AJ34" s="11" t="str">
        <f aca="false">IF(OR(I34="",I34&lt;20,O34=""),"",O34+570)</f>
        <v/>
      </c>
      <c r="AK34" s="11" t="str">
        <f aca="false">IF(OR(I34="",I34&lt;21,O34=""),"",O34+600)</f>
        <v/>
      </c>
      <c r="AL34" s="11" t="str">
        <f aca="false">IF(OR(I34="",I34&lt;22,O34=""),"",O34+630)</f>
        <v/>
      </c>
      <c r="AM34" s="11" t="str">
        <f aca="false">IF(OR(I34="",I34&lt;23,O34=""),"",O34+660)</f>
        <v/>
      </c>
      <c r="AN34" s="11" t="str">
        <f aca="false">IF(OR(I34="",I34&lt;24,O34=""),"",O34+690)</f>
        <v/>
      </c>
      <c r="AO34" s="7" t="str">
        <f aca="false">IF(J34="","",COUNTIF(Q34:AN34,TRUE())*J34)</f>
        <v/>
      </c>
      <c r="AP34" s="7" t="str">
        <f aca="false">IF(K34="","",K34-AO34)</f>
        <v/>
      </c>
      <c r="AQ34" s="7" t="str">
        <f aca="false">IF(K34="","",K34-F34-IF(N34="",0,N34))</f>
        <v/>
      </c>
    </row>
    <row r="35" customFormat="false" ht="15" hidden="false" customHeight="false" outlineLevel="0" collapsed="false">
      <c r="A35" s="12"/>
      <c r="B35" s="12"/>
      <c r="C35" s="12"/>
      <c r="D35" s="13"/>
      <c r="E35" s="13"/>
      <c r="F35" s="14"/>
      <c r="G35" s="12"/>
      <c r="H35" s="12"/>
      <c r="I35" s="12"/>
      <c r="J35" s="14"/>
      <c r="K35" s="15" t="str">
        <f aca="false">IF(OR(I35="",J35=""),"",I35*J35)</f>
        <v/>
      </c>
      <c r="L35" s="12"/>
      <c r="M35" s="16"/>
      <c r="N35" s="15" t="str">
        <f aca="false">IF(OR(L35="",M35="",K35=""),"",IF(L35="GANANCIA",(K35-F35)*M35,IF(L35="BRUTO",K35*M35,"")))</f>
        <v/>
      </c>
      <c r="O35" s="17" t="str">
        <f aca="false">IF(D35="","",D35)</f>
        <v/>
      </c>
      <c r="P35" s="18" t="str">
        <f aca="false">IF(I35="","",IF(COUNTIF(Q35:AN35,TRUE())&gt;=I35,"PAGADO",IF(COUNTIF(Q35:AN35,TRUE())&gt;0,"PARCIAL","VIGENTE")))</f>
        <v/>
      </c>
      <c r="Q35" s="19" t="str">
        <f aca="false">IF(OR(I35="",I35&lt;1,O35=""),"",O35+0)</f>
        <v/>
      </c>
      <c r="R35" s="19" t="str">
        <f aca="false">IF(OR(I35="",I35&lt;2,O35=""),"",O35+30)</f>
        <v/>
      </c>
      <c r="S35" s="19" t="str">
        <f aca="false">IF(OR(I35="",I35&lt;3,O35=""),"",O35+60)</f>
        <v/>
      </c>
      <c r="T35" s="19" t="str">
        <f aca="false">IF(OR(I35="",I35&lt;4,O35=""),"",O35+90)</f>
        <v/>
      </c>
      <c r="U35" s="19" t="str">
        <f aca="false">IF(OR(I35="",I35&lt;5,O35=""),"",O35+120)</f>
        <v/>
      </c>
      <c r="V35" s="19" t="str">
        <f aca="false">IF(OR(I35="",I35&lt;6,O35=""),"",O35+150)</f>
        <v/>
      </c>
      <c r="W35" s="19" t="str">
        <f aca="false">IF(OR(I35="",I35&lt;7,O35=""),"",O35+180)</f>
        <v/>
      </c>
      <c r="X35" s="19" t="str">
        <f aca="false">IF(OR(I35="",I35&lt;8,O35=""),"",O35+210)</f>
        <v/>
      </c>
      <c r="Y35" s="19" t="str">
        <f aca="false">IF(OR(I35="",I35&lt;9,O35=""),"",O35+240)</f>
        <v/>
      </c>
      <c r="Z35" s="19" t="str">
        <f aca="false">IF(OR(I35="",I35&lt;10,O35=""),"",O35+270)</f>
        <v/>
      </c>
      <c r="AA35" s="19" t="str">
        <f aca="false">IF(OR(I35="",I35&lt;11,O35=""),"",O35+300)</f>
        <v/>
      </c>
      <c r="AB35" s="19" t="str">
        <f aca="false">IF(OR(I35="",I35&lt;12,O35=""),"",O35+330)</f>
        <v/>
      </c>
      <c r="AC35" s="19" t="str">
        <f aca="false">IF(OR(I35="",I35&lt;13,O35=""),"",O35+360)</f>
        <v/>
      </c>
      <c r="AD35" s="19" t="str">
        <f aca="false">IF(OR(I35="",I35&lt;14,O35=""),"",O35+390)</f>
        <v/>
      </c>
      <c r="AE35" s="19" t="str">
        <f aca="false">IF(OR(I35="",I35&lt;15,O35=""),"",O35+420)</f>
        <v/>
      </c>
      <c r="AF35" s="19" t="str">
        <f aca="false">IF(OR(I35="",I35&lt;16,O35=""),"",O35+450)</f>
        <v/>
      </c>
      <c r="AG35" s="19" t="str">
        <f aca="false">IF(OR(I35="",I35&lt;17,O35=""),"",O35+480)</f>
        <v/>
      </c>
      <c r="AH35" s="19" t="str">
        <f aca="false">IF(OR(I35="",I35&lt;18,O35=""),"",O35+510)</f>
        <v/>
      </c>
      <c r="AI35" s="19" t="str">
        <f aca="false">IF(OR(I35="",I35&lt;19,O35=""),"",O35+540)</f>
        <v/>
      </c>
      <c r="AJ35" s="19" t="str">
        <f aca="false">IF(OR(I35="",I35&lt;20,O35=""),"",O35+570)</f>
        <v/>
      </c>
      <c r="AK35" s="19" t="str">
        <f aca="false">IF(OR(I35="",I35&lt;21,O35=""),"",O35+600)</f>
        <v/>
      </c>
      <c r="AL35" s="19" t="str">
        <f aca="false">IF(OR(I35="",I35&lt;22,O35=""),"",O35+630)</f>
        <v/>
      </c>
      <c r="AM35" s="19" t="str">
        <f aca="false">IF(OR(I35="",I35&lt;23,O35=""),"",O35+660)</f>
        <v/>
      </c>
      <c r="AN35" s="19" t="str">
        <f aca="false">IF(OR(I35="",I35&lt;24,O35=""),"",O35+690)</f>
        <v/>
      </c>
      <c r="AO35" s="15" t="str">
        <f aca="false">IF(J35="","",COUNTIF(Q35:AN35,TRUE())*J35)</f>
        <v/>
      </c>
      <c r="AP35" s="15" t="str">
        <f aca="false">IF(K35="","",K35-AO35)</f>
        <v/>
      </c>
      <c r="AQ35" s="15" t="str">
        <f aca="false">IF(K35="","",K35-F35-IF(N35="",0,N35))</f>
        <v/>
      </c>
    </row>
    <row r="36" customFormat="false" ht="15" hidden="false" customHeight="false" outlineLevel="0" collapsed="false">
      <c r="A36" s="4"/>
      <c r="B36" s="4"/>
      <c r="C36" s="4"/>
      <c r="D36" s="5"/>
      <c r="E36" s="5"/>
      <c r="F36" s="6"/>
      <c r="G36" s="4"/>
      <c r="H36" s="4"/>
      <c r="I36" s="4"/>
      <c r="J36" s="6"/>
      <c r="K36" s="7" t="str">
        <f aca="false">IF(OR(I36="",J36=""),"",I36*J36)</f>
        <v/>
      </c>
      <c r="L36" s="4"/>
      <c r="M36" s="8"/>
      <c r="N36" s="7" t="str">
        <f aca="false">IF(OR(L36="",M36="",K36=""),"",IF(L36="GANANCIA",(K36-F36)*M36,IF(L36="BRUTO",K36*M36,"")))</f>
        <v/>
      </c>
      <c r="O36" s="9" t="str">
        <f aca="false">IF(D36="","",D36)</f>
        <v/>
      </c>
      <c r="P36" s="10" t="str">
        <f aca="false">IF(I36="","",IF(COUNTIF(Q36:AN36,TRUE())&gt;=I36,"PAGADO",IF(COUNTIF(Q36:AN36,TRUE())&gt;0,"PARCIAL","VIGENTE")))</f>
        <v/>
      </c>
      <c r="Q36" s="11" t="str">
        <f aca="false">IF(OR(I36="",I36&lt;1,O36=""),"",O36+0)</f>
        <v/>
      </c>
      <c r="R36" s="11" t="str">
        <f aca="false">IF(OR(I36="",I36&lt;2,O36=""),"",O36+30)</f>
        <v/>
      </c>
      <c r="S36" s="11" t="str">
        <f aca="false">IF(OR(I36="",I36&lt;3,O36=""),"",O36+60)</f>
        <v/>
      </c>
      <c r="T36" s="11" t="str">
        <f aca="false">IF(OR(I36="",I36&lt;4,O36=""),"",O36+90)</f>
        <v/>
      </c>
      <c r="U36" s="11" t="str">
        <f aca="false">IF(OR(I36="",I36&lt;5,O36=""),"",O36+120)</f>
        <v/>
      </c>
      <c r="V36" s="11" t="str">
        <f aca="false">IF(OR(I36="",I36&lt;6,O36=""),"",O36+150)</f>
        <v/>
      </c>
      <c r="W36" s="11" t="str">
        <f aca="false">IF(OR(I36="",I36&lt;7,O36=""),"",O36+180)</f>
        <v/>
      </c>
      <c r="X36" s="11" t="str">
        <f aca="false">IF(OR(I36="",I36&lt;8,O36=""),"",O36+210)</f>
        <v/>
      </c>
      <c r="Y36" s="11" t="str">
        <f aca="false">IF(OR(I36="",I36&lt;9,O36=""),"",O36+240)</f>
        <v/>
      </c>
      <c r="Z36" s="11" t="str">
        <f aca="false">IF(OR(I36="",I36&lt;10,O36=""),"",O36+270)</f>
        <v/>
      </c>
      <c r="AA36" s="11" t="str">
        <f aca="false">IF(OR(I36="",I36&lt;11,O36=""),"",O36+300)</f>
        <v/>
      </c>
      <c r="AB36" s="11" t="str">
        <f aca="false">IF(OR(I36="",I36&lt;12,O36=""),"",O36+330)</f>
        <v/>
      </c>
      <c r="AC36" s="11" t="str">
        <f aca="false">IF(OR(I36="",I36&lt;13,O36=""),"",O36+360)</f>
        <v/>
      </c>
      <c r="AD36" s="11" t="str">
        <f aca="false">IF(OR(I36="",I36&lt;14,O36=""),"",O36+390)</f>
        <v/>
      </c>
      <c r="AE36" s="11" t="str">
        <f aca="false">IF(OR(I36="",I36&lt;15,O36=""),"",O36+420)</f>
        <v/>
      </c>
      <c r="AF36" s="11" t="str">
        <f aca="false">IF(OR(I36="",I36&lt;16,O36=""),"",O36+450)</f>
        <v/>
      </c>
      <c r="AG36" s="11" t="str">
        <f aca="false">IF(OR(I36="",I36&lt;17,O36=""),"",O36+480)</f>
        <v/>
      </c>
      <c r="AH36" s="11" t="str">
        <f aca="false">IF(OR(I36="",I36&lt;18,O36=""),"",O36+510)</f>
        <v/>
      </c>
      <c r="AI36" s="11" t="str">
        <f aca="false">IF(OR(I36="",I36&lt;19,O36=""),"",O36+540)</f>
        <v/>
      </c>
      <c r="AJ36" s="11" t="str">
        <f aca="false">IF(OR(I36="",I36&lt;20,O36=""),"",O36+570)</f>
        <v/>
      </c>
      <c r="AK36" s="11" t="str">
        <f aca="false">IF(OR(I36="",I36&lt;21,O36=""),"",O36+600)</f>
        <v/>
      </c>
      <c r="AL36" s="11" t="str">
        <f aca="false">IF(OR(I36="",I36&lt;22,O36=""),"",O36+630)</f>
        <v/>
      </c>
      <c r="AM36" s="11" t="str">
        <f aca="false">IF(OR(I36="",I36&lt;23,O36=""),"",O36+660)</f>
        <v/>
      </c>
      <c r="AN36" s="11" t="str">
        <f aca="false">IF(OR(I36="",I36&lt;24,O36=""),"",O36+690)</f>
        <v/>
      </c>
      <c r="AO36" s="7" t="str">
        <f aca="false">IF(J36="","",COUNTIF(Q36:AN36,TRUE())*J36)</f>
        <v/>
      </c>
      <c r="AP36" s="7" t="str">
        <f aca="false">IF(K36="","",K36-AO36)</f>
        <v/>
      </c>
      <c r="AQ36" s="7" t="str">
        <f aca="false">IF(K36="","",K36-F36-IF(N36="",0,N36))</f>
        <v/>
      </c>
    </row>
    <row r="37" customFormat="false" ht="15" hidden="false" customHeight="false" outlineLevel="0" collapsed="false">
      <c r="A37" s="12"/>
      <c r="B37" s="12"/>
      <c r="C37" s="12"/>
      <c r="D37" s="13"/>
      <c r="E37" s="13"/>
      <c r="F37" s="14"/>
      <c r="G37" s="12"/>
      <c r="H37" s="12"/>
      <c r="I37" s="12"/>
      <c r="J37" s="14"/>
      <c r="K37" s="15" t="str">
        <f aca="false">IF(OR(I37="",J37=""),"",I37*J37)</f>
        <v/>
      </c>
      <c r="L37" s="12"/>
      <c r="M37" s="16"/>
      <c r="N37" s="15" t="str">
        <f aca="false">IF(OR(L37="",M37="",K37=""),"",IF(L37="GANANCIA",(K37-F37)*M37,IF(L37="BRUTO",K37*M37,"")))</f>
        <v/>
      </c>
      <c r="O37" s="17" t="str">
        <f aca="false">IF(D37="","",D37)</f>
        <v/>
      </c>
      <c r="P37" s="18" t="str">
        <f aca="false">IF(I37="","",IF(COUNTIF(Q37:AN37,TRUE())&gt;=I37,"PAGADO",IF(COUNTIF(Q37:AN37,TRUE())&gt;0,"PARCIAL","VIGENTE")))</f>
        <v/>
      </c>
      <c r="Q37" s="19" t="str">
        <f aca="false">IF(OR(I37="",I37&lt;1,O37=""),"",O37+0)</f>
        <v/>
      </c>
      <c r="R37" s="19" t="str">
        <f aca="false">IF(OR(I37="",I37&lt;2,O37=""),"",O37+30)</f>
        <v/>
      </c>
      <c r="S37" s="19" t="str">
        <f aca="false">IF(OR(I37="",I37&lt;3,O37=""),"",O37+60)</f>
        <v/>
      </c>
      <c r="T37" s="19" t="str">
        <f aca="false">IF(OR(I37="",I37&lt;4,O37=""),"",O37+90)</f>
        <v/>
      </c>
      <c r="U37" s="19" t="str">
        <f aca="false">IF(OR(I37="",I37&lt;5,O37=""),"",O37+120)</f>
        <v/>
      </c>
      <c r="V37" s="19" t="str">
        <f aca="false">IF(OR(I37="",I37&lt;6,O37=""),"",O37+150)</f>
        <v/>
      </c>
      <c r="W37" s="19" t="str">
        <f aca="false">IF(OR(I37="",I37&lt;7,O37=""),"",O37+180)</f>
        <v/>
      </c>
      <c r="X37" s="19" t="str">
        <f aca="false">IF(OR(I37="",I37&lt;8,O37=""),"",O37+210)</f>
        <v/>
      </c>
      <c r="Y37" s="19" t="str">
        <f aca="false">IF(OR(I37="",I37&lt;9,O37=""),"",O37+240)</f>
        <v/>
      </c>
      <c r="Z37" s="19" t="str">
        <f aca="false">IF(OR(I37="",I37&lt;10,O37=""),"",O37+270)</f>
        <v/>
      </c>
      <c r="AA37" s="19" t="str">
        <f aca="false">IF(OR(I37="",I37&lt;11,O37=""),"",O37+300)</f>
        <v/>
      </c>
      <c r="AB37" s="19" t="str">
        <f aca="false">IF(OR(I37="",I37&lt;12,O37=""),"",O37+330)</f>
        <v/>
      </c>
      <c r="AC37" s="19" t="str">
        <f aca="false">IF(OR(I37="",I37&lt;13,O37=""),"",O37+360)</f>
        <v/>
      </c>
      <c r="AD37" s="19" t="str">
        <f aca="false">IF(OR(I37="",I37&lt;14,O37=""),"",O37+390)</f>
        <v/>
      </c>
      <c r="AE37" s="19" t="str">
        <f aca="false">IF(OR(I37="",I37&lt;15,O37=""),"",O37+420)</f>
        <v/>
      </c>
      <c r="AF37" s="19" t="str">
        <f aca="false">IF(OR(I37="",I37&lt;16,O37=""),"",O37+450)</f>
        <v/>
      </c>
      <c r="AG37" s="19" t="str">
        <f aca="false">IF(OR(I37="",I37&lt;17,O37=""),"",O37+480)</f>
        <v/>
      </c>
      <c r="AH37" s="19" t="str">
        <f aca="false">IF(OR(I37="",I37&lt;18,O37=""),"",O37+510)</f>
        <v/>
      </c>
      <c r="AI37" s="19" t="str">
        <f aca="false">IF(OR(I37="",I37&lt;19,O37=""),"",O37+540)</f>
        <v/>
      </c>
      <c r="AJ37" s="19" t="str">
        <f aca="false">IF(OR(I37="",I37&lt;20,O37=""),"",O37+570)</f>
        <v/>
      </c>
      <c r="AK37" s="19" t="str">
        <f aca="false">IF(OR(I37="",I37&lt;21,O37=""),"",O37+600)</f>
        <v/>
      </c>
      <c r="AL37" s="19" t="str">
        <f aca="false">IF(OR(I37="",I37&lt;22,O37=""),"",O37+630)</f>
        <v/>
      </c>
      <c r="AM37" s="19" t="str">
        <f aca="false">IF(OR(I37="",I37&lt;23,O37=""),"",O37+660)</f>
        <v/>
      </c>
      <c r="AN37" s="19" t="str">
        <f aca="false">IF(OR(I37="",I37&lt;24,O37=""),"",O37+690)</f>
        <v/>
      </c>
      <c r="AO37" s="15" t="str">
        <f aca="false">IF(J37="","",COUNTIF(Q37:AN37,TRUE())*J37)</f>
        <v/>
      </c>
      <c r="AP37" s="15" t="str">
        <f aca="false">IF(K37="","",K37-AO37)</f>
        <v/>
      </c>
      <c r="AQ37" s="15" t="str">
        <f aca="false">IF(K37="","",K37-F37-IF(N37="",0,N37))</f>
        <v/>
      </c>
    </row>
    <row r="38" customFormat="false" ht="15" hidden="false" customHeight="false" outlineLevel="0" collapsed="false">
      <c r="A38" s="4"/>
      <c r="B38" s="4"/>
      <c r="C38" s="4"/>
      <c r="D38" s="5"/>
      <c r="E38" s="5"/>
      <c r="F38" s="6"/>
      <c r="G38" s="4"/>
      <c r="H38" s="4"/>
      <c r="I38" s="4"/>
      <c r="J38" s="6"/>
      <c r="K38" s="7" t="str">
        <f aca="false">IF(OR(I38="",J38=""),"",I38*J38)</f>
        <v/>
      </c>
      <c r="L38" s="4"/>
      <c r="M38" s="8"/>
      <c r="N38" s="7" t="str">
        <f aca="false">IF(OR(L38="",M38="",K38=""),"",IF(L38="GANANCIA",(K38-F38)*M38,IF(L38="BRUTO",K38*M38,"")))</f>
        <v/>
      </c>
      <c r="O38" s="9" t="str">
        <f aca="false">IF(D38="","",D38)</f>
        <v/>
      </c>
      <c r="P38" s="10" t="str">
        <f aca="false">IF(I38="","",IF(COUNTIF(Q38:AN38,TRUE())&gt;=I38,"PAGADO",IF(COUNTIF(Q38:AN38,TRUE())&gt;0,"PARCIAL","VIGENTE")))</f>
        <v/>
      </c>
      <c r="Q38" s="11" t="str">
        <f aca="false">IF(OR(I38="",I38&lt;1,O38=""),"",O38+0)</f>
        <v/>
      </c>
      <c r="R38" s="11" t="str">
        <f aca="false">IF(OR(I38="",I38&lt;2,O38=""),"",O38+30)</f>
        <v/>
      </c>
      <c r="S38" s="11" t="str">
        <f aca="false">IF(OR(I38="",I38&lt;3,O38=""),"",O38+60)</f>
        <v/>
      </c>
      <c r="T38" s="11" t="str">
        <f aca="false">IF(OR(I38="",I38&lt;4,O38=""),"",O38+90)</f>
        <v/>
      </c>
      <c r="U38" s="11" t="str">
        <f aca="false">IF(OR(I38="",I38&lt;5,O38=""),"",O38+120)</f>
        <v/>
      </c>
      <c r="V38" s="11" t="str">
        <f aca="false">IF(OR(I38="",I38&lt;6,O38=""),"",O38+150)</f>
        <v/>
      </c>
      <c r="W38" s="11" t="str">
        <f aca="false">IF(OR(I38="",I38&lt;7,O38=""),"",O38+180)</f>
        <v/>
      </c>
      <c r="X38" s="11" t="str">
        <f aca="false">IF(OR(I38="",I38&lt;8,O38=""),"",O38+210)</f>
        <v/>
      </c>
      <c r="Y38" s="11" t="str">
        <f aca="false">IF(OR(I38="",I38&lt;9,O38=""),"",O38+240)</f>
        <v/>
      </c>
      <c r="Z38" s="11" t="str">
        <f aca="false">IF(OR(I38="",I38&lt;10,O38=""),"",O38+270)</f>
        <v/>
      </c>
      <c r="AA38" s="11" t="str">
        <f aca="false">IF(OR(I38="",I38&lt;11,O38=""),"",O38+300)</f>
        <v/>
      </c>
      <c r="AB38" s="11" t="str">
        <f aca="false">IF(OR(I38="",I38&lt;12,O38=""),"",O38+330)</f>
        <v/>
      </c>
      <c r="AC38" s="11" t="str">
        <f aca="false">IF(OR(I38="",I38&lt;13,O38=""),"",O38+360)</f>
        <v/>
      </c>
      <c r="AD38" s="11" t="str">
        <f aca="false">IF(OR(I38="",I38&lt;14,O38=""),"",O38+390)</f>
        <v/>
      </c>
      <c r="AE38" s="11" t="str">
        <f aca="false">IF(OR(I38="",I38&lt;15,O38=""),"",O38+420)</f>
        <v/>
      </c>
      <c r="AF38" s="11" t="str">
        <f aca="false">IF(OR(I38="",I38&lt;16,O38=""),"",O38+450)</f>
        <v/>
      </c>
      <c r="AG38" s="11" t="str">
        <f aca="false">IF(OR(I38="",I38&lt;17,O38=""),"",O38+480)</f>
        <v/>
      </c>
      <c r="AH38" s="11" t="str">
        <f aca="false">IF(OR(I38="",I38&lt;18,O38=""),"",O38+510)</f>
        <v/>
      </c>
      <c r="AI38" s="11" t="str">
        <f aca="false">IF(OR(I38="",I38&lt;19,O38=""),"",O38+540)</f>
        <v/>
      </c>
      <c r="AJ38" s="11" t="str">
        <f aca="false">IF(OR(I38="",I38&lt;20,O38=""),"",O38+570)</f>
        <v/>
      </c>
      <c r="AK38" s="11" t="str">
        <f aca="false">IF(OR(I38="",I38&lt;21,O38=""),"",O38+600)</f>
        <v/>
      </c>
      <c r="AL38" s="11" t="str">
        <f aca="false">IF(OR(I38="",I38&lt;22,O38=""),"",O38+630)</f>
        <v/>
      </c>
      <c r="AM38" s="11" t="str">
        <f aca="false">IF(OR(I38="",I38&lt;23,O38=""),"",O38+660)</f>
        <v/>
      </c>
      <c r="AN38" s="11" t="str">
        <f aca="false">IF(OR(I38="",I38&lt;24,O38=""),"",O38+690)</f>
        <v/>
      </c>
      <c r="AO38" s="7" t="str">
        <f aca="false">IF(J38="","",COUNTIF(Q38:AN38,TRUE())*J38)</f>
        <v/>
      </c>
      <c r="AP38" s="7" t="str">
        <f aca="false">IF(K38="","",K38-AO38)</f>
        <v/>
      </c>
      <c r="AQ38" s="7" t="str">
        <f aca="false">IF(K38="","",K38-F38-IF(N38="",0,N38))</f>
        <v/>
      </c>
    </row>
    <row r="39" customFormat="false" ht="15" hidden="false" customHeight="false" outlineLevel="0" collapsed="false">
      <c r="A39" s="12"/>
      <c r="B39" s="12"/>
      <c r="C39" s="12"/>
      <c r="D39" s="13"/>
      <c r="E39" s="13"/>
      <c r="F39" s="14"/>
      <c r="G39" s="12"/>
      <c r="H39" s="12"/>
      <c r="I39" s="12"/>
      <c r="J39" s="14"/>
      <c r="K39" s="15" t="str">
        <f aca="false">IF(OR(I39="",J39=""),"",I39*J39)</f>
        <v/>
      </c>
      <c r="L39" s="12"/>
      <c r="M39" s="16"/>
      <c r="N39" s="15" t="str">
        <f aca="false">IF(OR(L39="",M39="",K39=""),"",IF(L39="GANANCIA",(K39-F39)*M39,IF(L39="BRUTO",K39*M39,"")))</f>
        <v/>
      </c>
      <c r="O39" s="17" t="str">
        <f aca="false">IF(D39="","",D39)</f>
        <v/>
      </c>
      <c r="P39" s="18" t="str">
        <f aca="false">IF(I39="","",IF(COUNTIF(Q39:AN39,TRUE())&gt;=I39,"PAGADO",IF(COUNTIF(Q39:AN39,TRUE())&gt;0,"PARCIAL","VIGENTE")))</f>
        <v/>
      </c>
      <c r="Q39" s="19" t="str">
        <f aca="false">IF(OR(I39="",I39&lt;1,O39=""),"",O39+0)</f>
        <v/>
      </c>
      <c r="R39" s="19" t="str">
        <f aca="false">IF(OR(I39="",I39&lt;2,O39=""),"",O39+30)</f>
        <v/>
      </c>
      <c r="S39" s="19" t="str">
        <f aca="false">IF(OR(I39="",I39&lt;3,O39=""),"",O39+60)</f>
        <v/>
      </c>
      <c r="T39" s="19" t="str">
        <f aca="false">IF(OR(I39="",I39&lt;4,O39=""),"",O39+90)</f>
        <v/>
      </c>
      <c r="U39" s="19" t="str">
        <f aca="false">IF(OR(I39="",I39&lt;5,O39=""),"",O39+120)</f>
        <v/>
      </c>
      <c r="V39" s="19" t="str">
        <f aca="false">IF(OR(I39="",I39&lt;6,O39=""),"",O39+150)</f>
        <v/>
      </c>
      <c r="W39" s="19" t="str">
        <f aca="false">IF(OR(I39="",I39&lt;7,O39=""),"",O39+180)</f>
        <v/>
      </c>
      <c r="X39" s="19" t="str">
        <f aca="false">IF(OR(I39="",I39&lt;8,O39=""),"",O39+210)</f>
        <v/>
      </c>
      <c r="Y39" s="19" t="str">
        <f aca="false">IF(OR(I39="",I39&lt;9,O39=""),"",O39+240)</f>
        <v/>
      </c>
      <c r="Z39" s="19" t="str">
        <f aca="false">IF(OR(I39="",I39&lt;10,O39=""),"",O39+270)</f>
        <v/>
      </c>
      <c r="AA39" s="19" t="str">
        <f aca="false">IF(OR(I39="",I39&lt;11,O39=""),"",O39+300)</f>
        <v/>
      </c>
      <c r="AB39" s="19" t="str">
        <f aca="false">IF(OR(I39="",I39&lt;12,O39=""),"",O39+330)</f>
        <v/>
      </c>
      <c r="AC39" s="19" t="str">
        <f aca="false">IF(OR(I39="",I39&lt;13,O39=""),"",O39+360)</f>
        <v/>
      </c>
      <c r="AD39" s="19" t="str">
        <f aca="false">IF(OR(I39="",I39&lt;14,O39=""),"",O39+390)</f>
        <v/>
      </c>
      <c r="AE39" s="19" t="str">
        <f aca="false">IF(OR(I39="",I39&lt;15,O39=""),"",O39+420)</f>
        <v/>
      </c>
      <c r="AF39" s="19" t="str">
        <f aca="false">IF(OR(I39="",I39&lt;16,O39=""),"",O39+450)</f>
        <v/>
      </c>
      <c r="AG39" s="19" t="str">
        <f aca="false">IF(OR(I39="",I39&lt;17,O39=""),"",O39+480)</f>
        <v/>
      </c>
      <c r="AH39" s="19" t="str">
        <f aca="false">IF(OR(I39="",I39&lt;18,O39=""),"",O39+510)</f>
        <v/>
      </c>
      <c r="AI39" s="19" t="str">
        <f aca="false">IF(OR(I39="",I39&lt;19,O39=""),"",O39+540)</f>
        <v/>
      </c>
      <c r="AJ39" s="19" t="str">
        <f aca="false">IF(OR(I39="",I39&lt;20,O39=""),"",O39+570)</f>
        <v/>
      </c>
      <c r="AK39" s="19" t="str">
        <f aca="false">IF(OR(I39="",I39&lt;21,O39=""),"",O39+600)</f>
        <v/>
      </c>
      <c r="AL39" s="19" t="str">
        <f aca="false">IF(OR(I39="",I39&lt;22,O39=""),"",O39+630)</f>
        <v/>
      </c>
      <c r="AM39" s="19" t="str">
        <f aca="false">IF(OR(I39="",I39&lt;23,O39=""),"",O39+660)</f>
        <v/>
      </c>
      <c r="AN39" s="19" t="str">
        <f aca="false">IF(OR(I39="",I39&lt;24,O39=""),"",O39+690)</f>
        <v/>
      </c>
      <c r="AO39" s="15" t="str">
        <f aca="false">IF(J39="","",COUNTIF(Q39:AN39,TRUE())*J39)</f>
        <v/>
      </c>
      <c r="AP39" s="15" t="str">
        <f aca="false">IF(K39="","",K39-AO39)</f>
        <v/>
      </c>
      <c r="AQ39" s="15" t="str">
        <f aca="false">IF(K39="","",K39-F39-IF(N39="",0,N39))</f>
        <v/>
      </c>
    </row>
    <row r="40" customFormat="false" ht="15" hidden="false" customHeight="false" outlineLevel="0" collapsed="false">
      <c r="A40" s="4"/>
      <c r="B40" s="4"/>
      <c r="C40" s="4"/>
      <c r="D40" s="5"/>
      <c r="E40" s="5"/>
      <c r="F40" s="6"/>
      <c r="G40" s="4"/>
      <c r="H40" s="4"/>
      <c r="I40" s="4"/>
      <c r="J40" s="6"/>
      <c r="K40" s="7" t="str">
        <f aca="false">IF(OR(I40="",J40=""),"",I40*J40)</f>
        <v/>
      </c>
      <c r="L40" s="4"/>
      <c r="M40" s="8"/>
      <c r="N40" s="7" t="str">
        <f aca="false">IF(OR(L40="",M40="",K40=""),"",IF(L40="GANANCIA",(K40-F40)*M40,IF(L40="BRUTO",K40*M40,"")))</f>
        <v/>
      </c>
      <c r="O40" s="9" t="str">
        <f aca="false">IF(D40="","",D40)</f>
        <v/>
      </c>
      <c r="P40" s="10" t="str">
        <f aca="false">IF(I40="","",IF(COUNTIF(Q40:AN40,TRUE())&gt;=I40,"PAGADO",IF(COUNTIF(Q40:AN40,TRUE())&gt;0,"PARCIAL","VIGENTE")))</f>
        <v/>
      </c>
      <c r="Q40" s="11" t="str">
        <f aca="false">IF(OR(I40="",I40&lt;1,O40=""),"",O40+0)</f>
        <v/>
      </c>
      <c r="R40" s="11" t="str">
        <f aca="false">IF(OR(I40="",I40&lt;2,O40=""),"",O40+30)</f>
        <v/>
      </c>
      <c r="S40" s="11" t="str">
        <f aca="false">IF(OR(I40="",I40&lt;3,O40=""),"",O40+60)</f>
        <v/>
      </c>
      <c r="T40" s="11" t="str">
        <f aca="false">IF(OR(I40="",I40&lt;4,O40=""),"",O40+90)</f>
        <v/>
      </c>
      <c r="U40" s="11" t="str">
        <f aca="false">IF(OR(I40="",I40&lt;5,O40=""),"",O40+120)</f>
        <v/>
      </c>
      <c r="V40" s="11" t="str">
        <f aca="false">IF(OR(I40="",I40&lt;6,O40=""),"",O40+150)</f>
        <v/>
      </c>
      <c r="W40" s="11" t="str">
        <f aca="false">IF(OR(I40="",I40&lt;7,O40=""),"",O40+180)</f>
        <v/>
      </c>
      <c r="X40" s="11" t="str">
        <f aca="false">IF(OR(I40="",I40&lt;8,O40=""),"",O40+210)</f>
        <v/>
      </c>
      <c r="Y40" s="11" t="str">
        <f aca="false">IF(OR(I40="",I40&lt;9,O40=""),"",O40+240)</f>
        <v/>
      </c>
      <c r="Z40" s="11" t="str">
        <f aca="false">IF(OR(I40="",I40&lt;10,O40=""),"",O40+270)</f>
        <v/>
      </c>
      <c r="AA40" s="11" t="str">
        <f aca="false">IF(OR(I40="",I40&lt;11,O40=""),"",O40+300)</f>
        <v/>
      </c>
      <c r="AB40" s="11" t="str">
        <f aca="false">IF(OR(I40="",I40&lt;12,O40=""),"",O40+330)</f>
        <v/>
      </c>
      <c r="AC40" s="11" t="str">
        <f aca="false">IF(OR(I40="",I40&lt;13,O40=""),"",O40+360)</f>
        <v/>
      </c>
      <c r="AD40" s="11" t="str">
        <f aca="false">IF(OR(I40="",I40&lt;14,O40=""),"",O40+390)</f>
        <v/>
      </c>
      <c r="AE40" s="11" t="str">
        <f aca="false">IF(OR(I40="",I40&lt;15,O40=""),"",O40+420)</f>
        <v/>
      </c>
      <c r="AF40" s="11" t="str">
        <f aca="false">IF(OR(I40="",I40&lt;16,O40=""),"",O40+450)</f>
        <v/>
      </c>
      <c r="AG40" s="11" t="str">
        <f aca="false">IF(OR(I40="",I40&lt;17,O40=""),"",O40+480)</f>
        <v/>
      </c>
      <c r="AH40" s="11" t="str">
        <f aca="false">IF(OR(I40="",I40&lt;18,O40=""),"",O40+510)</f>
        <v/>
      </c>
      <c r="AI40" s="11" t="str">
        <f aca="false">IF(OR(I40="",I40&lt;19,O40=""),"",O40+540)</f>
        <v/>
      </c>
      <c r="AJ40" s="11" t="str">
        <f aca="false">IF(OR(I40="",I40&lt;20,O40=""),"",O40+570)</f>
        <v/>
      </c>
      <c r="AK40" s="11" t="str">
        <f aca="false">IF(OR(I40="",I40&lt;21,O40=""),"",O40+600)</f>
        <v/>
      </c>
      <c r="AL40" s="11" t="str">
        <f aca="false">IF(OR(I40="",I40&lt;22,O40=""),"",O40+630)</f>
        <v/>
      </c>
      <c r="AM40" s="11" t="str">
        <f aca="false">IF(OR(I40="",I40&lt;23,O40=""),"",O40+660)</f>
        <v/>
      </c>
      <c r="AN40" s="11" t="str">
        <f aca="false">IF(OR(I40="",I40&lt;24,O40=""),"",O40+690)</f>
        <v/>
      </c>
      <c r="AO40" s="7" t="str">
        <f aca="false">IF(J40="","",COUNTIF(Q40:AN40,TRUE())*J40)</f>
        <v/>
      </c>
      <c r="AP40" s="7" t="str">
        <f aca="false">IF(K40="","",K40-AO40)</f>
        <v/>
      </c>
      <c r="AQ40" s="7" t="str">
        <f aca="false">IF(K40="","",K40-F40-IF(N40="",0,N40))</f>
        <v/>
      </c>
    </row>
    <row r="41" customFormat="false" ht="15" hidden="false" customHeight="false" outlineLevel="0" collapsed="false">
      <c r="A41" s="12"/>
      <c r="B41" s="12"/>
      <c r="C41" s="12"/>
      <c r="D41" s="13"/>
      <c r="E41" s="13"/>
      <c r="F41" s="14"/>
      <c r="G41" s="12"/>
      <c r="H41" s="12"/>
      <c r="I41" s="12"/>
      <c r="J41" s="14"/>
      <c r="K41" s="15" t="str">
        <f aca="false">IF(OR(I41="",J41=""),"",I41*J41)</f>
        <v/>
      </c>
      <c r="L41" s="12"/>
      <c r="M41" s="16"/>
      <c r="N41" s="15" t="str">
        <f aca="false">IF(OR(L41="",M41="",K41=""),"",IF(L41="GANANCIA",(K41-F41)*M41,IF(L41="BRUTO",K41*M41,"")))</f>
        <v/>
      </c>
      <c r="O41" s="17" t="str">
        <f aca="false">IF(D41="","",D41)</f>
        <v/>
      </c>
      <c r="P41" s="18" t="str">
        <f aca="false">IF(I41="","",IF(COUNTIF(Q41:AN41,TRUE())&gt;=I41,"PAGADO",IF(COUNTIF(Q41:AN41,TRUE())&gt;0,"PARCIAL","VIGENTE")))</f>
        <v/>
      </c>
      <c r="Q41" s="19" t="str">
        <f aca="false">IF(OR(I41="",I41&lt;1,O41=""),"",O41+0)</f>
        <v/>
      </c>
      <c r="R41" s="19" t="str">
        <f aca="false">IF(OR(I41="",I41&lt;2,O41=""),"",O41+30)</f>
        <v/>
      </c>
      <c r="S41" s="19" t="str">
        <f aca="false">IF(OR(I41="",I41&lt;3,O41=""),"",O41+60)</f>
        <v/>
      </c>
      <c r="T41" s="19" t="str">
        <f aca="false">IF(OR(I41="",I41&lt;4,O41=""),"",O41+90)</f>
        <v/>
      </c>
      <c r="U41" s="19" t="str">
        <f aca="false">IF(OR(I41="",I41&lt;5,O41=""),"",O41+120)</f>
        <v/>
      </c>
      <c r="V41" s="19" t="str">
        <f aca="false">IF(OR(I41="",I41&lt;6,O41=""),"",O41+150)</f>
        <v/>
      </c>
      <c r="W41" s="19" t="str">
        <f aca="false">IF(OR(I41="",I41&lt;7,O41=""),"",O41+180)</f>
        <v/>
      </c>
      <c r="X41" s="19" t="str">
        <f aca="false">IF(OR(I41="",I41&lt;8,O41=""),"",O41+210)</f>
        <v/>
      </c>
      <c r="Y41" s="19" t="str">
        <f aca="false">IF(OR(I41="",I41&lt;9,O41=""),"",O41+240)</f>
        <v/>
      </c>
      <c r="Z41" s="19" t="str">
        <f aca="false">IF(OR(I41="",I41&lt;10,O41=""),"",O41+270)</f>
        <v/>
      </c>
      <c r="AA41" s="19" t="str">
        <f aca="false">IF(OR(I41="",I41&lt;11,O41=""),"",O41+300)</f>
        <v/>
      </c>
      <c r="AB41" s="19" t="str">
        <f aca="false">IF(OR(I41="",I41&lt;12,O41=""),"",O41+330)</f>
        <v/>
      </c>
      <c r="AC41" s="19" t="str">
        <f aca="false">IF(OR(I41="",I41&lt;13,O41=""),"",O41+360)</f>
        <v/>
      </c>
      <c r="AD41" s="19" t="str">
        <f aca="false">IF(OR(I41="",I41&lt;14,O41=""),"",O41+390)</f>
        <v/>
      </c>
      <c r="AE41" s="19" t="str">
        <f aca="false">IF(OR(I41="",I41&lt;15,O41=""),"",O41+420)</f>
        <v/>
      </c>
      <c r="AF41" s="19" t="str">
        <f aca="false">IF(OR(I41="",I41&lt;16,O41=""),"",O41+450)</f>
        <v/>
      </c>
      <c r="AG41" s="19" t="str">
        <f aca="false">IF(OR(I41="",I41&lt;17,O41=""),"",O41+480)</f>
        <v/>
      </c>
      <c r="AH41" s="19" t="str">
        <f aca="false">IF(OR(I41="",I41&lt;18,O41=""),"",O41+510)</f>
        <v/>
      </c>
      <c r="AI41" s="19" t="str">
        <f aca="false">IF(OR(I41="",I41&lt;19,O41=""),"",O41+540)</f>
        <v/>
      </c>
      <c r="AJ41" s="19" t="str">
        <f aca="false">IF(OR(I41="",I41&lt;20,O41=""),"",O41+570)</f>
        <v/>
      </c>
      <c r="AK41" s="19" t="str">
        <f aca="false">IF(OR(I41="",I41&lt;21,O41=""),"",O41+600)</f>
        <v/>
      </c>
      <c r="AL41" s="19" t="str">
        <f aca="false">IF(OR(I41="",I41&lt;22,O41=""),"",O41+630)</f>
        <v/>
      </c>
      <c r="AM41" s="19" t="str">
        <f aca="false">IF(OR(I41="",I41&lt;23,O41=""),"",O41+660)</f>
        <v/>
      </c>
      <c r="AN41" s="19" t="str">
        <f aca="false">IF(OR(I41="",I41&lt;24,O41=""),"",O41+690)</f>
        <v/>
      </c>
      <c r="AO41" s="15" t="str">
        <f aca="false">IF(J41="","",COUNTIF(Q41:AN41,TRUE())*J41)</f>
        <v/>
      </c>
      <c r="AP41" s="15" t="str">
        <f aca="false">IF(K41="","",K41-AO41)</f>
        <v/>
      </c>
      <c r="AQ41" s="15" t="str">
        <f aca="false">IF(K41="","",K41-F41-IF(N41="",0,N41))</f>
        <v/>
      </c>
    </row>
    <row r="42" customFormat="false" ht="15" hidden="false" customHeight="false" outlineLevel="0" collapsed="false">
      <c r="A42" s="4"/>
      <c r="B42" s="4"/>
      <c r="C42" s="4"/>
      <c r="D42" s="5"/>
      <c r="E42" s="5"/>
      <c r="F42" s="6"/>
      <c r="G42" s="4"/>
      <c r="H42" s="4"/>
      <c r="I42" s="4"/>
      <c r="J42" s="6"/>
      <c r="K42" s="7" t="str">
        <f aca="false">IF(OR(I42="",J42=""),"",I42*J42)</f>
        <v/>
      </c>
      <c r="L42" s="4"/>
      <c r="M42" s="8"/>
      <c r="N42" s="7" t="str">
        <f aca="false">IF(OR(L42="",M42="",K42=""),"",IF(L42="GANANCIA",(K42-F42)*M42,IF(L42="BRUTO",K42*M42,"")))</f>
        <v/>
      </c>
      <c r="O42" s="9" t="str">
        <f aca="false">IF(D42="","",D42)</f>
        <v/>
      </c>
      <c r="P42" s="10" t="str">
        <f aca="false">IF(I42="","",IF(COUNTIF(Q42:AN42,TRUE())&gt;=I42,"PAGADO",IF(COUNTIF(Q42:AN42,TRUE())&gt;0,"PARCIAL","VIGENTE")))</f>
        <v/>
      </c>
      <c r="Q42" s="11" t="str">
        <f aca="false">IF(OR(I42="",I42&lt;1,O42=""),"",O42+0)</f>
        <v/>
      </c>
      <c r="R42" s="11" t="str">
        <f aca="false">IF(OR(I42="",I42&lt;2,O42=""),"",O42+30)</f>
        <v/>
      </c>
      <c r="S42" s="11" t="str">
        <f aca="false">IF(OR(I42="",I42&lt;3,O42=""),"",O42+60)</f>
        <v/>
      </c>
      <c r="T42" s="11" t="str">
        <f aca="false">IF(OR(I42="",I42&lt;4,O42=""),"",O42+90)</f>
        <v/>
      </c>
      <c r="U42" s="11" t="str">
        <f aca="false">IF(OR(I42="",I42&lt;5,O42=""),"",O42+120)</f>
        <v/>
      </c>
      <c r="V42" s="11" t="str">
        <f aca="false">IF(OR(I42="",I42&lt;6,O42=""),"",O42+150)</f>
        <v/>
      </c>
      <c r="W42" s="11" t="str">
        <f aca="false">IF(OR(I42="",I42&lt;7,O42=""),"",O42+180)</f>
        <v/>
      </c>
      <c r="X42" s="11" t="str">
        <f aca="false">IF(OR(I42="",I42&lt;8,O42=""),"",O42+210)</f>
        <v/>
      </c>
      <c r="Y42" s="11" t="str">
        <f aca="false">IF(OR(I42="",I42&lt;9,O42=""),"",O42+240)</f>
        <v/>
      </c>
      <c r="Z42" s="11" t="str">
        <f aca="false">IF(OR(I42="",I42&lt;10,O42=""),"",O42+270)</f>
        <v/>
      </c>
      <c r="AA42" s="11" t="str">
        <f aca="false">IF(OR(I42="",I42&lt;11,O42=""),"",O42+300)</f>
        <v/>
      </c>
      <c r="AB42" s="11" t="str">
        <f aca="false">IF(OR(I42="",I42&lt;12,O42=""),"",O42+330)</f>
        <v/>
      </c>
      <c r="AC42" s="11" t="str">
        <f aca="false">IF(OR(I42="",I42&lt;13,O42=""),"",O42+360)</f>
        <v/>
      </c>
      <c r="AD42" s="11" t="str">
        <f aca="false">IF(OR(I42="",I42&lt;14,O42=""),"",O42+390)</f>
        <v/>
      </c>
      <c r="AE42" s="11" t="str">
        <f aca="false">IF(OR(I42="",I42&lt;15,O42=""),"",O42+420)</f>
        <v/>
      </c>
      <c r="AF42" s="11" t="str">
        <f aca="false">IF(OR(I42="",I42&lt;16,O42=""),"",O42+450)</f>
        <v/>
      </c>
      <c r="AG42" s="11" t="str">
        <f aca="false">IF(OR(I42="",I42&lt;17,O42=""),"",O42+480)</f>
        <v/>
      </c>
      <c r="AH42" s="11" t="str">
        <f aca="false">IF(OR(I42="",I42&lt;18,O42=""),"",O42+510)</f>
        <v/>
      </c>
      <c r="AI42" s="11" t="str">
        <f aca="false">IF(OR(I42="",I42&lt;19,O42=""),"",O42+540)</f>
        <v/>
      </c>
      <c r="AJ42" s="11" t="str">
        <f aca="false">IF(OR(I42="",I42&lt;20,O42=""),"",O42+570)</f>
        <v/>
      </c>
      <c r="AK42" s="11" t="str">
        <f aca="false">IF(OR(I42="",I42&lt;21,O42=""),"",O42+600)</f>
        <v/>
      </c>
      <c r="AL42" s="11" t="str">
        <f aca="false">IF(OR(I42="",I42&lt;22,O42=""),"",O42+630)</f>
        <v/>
      </c>
      <c r="AM42" s="11" t="str">
        <f aca="false">IF(OR(I42="",I42&lt;23,O42=""),"",O42+660)</f>
        <v/>
      </c>
      <c r="AN42" s="11" t="str">
        <f aca="false">IF(OR(I42="",I42&lt;24,O42=""),"",O42+690)</f>
        <v/>
      </c>
      <c r="AO42" s="7" t="str">
        <f aca="false">IF(J42="","",COUNTIF(Q42:AN42,TRUE())*J42)</f>
        <v/>
      </c>
      <c r="AP42" s="7" t="str">
        <f aca="false">IF(K42="","",K42-AO42)</f>
        <v/>
      </c>
      <c r="AQ42" s="7" t="str">
        <f aca="false">IF(K42="","",K42-F42-IF(N42="",0,N42))</f>
        <v/>
      </c>
    </row>
    <row r="43" customFormat="false" ht="15" hidden="false" customHeight="false" outlineLevel="0" collapsed="false">
      <c r="A43" s="12"/>
      <c r="B43" s="12"/>
      <c r="C43" s="12"/>
      <c r="D43" s="13"/>
      <c r="E43" s="13"/>
      <c r="F43" s="14"/>
      <c r="G43" s="12"/>
      <c r="H43" s="12"/>
      <c r="I43" s="12"/>
      <c r="J43" s="14"/>
      <c r="K43" s="15" t="str">
        <f aca="false">IF(OR(I43="",J43=""),"",I43*J43)</f>
        <v/>
      </c>
      <c r="L43" s="12"/>
      <c r="M43" s="16"/>
      <c r="N43" s="15" t="str">
        <f aca="false">IF(OR(L43="",M43="",K43=""),"",IF(L43="GANANCIA",(K43-F43)*M43,IF(L43="BRUTO",K43*M43,"")))</f>
        <v/>
      </c>
      <c r="O43" s="17" t="str">
        <f aca="false">IF(D43="","",D43)</f>
        <v/>
      </c>
      <c r="P43" s="18" t="str">
        <f aca="false">IF(I43="","",IF(COUNTIF(Q43:AN43,TRUE())&gt;=I43,"PAGADO",IF(COUNTIF(Q43:AN43,TRUE())&gt;0,"PARCIAL","VIGENTE")))</f>
        <v/>
      </c>
      <c r="Q43" s="19" t="str">
        <f aca="false">IF(OR(I43="",I43&lt;1,O43=""),"",O43+0)</f>
        <v/>
      </c>
      <c r="R43" s="19" t="str">
        <f aca="false">IF(OR(I43="",I43&lt;2,O43=""),"",O43+30)</f>
        <v/>
      </c>
      <c r="S43" s="19" t="str">
        <f aca="false">IF(OR(I43="",I43&lt;3,O43=""),"",O43+60)</f>
        <v/>
      </c>
      <c r="T43" s="19" t="str">
        <f aca="false">IF(OR(I43="",I43&lt;4,O43=""),"",O43+90)</f>
        <v/>
      </c>
      <c r="U43" s="19" t="str">
        <f aca="false">IF(OR(I43="",I43&lt;5,O43=""),"",O43+120)</f>
        <v/>
      </c>
      <c r="V43" s="19" t="str">
        <f aca="false">IF(OR(I43="",I43&lt;6,O43=""),"",O43+150)</f>
        <v/>
      </c>
      <c r="W43" s="19" t="str">
        <f aca="false">IF(OR(I43="",I43&lt;7,O43=""),"",O43+180)</f>
        <v/>
      </c>
      <c r="X43" s="19" t="str">
        <f aca="false">IF(OR(I43="",I43&lt;8,O43=""),"",O43+210)</f>
        <v/>
      </c>
      <c r="Y43" s="19" t="str">
        <f aca="false">IF(OR(I43="",I43&lt;9,O43=""),"",O43+240)</f>
        <v/>
      </c>
      <c r="Z43" s="19" t="str">
        <f aca="false">IF(OR(I43="",I43&lt;10,O43=""),"",O43+270)</f>
        <v/>
      </c>
      <c r="AA43" s="19" t="str">
        <f aca="false">IF(OR(I43="",I43&lt;11,O43=""),"",O43+300)</f>
        <v/>
      </c>
      <c r="AB43" s="19" t="str">
        <f aca="false">IF(OR(I43="",I43&lt;12,O43=""),"",O43+330)</f>
        <v/>
      </c>
      <c r="AC43" s="19" t="str">
        <f aca="false">IF(OR(I43="",I43&lt;13,O43=""),"",O43+360)</f>
        <v/>
      </c>
      <c r="AD43" s="19" t="str">
        <f aca="false">IF(OR(I43="",I43&lt;14,O43=""),"",O43+390)</f>
        <v/>
      </c>
      <c r="AE43" s="19" t="str">
        <f aca="false">IF(OR(I43="",I43&lt;15,O43=""),"",O43+420)</f>
        <v/>
      </c>
      <c r="AF43" s="19" t="str">
        <f aca="false">IF(OR(I43="",I43&lt;16,O43=""),"",O43+450)</f>
        <v/>
      </c>
      <c r="AG43" s="19" t="str">
        <f aca="false">IF(OR(I43="",I43&lt;17,O43=""),"",O43+480)</f>
        <v/>
      </c>
      <c r="AH43" s="19" t="str">
        <f aca="false">IF(OR(I43="",I43&lt;18,O43=""),"",O43+510)</f>
        <v/>
      </c>
      <c r="AI43" s="19" t="str">
        <f aca="false">IF(OR(I43="",I43&lt;19,O43=""),"",O43+540)</f>
        <v/>
      </c>
      <c r="AJ43" s="19" t="str">
        <f aca="false">IF(OR(I43="",I43&lt;20,O43=""),"",O43+570)</f>
        <v/>
      </c>
      <c r="AK43" s="19" t="str">
        <f aca="false">IF(OR(I43="",I43&lt;21,O43=""),"",O43+600)</f>
        <v/>
      </c>
      <c r="AL43" s="19" t="str">
        <f aca="false">IF(OR(I43="",I43&lt;22,O43=""),"",O43+630)</f>
        <v/>
      </c>
      <c r="AM43" s="19" t="str">
        <f aca="false">IF(OR(I43="",I43&lt;23,O43=""),"",O43+660)</f>
        <v/>
      </c>
      <c r="AN43" s="19" t="str">
        <f aca="false">IF(OR(I43="",I43&lt;24,O43=""),"",O43+690)</f>
        <v/>
      </c>
      <c r="AO43" s="15" t="str">
        <f aca="false">IF(J43="","",COUNTIF(Q43:AN43,TRUE())*J43)</f>
        <v/>
      </c>
      <c r="AP43" s="15" t="str">
        <f aca="false">IF(K43="","",K43-AO43)</f>
        <v/>
      </c>
      <c r="AQ43" s="15" t="str">
        <f aca="false">IF(K43="","",K43-F43-IF(N43="",0,N43))</f>
        <v/>
      </c>
    </row>
    <row r="44" customFormat="false" ht="15" hidden="false" customHeight="false" outlineLevel="0" collapsed="false">
      <c r="A44" s="4"/>
      <c r="B44" s="4"/>
      <c r="C44" s="4"/>
      <c r="D44" s="5"/>
      <c r="E44" s="5"/>
      <c r="F44" s="6"/>
      <c r="G44" s="4"/>
      <c r="H44" s="4"/>
      <c r="I44" s="4"/>
      <c r="J44" s="6"/>
      <c r="K44" s="7" t="str">
        <f aca="false">IF(OR(I44="",J44=""),"",I44*J44)</f>
        <v/>
      </c>
      <c r="L44" s="4"/>
      <c r="M44" s="8"/>
      <c r="N44" s="7" t="str">
        <f aca="false">IF(OR(L44="",M44="",K44=""),"",IF(L44="GANANCIA",(K44-F44)*M44,IF(L44="BRUTO",K44*M44,"")))</f>
        <v/>
      </c>
      <c r="O44" s="9" t="str">
        <f aca="false">IF(D44="","",D44)</f>
        <v/>
      </c>
      <c r="P44" s="10" t="str">
        <f aca="false">IF(I44="","",IF(COUNTIF(Q44:AN44,TRUE())&gt;=I44,"PAGADO",IF(COUNTIF(Q44:AN44,TRUE())&gt;0,"PARCIAL","VIGENTE")))</f>
        <v/>
      </c>
      <c r="Q44" s="11" t="str">
        <f aca="false">IF(OR(I44="",I44&lt;1,O44=""),"",O44+0)</f>
        <v/>
      </c>
      <c r="R44" s="11" t="str">
        <f aca="false">IF(OR(I44="",I44&lt;2,O44=""),"",O44+30)</f>
        <v/>
      </c>
      <c r="S44" s="11" t="str">
        <f aca="false">IF(OR(I44="",I44&lt;3,O44=""),"",O44+60)</f>
        <v/>
      </c>
      <c r="T44" s="11" t="str">
        <f aca="false">IF(OR(I44="",I44&lt;4,O44=""),"",O44+90)</f>
        <v/>
      </c>
      <c r="U44" s="11" t="str">
        <f aca="false">IF(OR(I44="",I44&lt;5,O44=""),"",O44+120)</f>
        <v/>
      </c>
      <c r="V44" s="11" t="str">
        <f aca="false">IF(OR(I44="",I44&lt;6,O44=""),"",O44+150)</f>
        <v/>
      </c>
      <c r="W44" s="11" t="str">
        <f aca="false">IF(OR(I44="",I44&lt;7,O44=""),"",O44+180)</f>
        <v/>
      </c>
      <c r="X44" s="11" t="str">
        <f aca="false">IF(OR(I44="",I44&lt;8,O44=""),"",O44+210)</f>
        <v/>
      </c>
      <c r="Y44" s="11" t="str">
        <f aca="false">IF(OR(I44="",I44&lt;9,O44=""),"",O44+240)</f>
        <v/>
      </c>
      <c r="Z44" s="11" t="str">
        <f aca="false">IF(OR(I44="",I44&lt;10,O44=""),"",O44+270)</f>
        <v/>
      </c>
      <c r="AA44" s="11" t="str">
        <f aca="false">IF(OR(I44="",I44&lt;11,O44=""),"",O44+300)</f>
        <v/>
      </c>
      <c r="AB44" s="11" t="str">
        <f aca="false">IF(OR(I44="",I44&lt;12,O44=""),"",O44+330)</f>
        <v/>
      </c>
      <c r="AC44" s="11" t="str">
        <f aca="false">IF(OR(I44="",I44&lt;13,O44=""),"",O44+360)</f>
        <v/>
      </c>
      <c r="AD44" s="11" t="str">
        <f aca="false">IF(OR(I44="",I44&lt;14,O44=""),"",O44+390)</f>
        <v/>
      </c>
      <c r="AE44" s="11" t="str">
        <f aca="false">IF(OR(I44="",I44&lt;15,O44=""),"",O44+420)</f>
        <v/>
      </c>
      <c r="AF44" s="11" t="str">
        <f aca="false">IF(OR(I44="",I44&lt;16,O44=""),"",O44+450)</f>
        <v/>
      </c>
      <c r="AG44" s="11" t="str">
        <f aca="false">IF(OR(I44="",I44&lt;17,O44=""),"",O44+480)</f>
        <v/>
      </c>
      <c r="AH44" s="11" t="str">
        <f aca="false">IF(OR(I44="",I44&lt;18,O44=""),"",O44+510)</f>
        <v/>
      </c>
      <c r="AI44" s="11" t="str">
        <f aca="false">IF(OR(I44="",I44&lt;19,O44=""),"",O44+540)</f>
        <v/>
      </c>
      <c r="AJ44" s="11" t="str">
        <f aca="false">IF(OR(I44="",I44&lt;20,O44=""),"",O44+570)</f>
        <v/>
      </c>
      <c r="AK44" s="11" t="str">
        <f aca="false">IF(OR(I44="",I44&lt;21,O44=""),"",O44+600)</f>
        <v/>
      </c>
      <c r="AL44" s="11" t="str">
        <f aca="false">IF(OR(I44="",I44&lt;22,O44=""),"",O44+630)</f>
        <v/>
      </c>
      <c r="AM44" s="11" t="str">
        <f aca="false">IF(OR(I44="",I44&lt;23,O44=""),"",O44+660)</f>
        <v/>
      </c>
      <c r="AN44" s="11" t="str">
        <f aca="false">IF(OR(I44="",I44&lt;24,O44=""),"",O44+690)</f>
        <v/>
      </c>
      <c r="AO44" s="7" t="str">
        <f aca="false">IF(J44="","",COUNTIF(Q44:AN44,TRUE())*J44)</f>
        <v/>
      </c>
      <c r="AP44" s="7" t="str">
        <f aca="false">IF(K44="","",K44-AO44)</f>
        <v/>
      </c>
      <c r="AQ44" s="7" t="str">
        <f aca="false">IF(K44="","",K44-F44-IF(N44="",0,N44))</f>
        <v/>
      </c>
    </row>
    <row r="45" customFormat="false" ht="15" hidden="false" customHeight="false" outlineLevel="0" collapsed="false">
      <c r="A45" s="12"/>
      <c r="B45" s="12"/>
      <c r="C45" s="12"/>
      <c r="D45" s="13"/>
      <c r="E45" s="13"/>
      <c r="F45" s="14"/>
      <c r="G45" s="12"/>
      <c r="H45" s="12"/>
      <c r="I45" s="12"/>
      <c r="J45" s="14"/>
      <c r="K45" s="15" t="str">
        <f aca="false">IF(OR(I45="",J45=""),"",I45*J45)</f>
        <v/>
      </c>
      <c r="L45" s="12"/>
      <c r="M45" s="16"/>
      <c r="N45" s="15" t="str">
        <f aca="false">IF(OR(L45="",M45="",K45=""),"",IF(L45="GANANCIA",(K45-F45)*M45,IF(L45="BRUTO",K45*M45,"")))</f>
        <v/>
      </c>
      <c r="O45" s="17" t="str">
        <f aca="false">IF(D45="","",D45)</f>
        <v/>
      </c>
      <c r="P45" s="18" t="str">
        <f aca="false">IF(I45="","",IF(COUNTIF(Q45:AN45,TRUE())&gt;=I45,"PAGADO",IF(COUNTIF(Q45:AN45,TRUE())&gt;0,"PARCIAL","VIGENTE")))</f>
        <v/>
      </c>
      <c r="Q45" s="19" t="str">
        <f aca="false">IF(OR(I45="",I45&lt;1,O45=""),"",O45+0)</f>
        <v/>
      </c>
      <c r="R45" s="19" t="str">
        <f aca="false">IF(OR(I45="",I45&lt;2,O45=""),"",O45+30)</f>
        <v/>
      </c>
      <c r="S45" s="19" t="str">
        <f aca="false">IF(OR(I45="",I45&lt;3,O45=""),"",O45+60)</f>
        <v/>
      </c>
      <c r="T45" s="19" t="str">
        <f aca="false">IF(OR(I45="",I45&lt;4,O45=""),"",O45+90)</f>
        <v/>
      </c>
      <c r="U45" s="19" t="str">
        <f aca="false">IF(OR(I45="",I45&lt;5,O45=""),"",O45+120)</f>
        <v/>
      </c>
      <c r="V45" s="19" t="str">
        <f aca="false">IF(OR(I45="",I45&lt;6,O45=""),"",O45+150)</f>
        <v/>
      </c>
      <c r="W45" s="19" t="str">
        <f aca="false">IF(OR(I45="",I45&lt;7,O45=""),"",O45+180)</f>
        <v/>
      </c>
      <c r="X45" s="19" t="str">
        <f aca="false">IF(OR(I45="",I45&lt;8,O45=""),"",O45+210)</f>
        <v/>
      </c>
      <c r="Y45" s="19" t="str">
        <f aca="false">IF(OR(I45="",I45&lt;9,O45=""),"",O45+240)</f>
        <v/>
      </c>
      <c r="Z45" s="19" t="str">
        <f aca="false">IF(OR(I45="",I45&lt;10,O45=""),"",O45+270)</f>
        <v/>
      </c>
      <c r="AA45" s="19" t="str">
        <f aca="false">IF(OR(I45="",I45&lt;11,O45=""),"",O45+300)</f>
        <v/>
      </c>
      <c r="AB45" s="19" t="str">
        <f aca="false">IF(OR(I45="",I45&lt;12,O45=""),"",O45+330)</f>
        <v/>
      </c>
      <c r="AC45" s="19" t="str">
        <f aca="false">IF(OR(I45="",I45&lt;13,O45=""),"",O45+360)</f>
        <v/>
      </c>
      <c r="AD45" s="19" t="str">
        <f aca="false">IF(OR(I45="",I45&lt;14,O45=""),"",O45+390)</f>
        <v/>
      </c>
      <c r="AE45" s="19" t="str">
        <f aca="false">IF(OR(I45="",I45&lt;15,O45=""),"",O45+420)</f>
        <v/>
      </c>
      <c r="AF45" s="19" t="str">
        <f aca="false">IF(OR(I45="",I45&lt;16,O45=""),"",O45+450)</f>
        <v/>
      </c>
      <c r="AG45" s="19" t="str">
        <f aca="false">IF(OR(I45="",I45&lt;17,O45=""),"",O45+480)</f>
        <v/>
      </c>
      <c r="AH45" s="19" t="str">
        <f aca="false">IF(OR(I45="",I45&lt;18,O45=""),"",O45+510)</f>
        <v/>
      </c>
      <c r="AI45" s="19" t="str">
        <f aca="false">IF(OR(I45="",I45&lt;19,O45=""),"",O45+540)</f>
        <v/>
      </c>
      <c r="AJ45" s="19" t="str">
        <f aca="false">IF(OR(I45="",I45&lt;20,O45=""),"",O45+570)</f>
        <v/>
      </c>
      <c r="AK45" s="19" t="str">
        <f aca="false">IF(OR(I45="",I45&lt;21,O45=""),"",O45+600)</f>
        <v/>
      </c>
      <c r="AL45" s="19" t="str">
        <f aca="false">IF(OR(I45="",I45&lt;22,O45=""),"",O45+630)</f>
        <v/>
      </c>
      <c r="AM45" s="19" t="str">
        <f aca="false">IF(OR(I45="",I45&lt;23,O45=""),"",O45+660)</f>
        <v/>
      </c>
      <c r="AN45" s="19" t="str">
        <f aca="false">IF(OR(I45="",I45&lt;24,O45=""),"",O45+690)</f>
        <v/>
      </c>
      <c r="AO45" s="15" t="str">
        <f aca="false">IF(J45="","",COUNTIF(Q45:AN45,TRUE())*J45)</f>
        <v/>
      </c>
      <c r="AP45" s="15" t="str">
        <f aca="false">IF(K45="","",K45-AO45)</f>
        <v/>
      </c>
      <c r="AQ45" s="15" t="str">
        <f aca="false">IF(K45="","",K45-F45-IF(N45="",0,N45))</f>
        <v/>
      </c>
    </row>
    <row r="46" customFormat="false" ht="15" hidden="false" customHeight="false" outlineLevel="0" collapsed="false">
      <c r="A46" s="4"/>
      <c r="B46" s="4"/>
      <c r="C46" s="4"/>
      <c r="D46" s="5"/>
      <c r="E46" s="5"/>
      <c r="F46" s="6"/>
      <c r="G46" s="4"/>
      <c r="H46" s="4"/>
      <c r="I46" s="4"/>
      <c r="J46" s="6"/>
      <c r="K46" s="7" t="str">
        <f aca="false">IF(OR(I46="",J46=""),"",I46*J46)</f>
        <v/>
      </c>
      <c r="L46" s="4"/>
      <c r="M46" s="8"/>
      <c r="N46" s="7" t="str">
        <f aca="false">IF(OR(L46="",M46="",K46=""),"",IF(L46="GANANCIA",(K46-F46)*M46,IF(L46="BRUTO",K46*M46,"")))</f>
        <v/>
      </c>
      <c r="O46" s="9" t="str">
        <f aca="false">IF(D46="","",D46)</f>
        <v/>
      </c>
      <c r="P46" s="10" t="str">
        <f aca="false">IF(I46="","",IF(COUNTIF(Q46:AN46,TRUE())&gt;=I46,"PAGADO",IF(COUNTIF(Q46:AN46,TRUE())&gt;0,"PARCIAL","VIGENTE")))</f>
        <v/>
      </c>
      <c r="Q46" s="11" t="str">
        <f aca="false">IF(OR(I46="",I46&lt;1,O46=""),"",O46+0)</f>
        <v/>
      </c>
      <c r="R46" s="11" t="str">
        <f aca="false">IF(OR(I46="",I46&lt;2,O46=""),"",O46+30)</f>
        <v/>
      </c>
      <c r="S46" s="11" t="str">
        <f aca="false">IF(OR(I46="",I46&lt;3,O46=""),"",O46+60)</f>
        <v/>
      </c>
      <c r="T46" s="11" t="str">
        <f aca="false">IF(OR(I46="",I46&lt;4,O46=""),"",O46+90)</f>
        <v/>
      </c>
      <c r="U46" s="11" t="str">
        <f aca="false">IF(OR(I46="",I46&lt;5,O46=""),"",O46+120)</f>
        <v/>
      </c>
      <c r="V46" s="11" t="str">
        <f aca="false">IF(OR(I46="",I46&lt;6,O46=""),"",O46+150)</f>
        <v/>
      </c>
      <c r="W46" s="11" t="str">
        <f aca="false">IF(OR(I46="",I46&lt;7,O46=""),"",O46+180)</f>
        <v/>
      </c>
      <c r="X46" s="11" t="str">
        <f aca="false">IF(OR(I46="",I46&lt;8,O46=""),"",O46+210)</f>
        <v/>
      </c>
      <c r="Y46" s="11" t="str">
        <f aca="false">IF(OR(I46="",I46&lt;9,O46=""),"",O46+240)</f>
        <v/>
      </c>
      <c r="Z46" s="11" t="str">
        <f aca="false">IF(OR(I46="",I46&lt;10,O46=""),"",O46+270)</f>
        <v/>
      </c>
      <c r="AA46" s="11" t="str">
        <f aca="false">IF(OR(I46="",I46&lt;11,O46=""),"",O46+300)</f>
        <v/>
      </c>
      <c r="AB46" s="11" t="str">
        <f aca="false">IF(OR(I46="",I46&lt;12,O46=""),"",O46+330)</f>
        <v/>
      </c>
      <c r="AC46" s="11" t="str">
        <f aca="false">IF(OR(I46="",I46&lt;13,O46=""),"",O46+360)</f>
        <v/>
      </c>
      <c r="AD46" s="11" t="str">
        <f aca="false">IF(OR(I46="",I46&lt;14,O46=""),"",O46+390)</f>
        <v/>
      </c>
      <c r="AE46" s="11" t="str">
        <f aca="false">IF(OR(I46="",I46&lt;15,O46=""),"",O46+420)</f>
        <v/>
      </c>
      <c r="AF46" s="11" t="str">
        <f aca="false">IF(OR(I46="",I46&lt;16,O46=""),"",O46+450)</f>
        <v/>
      </c>
      <c r="AG46" s="11" t="str">
        <f aca="false">IF(OR(I46="",I46&lt;17,O46=""),"",O46+480)</f>
        <v/>
      </c>
      <c r="AH46" s="11" t="str">
        <f aca="false">IF(OR(I46="",I46&lt;18,O46=""),"",O46+510)</f>
        <v/>
      </c>
      <c r="AI46" s="11" t="str">
        <f aca="false">IF(OR(I46="",I46&lt;19,O46=""),"",O46+540)</f>
        <v/>
      </c>
      <c r="AJ46" s="11" t="str">
        <f aca="false">IF(OR(I46="",I46&lt;20,O46=""),"",O46+570)</f>
        <v/>
      </c>
      <c r="AK46" s="11" t="str">
        <f aca="false">IF(OR(I46="",I46&lt;21,O46=""),"",O46+600)</f>
        <v/>
      </c>
      <c r="AL46" s="11" t="str">
        <f aca="false">IF(OR(I46="",I46&lt;22,O46=""),"",O46+630)</f>
        <v/>
      </c>
      <c r="AM46" s="11" t="str">
        <f aca="false">IF(OR(I46="",I46&lt;23,O46=""),"",O46+660)</f>
        <v/>
      </c>
      <c r="AN46" s="11" t="str">
        <f aca="false">IF(OR(I46="",I46&lt;24,O46=""),"",O46+690)</f>
        <v/>
      </c>
      <c r="AO46" s="7" t="str">
        <f aca="false">IF(J46="","",COUNTIF(Q46:AN46,TRUE())*J46)</f>
        <v/>
      </c>
      <c r="AP46" s="7" t="str">
        <f aca="false">IF(K46="","",K46-AO46)</f>
        <v/>
      </c>
      <c r="AQ46" s="7" t="str">
        <f aca="false">IF(K46="","",K46-F46-IF(N46="",0,N46))</f>
        <v/>
      </c>
    </row>
    <row r="47" customFormat="false" ht="15" hidden="false" customHeight="false" outlineLevel="0" collapsed="false">
      <c r="A47" s="12"/>
      <c r="B47" s="12"/>
      <c r="C47" s="12"/>
      <c r="D47" s="13"/>
      <c r="E47" s="13"/>
      <c r="F47" s="14"/>
      <c r="G47" s="12"/>
      <c r="H47" s="12"/>
      <c r="I47" s="12"/>
      <c r="J47" s="14"/>
      <c r="K47" s="15" t="str">
        <f aca="false">IF(OR(I47="",J47=""),"",I47*J47)</f>
        <v/>
      </c>
      <c r="L47" s="12"/>
      <c r="M47" s="16"/>
      <c r="N47" s="15" t="str">
        <f aca="false">IF(OR(L47="",M47="",K47=""),"",IF(L47="GANANCIA",(K47-F47)*M47,IF(L47="BRUTO",K47*M47,"")))</f>
        <v/>
      </c>
      <c r="O47" s="17" t="str">
        <f aca="false">IF(D47="","",D47)</f>
        <v/>
      </c>
      <c r="P47" s="18" t="str">
        <f aca="false">IF(I47="","",IF(COUNTIF(Q47:AN47,TRUE())&gt;=I47,"PAGADO",IF(COUNTIF(Q47:AN47,TRUE())&gt;0,"PARCIAL","VIGENTE")))</f>
        <v/>
      </c>
      <c r="Q47" s="19" t="str">
        <f aca="false">IF(OR(I47="",I47&lt;1,O47=""),"",O47+0)</f>
        <v/>
      </c>
      <c r="R47" s="19" t="str">
        <f aca="false">IF(OR(I47="",I47&lt;2,O47=""),"",O47+30)</f>
        <v/>
      </c>
      <c r="S47" s="19" t="str">
        <f aca="false">IF(OR(I47="",I47&lt;3,O47=""),"",O47+60)</f>
        <v/>
      </c>
      <c r="T47" s="19" t="str">
        <f aca="false">IF(OR(I47="",I47&lt;4,O47=""),"",O47+90)</f>
        <v/>
      </c>
      <c r="U47" s="19" t="str">
        <f aca="false">IF(OR(I47="",I47&lt;5,O47=""),"",O47+120)</f>
        <v/>
      </c>
      <c r="V47" s="19" t="str">
        <f aca="false">IF(OR(I47="",I47&lt;6,O47=""),"",O47+150)</f>
        <v/>
      </c>
      <c r="W47" s="19" t="str">
        <f aca="false">IF(OR(I47="",I47&lt;7,O47=""),"",O47+180)</f>
        <v/>
      </c>
      <c r="X47" s="19" t="str">
        <f aca="false">IF(OR(I47="",I47&lt;8,O47=""),"",O47+210)</f>
        <v/>
      </c>
      <c r="Y47" s="19" t="str">
        <f aca="false">IF(OR(I47="",I47&lt;9,O47=""),"",O47+240)</f>
        <v/>
      </c>
      <c r="Z47" s="19" t="str">
        <f aca="false">IF(OR(I47="",I47&lt;10,O47=""),"",O47+270)</f>
        <v/>
      </c>
      <c r="AA47" s="19" t="str">
        <f aca="false">IF(OR(I47="",I47&lt;11,O47=""),"",O47+300)</f>
        <v/>
      </c>
      <c r="AB47" s="19" t="str">
        <f aca="false">IF(OR(I47="",I47&lt;12,O47=""),"",O47+330)</f>
        <v/>
      </c>
      <c r="AC47" s="19" t="str">
        <f aca="false">IF(OR(I47="",I47&lt;13,O47=""),"",O47+360)</f>
        <v/>
      </c>
      <c r="AD47" s="19" t="str">
        <f aca="false">IF(OR(I47="",I47&lt;14,O47=""),"",O47+390)</f>
        <v/>
      </c>
      <c r="AE47" s="19" t="str">
        <f aca="false">IF(OR(I47="",I47&lt;15,O47=""),"",O47+420)</f>
        <v/>
      </c>
      <c r="AF47" s="19" t="str">
        <f aca="false">IF(OR(I47="",I47&lt;16,O47=""),"",O47+450)</f>
        <v/>
      </c>
      <c r="AG47" s="19" t="str">
        <f aca="false">IF(OR(I47="",I47&lt;17,O47=""),"",O47+480)</f>
        <v/>
      </c>
      <c r="AH47" s="19" t="str">
        <f aca="false">IF(OR(I47="",I47&lt;18,O47=""),"",O47+510)</f>
        <v/>
      </c>
      <c r="AI47" s="19" t="str">
        <f aca="false">IF(OR(I47="",I47&lt;19,O47=""),"",O47+540)</f>
        <v/>
      </c>
      <c r="AJ47" s="19" t="str">
        <f aca="false">IF(OR(I47="",I47&lt;20,O47=""),"",O47+570)</f>
        <v/>
      </c>
      <c r="AK47" s="19" t="str">
        <f aca="false">IF(OR(I47="",I47&lt;21,O47=""),"",O47+600)</f>
        <v/>
      </c>
      <c r="AL47" s="19" t="str">
        <f aca="false">IF(OR(I47="",I47&lt;22,O47=""),"",O47+630)</f>
        <v/>
      </c>
      <c r="AM47" s="19" t="str">
        <f aca="false">IF(OR(I47="",I47&lt;23,O47=""),"",O47+660)</f>
        <v/>
      </c>
      <c r="AN47" s="19" t="str">
        <f aca="false">IF(OR(I47="",I47&lt;24,O47=""),"",O47+690)</f>
        <v/>
      </c>
      <c r="AO47" s="15" t="str">
        <f aca="false">IF(J47="","",COUNTIF(Q47:AN47,TRUE())*J47)</f>
        <v/>
      </c>
      <c r="AP47" s="15" t="str">
        <f aca="false">IF(K47="","",K47-AO47)</f>
        <v/>
      </c>
      <c r="AQ47" s="15" t="str">
        <f aca="false">IF(K47="","",K47-F47-IF(N47="",0,N47))</f>
        <v/>
      </c>
    </row>
    <row r="48" customFormat="false" ht="15" hidden="false" customHeight="false" outlineLevel="0" collapsed="false">
      <c r="A48" s="4"/>
      <c r="B48" s="4"/>
      <c r="C48" s="4"/>
      <c r="D48" s="5"/>
      <c r="E48" s="5"/>
      <c r="F48" s="6"/>
      <c r="G48" s="4"/>
      <c r="H48" s="4"/>
      <c r="I48" s="4"/>
      <c r="J48" s="6"/>
      <c r="K48" s="7" t="str">
        <f aca="false">IF(OR(I48="",J48=""),"",I48*J48)</f>
        <v/>
      </c>
      <c r="L48" s="4"/>
      <c r="M48" s="8"/>
      <c r="N48" s="7" t="str">
        <f aca="false">IF(OR(L48="",M48="",K48=""),"",IF(L48="GANANCIA",(K48-F48)*M48,IF(L48="BRUTO",K48*M48,"")))</f>
        <v/>
      </c>
      <c r="O48" s="9" t="str">
        <f aca="false">IF(D48="","",D48)</f>
        <v/>
      </c>
      <c r="P48" s="10" t="str">
        <f aca="false">IF(I48="","",IF(COUNTIF(Q48:AN48,TRUE())&gt;=I48,"PAGADO",IF(COUNTIF(Q48:AN48,TRUE())&gt;0,"PARCIAL","VIGENTE")))</f>
        <v/>
      </c>
      <c r="Q48" s="11" t="str">
        <f aca="false">IF(OR(I48="",I48&lt;1,O48=""),"",O48+0)</f>
        <v/>
      </c>
      <c r="R48" s="11" t="str">
        <f aca="false">IF(OR(I48="",I48&lt;2,O48=""),"",O48+30)</f>
        <v/>
      </c>
      <c r="S48" s="11" t="str">
        <f aca="false">IF(OR(I48="",I48&lt;3,O48=""),"",O48+60)</f>
        <v/>
      </c>
      <c r="T48" s="11" t="str">
        <f aca="false">IF(OR(I48="",I48&lt;4,O48=""),"",O48+90)</f>
        <v/>
      </c>
      <c r="U48" s="11" t="str">
        <f aca="false">IF(OR(I48="",I48&lt;5,O48=""),"",O48+120)</f>
        <v/>
      </c>
      <c r="V48" s="11" t="str">
        <f aca="false">IF(OR(I48="",I48&lt;6,O48=""),"",O48+150)</f>
        <v/>
      </c>
      <c r="W48" s="11" t="str">
        <f aca="false">IF(OR(I48="",I48&lt;7,O48=""),"",O48+180)</f>
        <v/>
      </c>
      <c r="X48" s="11" t="str">
        <f aca="false">IF(OR(I48="",I48&lt;8,O48=""),"",O48+210)</f>
        <v/>
      </c>
      <c r="Y48" s="11" t="str">
        <f aca="false">IF(OR(I48="",I48&lt;9,O48=""),"",O48+240)</f>
        <v/>
      </c>
      <c r="Z48" s="11" t="str">
        <f aca="false">IF(OR(I48="",I48&lt;10,O48=""),"",O48+270)</f>
        <v/>
      </c>
      <c r="AA48" s="11" t="str">
        <f aca="false">IF(OR(I48="",I48&lt;11,O48=""),"",O48+300)</f>
        <v/>
      </c>
      <c r="AB48" s="11" t="str">
        <f aca="false">IF(OR(I48="",I48&lt;12,O48=""),"",O48+330)</f>
        <v/>
      </c>
      <c r="AC48" s="11" t="str">
        <f aca="false">IF(OR(I48="",I48&lt;13,O48=""),"",O48+360)</f>
        <v/>
      </c>
      <c r="AD48" s="11" t="str">
        <f aca="false">IF(OR(I48="",I48&lt;14,O48=""),"",O48+390)</f>
        <v/>
      </c>
      <c r="AE48" s="11" t="str">
        <f aca="false">IF(OR(I48="",I48&lt;15,O48=""),"",O48+420)</f>
        <v/>
      </c>
      <c r="AF48" s="11" t="str">
        <f aca="false">IF(OR(I48="",I48&lt;16,O48=""),"",O48+450)</f>
        <v/>
      </c>
      <c r="AG48" s="11" t="str">
        <f aca="false">IF(OR(I48="",I48&lt;17,O48=""),"",O48+480)</f>
        <v/>
      </c>
      <c r="AH48" s="11" t="str">
        <f aca="false">IF(OR(I48="",I48&lt;18,O48=""),"",O48+510)</f>
        <v/>
      </c>
      <c r="AI48" s="11" t="str">
        <f aca="false">IF(OR(I48="",I48&lt;19,O48=""),"",O48+540)</f>
        <v/>
      </c>
      <c r="AJ48" s="11" t="str">
        <f aca="false">IF(OR(I48="",I48&lt;20,O48=""),"",O48+570)</f>
        <v/>
      </c>
      <c r="AK48" s="11" t="str">
        <f aca="false">IF(OR(I48="",I48&lt;21,O48=""),"",O48+600)</f>
        <v/>
      </c>
      <c r="AL48" s="11" t="str">
        <f aca="false">IF(OR(I48="",I48&lt;22,O48=""),"",O48+630)</f>
        <v/>
      </c>
      <c r="AM48" s="11" t="str">
        <f aca="false">IF(OR(I48="",I48&lt;23,O48=""),"",O48+660)</f>
        <v/>
      </c>
      <c r="AN48" s="11" t="str">
        <f aca="false">IF(OR(I48="",I48&lt;24,O48=""),"",O48+690)</f>
        <v/>
      </c>
      <c r="AO48" s="7" t="str">
        <f aca="false">IF(J48="","",COUNTIF(Q48:AN48,TRUE())*J48)</f>
        <v/>
      </c>
      <c r="AP48" s="7" t="str">
        <f aca="false">IF(K48="","",K48-AO48)</f>
        <v/>
      </c>
      <c r="AQ48" s="7" t="str">
        <f aca="false">IF(K48="","",K48-F48-IF(N48="",0,N48))</f>
        <v/>
      </c>
    </row>
    <row r="49" customFormat="false" ht="15" hidden="false" customHeight="false" outlineLevel="0" collapsed="false">
      <c r="A49" s="12"/>
      <c r="B49" s="12"/>
      <c r="C49" s="12"/>
      <c r="D49" s="13"/>
      <c r="E49" s="13"/>
      <c r="F49" s="14"/>
      <c r="G49" s="12"/>
      <c r="H49" s="12"/>
      <c r="I49" s="12"/>
      <c r="J49" s="14"/>
      <c r="K49" s="15" t="str">
        <f aca="false">IF(OR(I49="",J49=""),"",I49*J49)</f>
        <v/>
      </c>
      <c r="L49" s="12"/>
      <c r="M49" s="16"/>
      <c r="N49" s="15" t="str">
        <f aca="false">IF(OR(L49="",M49="",K49=""),"",IF(L49="GANANCIA",(K49-F49)*M49,IF(L49="BRUTO",K49*M49,"")))</f>
        <v/>
      </c>
      <c r="O49" s="17" t="str">
        <f aca="false">IF(D49="","",D49)</f>
        <v/>
      </c>
      <c r="P49" s="18" t="str">
        <f aca="false">IF(I49="","",IF(COUNTIF(Q49:AN49,TRUE())&gt;=I49,"PAGADO",IF(COUNTIF(Q49:AN49,TRUE())&gt;0,"PARCIAL","VIGENTE")))</f>
        <v/>
      </c>
      <c r="Q49" s="19" t="str">
        <f aca="false">IF(OR(I49="",I49&lt;1,O49=""),"",O49+0)</f>
        <v/>
      </c>
      <c r="R49" s="19" t="str">
        <f aca="false">IF(OR(I49="",I49&lt;2,O49=""),"",O49+30)</f>
        <v/>
      </c>
      <c r="S49" s="19" t="str">
        <f aca="false">IF(OR(I49="",I49&lt;3,O49=""),"",O49+60)</f>
        <v/>
      </c>
      <c r="T49" s="19" t="str">
        <f aca="false">IF(OR(I49="",I49&lt;4,O49=""),"",O49+90)</f>
        <v/>
      </c>
      <c r="U49" s="19" t="str">
        <f aca="false">IF(OR(I49="",I49&lt;5,O49=""),"",O49+120)</f>
        <v/>
      </c>
      <c r="V49" s="19" t="str">
        <f aca="false">IF(OR(I49="",I49&lt;6,O49=""),"",O49+150)</f>
        <v/>
      </c>
      <c r="W49" s="19" t="str">
        <f aca="false">IF(OR(I49="",I49&lt;7,O49=""),"",O49+180)</f>
        <v/>
      </c>
      <c r="X49" s="19" t="str">
        <f aca="false">IF(OR(I49="",I49&lt;8,O49=""),"",O49+210)</f>
        <v/>
      </c>
      <c r="Y49" s="19" t="str">
        <f aca="false">IF(OR(I49="",I49&lt;9,O49=""),"",O49+240)</f>
        <v/>
      </c>
      <c r="Z49" s="19" t="str">
        <f aca="false">IF(OR(I49="",I49&lt;10,O49=""),"",O49+270)</f>
        <v/>
      </c>
      <c r="AA49" s="19" t="str">
        <f aca="false">IF(OR(I49="",I49&lt;11,O49=""),"",O49+300)</f>
        <v/>
      </c>
      <c r="AB49" s="19" t="str">
        <f aca="false">IF(OR(I49="",I49&lt;12,O49=""),"",O49+330)</f>
        <v/>
      </c>
      <c r="AC49" s="19" t="str">
        <f aca="false">IF(OR(I49="",I49&lt;13,O49=""),"",O49+360)</f>
        <v/>
      </c>
      <c r="AD49" s="19" t="str">
        <f aca="false">IF(OR(I49="",I49&lt;14,O49=""),"",O49+390)</f>
        <v/>
      </c>
      <c r="AE49" s="19" t="str">
        <f aca="false">IF(OR(I49="",I49&lt;15,O49=""),"",O49+420)</f>
        <v/>
      </c>
      <c r="AF49" s="19" t="str">
        <f aca="false">IF(OR(I49="",I49&lt;16,O49=""),"",O49+450)</f>
        <v/>
      </c>
      <c r="AG49" s="19" t="str">
        <f aca="false">IF(OR(I49="",I49&lt;17,O49=""),"",O49+480)</f>
        <v/>
      </c>
      <c r="AH49" s="19" t="str">
        <f aca="false">IF(OR(I49="",I49&lt;18,O49=""),"",O49+510)</f>
        <v/>
      </c>
      <c r="AI49" s="19" t="str">
        <f aca="false">IF(OR(I49="",I49&lt;19,O49=""),"",O49+540)</f>
        <v/>
      </c>
      <c r="AJ49" s="19" t="str">
        <f aca="false">IF(OR(I49="",I49&lt;20,O49=""),"",O49+570)</f>
        <v/>
      </c>
      <c r="AK49" s="19" t="str">
        <f aca="false">IF(OR(I49="",I49&lt;21,O49=""),"",O49+600)</f>
        <v/>
      </c>
      <c r="AL49" s="19" t="str">
        <f aca="false">IF(OR(I49="",I49&lt;22,O49=""),"",O49+630)</f>
        <v/>
      </c>
      <c r="AM49" s="19" t="str">
        <f aca="false">IF(OR(I49="",I49&lt;23,O49=""),"",O49+660)</f>
        <v/>
      </c>
      <c r="AN49" s="19" t="str">
        <f aca="false">IF(OR(I49="",I49&lt;24,O49=""),"",O49+690)</f>
        <v/>
      </c>
      <c r="AO49" s="15" t="str">
        <f aca="false">IF(J49="","",COUNTIF(Q49:AN49,TRUE())*J49)</f>
        <v/>
      </c>
      <c r="AP49" s="15" t="str">
        <f aca="false">IF(K49="","",K49-AO49)</f>
        <v/>
      </c>
      <c r="AQ49" s="15" t="str">
        <f aca="false">IF(K49="","",K49-F49-IF(N49="",0,N49))</f>
        <v/>
      </c>
    </row>
    <row r="50" customFormat="false" ht="15" hidden="false" customHeight="false" outlineLevel="0" collapsed="false">
      <c r="A50" s="4"/>
      <c r="B50" s="4"/>
      <c r="C50" s="4"/>
      <c r="D50" s="5"/>
      <c r="E50" s="5"/>
      <c r="F50" s="6"/>
      <c r="G50" s="4"/>
      <c r="H50" s="4"/>
      <c r="I50" s="4"/>
      <c r="J50" s="6"/>
      <c r="K50" s="7" t="str">
        <f aca="false">IF(OR(I50="",J50=""),"",I50*J50)</f>
        <v/>
      </c>
      <c r="L50" s="4"/>
      <c r="M50" s="8"/>
      <c r="N50" s="7" t="str">
        <f aca="false">IF(OR(L50="",M50="",K50=""),"",IF(L50="GANANCIA",(K50-F50)*M50,IF(L50="BRUTO",K50*M50,"")))</f>
        <v/>
      </c>
      <c r="O50" s="9" t="str">
        <f aca="false">IF(D50="","",D50)</f>
        <v/>
      </c>
      <c r="P50" s="10" t="str">
        <f aca="false">IF(I50="","",IF(COUNTIF(Q50:AN50,TRUE())&gt;=I50,"PAGADO",IF(COUNTIF(Q50:AN50,TRUE())&gt;0,"PARCIAL","VIGENTE")))</f>
        <v/>
      </c>
      <c r="Q50" s="11" t="str">
        <f aca="false">IF(OR(I50="",I50&lt;1,O50=""),"",O50+0)</f>
        <v/>
      </c>
      <c r="R50" s="11" t="str">
        <f aca="false">IF(OR(I50="",I50&lt;2,O50=""),"",O50+30)</f>
        <v/>
      </c>
      <c r="S50" s="11" t="str">
        <f aca="false">IF(OR(I50="",I50&lt;3,O50=""),"",O50+60)</f>
        <v/>
      </c>
      <c r="T50" s="11" t="str">
        <f aca="false">IF(OR(I50="",I50&lt;4,O50=""),"",O50+90)</f>
        <v/>
      </c>
      <c r="U50" s="11" t="str">
        <f aca="false">IF(OR(I50="",I50&lt;5,O50=""),"",O50+120)</f>
        <v/>
      </c>
      <c r="V50" s="11" t="str">
        <f aca="false">IF(OR(I50="",I50&lt;6,O50=""),"",O50+150)</f>
        <v/>
      </c>
      <c r="W50" s="11" t="str">
        <f aca="false">IF(OR(I50="",I50&lt;7,O50=""),"",O50+180)</f>
        <v/>
      </c>
      <c r="X50" s="11" t="str">
        <f aca="false">IF(OR(I50="",I50&lt;8,O50=""),"",O50+210)</f>
        <v/>
      </c>
      <c r="Y50" s="11" t="str">
        <f aca="false">IF(OR(I50="",I50&lt;9,O50=""),"",O50+240)</f>
        <v/>
      </c>
      <c r="Z50" s="11" t="str">
        <f aca="false">IF(OR(I50="",I50&lt;10,O50=""),"",O50+270)</f>
        <v/>
      </c>
      <c r="AA50" s="11" t="str">
        <f aca="false">IF(OR(I50="",I50&lt;11,O50=""),"",O50+300)</f>
        <v/>
      </c>
      <c r="AB50" s="11" t="str">
        <f aca="false">IF(OR(I50="",I50&lt;12,O50=""),"",O50+330)</f>
        <v/>
      </c>
      <c r="AC50" s="11" t="str">
        <f aca="false">IF(OR(I50="",I50&lt;13,O50=""),"",O50+360)</f>
        <v/>
      </c>
      <c r="AD50" s="11" t="str">
        <f aca="false">IF(OR(I50="",I50&lt;14,O50=""),"",O50+390)</f>
        <v/>
      </c>
      <c r="AE50" s="11" t="str">
        <f aca="false">IF(OR(I50="",I50&lt;15,O50=""),"",O50+420)</f>
        <v/>
      </c>
      <c r="AF50" s="11" t="str">
        <f aca="false">IF(OR(I50="",I50&lt;16,O50=""),"",O50+450)</f>
        <v/>
      </c>
      <c r="AG50" s="11" t="str">
        <f aca="false">IF(OR(I50="",I50&lt;17,O50=""),"",O50+480)</f>
        <v/>
      </c>
      <c r="AH50" s="11" t="str">
        <f aca="false">IF(OR(I50="",I50&lt;18,O50=""),"",O50+510)</f>
        <v/>
      </c>
      <c r="AI50" s="11" t="str">
        <f aca="false">IF(OR(I50="",I50&lt;19,O50=""),"",O50+540)</f>
        <v/>
      </c>
      <c r="AJ50" s="11" t="str">
        <f aca="false">IF(OR(I50="",I50&lt;20,O50=""),"",O50+570)</f>
        <v/>
      </c>
      <c r="AK50" s="11" t="str">
        <f aca="false">IF(OR(I50="",I50&lt;21,O50=""),"",O50+600)</f>
        <v/>
      </c>
      <c r="AL50" s="11" t="str">
        <f aca="false">IF(OR(I50="",I50&lt;22,O50=""),"",O50+630)</f>
        <v/>
      </c>
      <c r="AM50" s="11" t="str">
        <f aca="false">IF(OR(I50="",I50&lt;23,O50=""),"",O50+660)</f>
        <v/>
      </c>
      <c r="AN50" s="11" t="str">
        <f aca="false">IF(OR(I50="",I50&lt;24,O50=""),"",O50+690)</f>
        <v/>
      </c>
      <c r="AO50" s="7" t="str">
        <f aca="false">IF(J50="","",COUNTIF(Q50:AN50,TRUE())*J50)</f>
        <v/>
      </c>
      <c r="AP50" s="7" t="str">
        <f aca="false">IF(K50="","",K50-AO50)</f>
        <v/>
      </c>
      <c r="AQ50" s="7" t="str">
        <f aca="false">IF(K50="","",K50-F50-IF(N50="",0,N50))</f>
        <v/>
      </c>
    </row>
    <row r="51" customFormat="false" ht="15" hidden="false" customHeight="false" outlineLevel="0" collapsed="false">
      <c r="A51" s="12"/>
      <c r="B51" s="12"/>
      <c r="C51" s="12"/>
      <c r="D51" s="13"/>
      <c r="E51" s="13"/>
      <c r="F51" s="14"/>
      <c r="G51" s="12"/>
      <c r="H51" s="12"/>
      <c r="I51" s="12"/>
      <c r="J51" s="14"/>
      <c r="K51" s="15" t="str">
        <f aca="false">IF(OR(I51="",J51=""),"",I51*J51)</f>
        <v/>
      </c>
      <c r="L51" s="12"/>
      <c r="M51" s="16"/>
      <c r="N51" s="15" t="str">
        <f aca="false">IF(OR(L51="",M51="",K51=""),"",IF(L51="GANANCIA",(K51-F51)*M51,IF(L51="BRUTO",K51*M51,"")))</f>
        <v/>
      </c>
      <c r="O51" s="17" t="str">
        <f aca="false">IF(D51="","",D51)</f>
        <v/>
      </c>
      <c r="P51" s="18" t="str">
        <f aca="false">IF(I51="","",IF(COUNTIF(Q51:AN51,TRUE())&gt;=I51,"PAGADO",IF(COUNTIF(Q51:AN51,TRUE())&gt;0,"PARCIAL","VIGENTE")))</f>
        <v/>
      </c>
      <c r="Q51" s="19" t="str">
        <f aca="false">IF(OR(I51="",I51&lt;1,O51=""),"",O51+0)</f>
        <v/>
      </c>
      <c r="R51" s="19" t="str">
        <f aca="false">IF(OR(I51="",I51&lt;2,O51=""),"",O51+30)</f>
        <v/>
      </c>
      <c r="S51" s="19" t="str">
        <f aca="false">IF(OR(I51="",I51&lt;3,O51=""),"",O51+60)</f>
        <v/>
      </c>
      <c r="T51" s="19" t="str">
        <f aca="false">IF(OR(I51="",I51&lt;4,O51=""),"",O51+90)</f>
        <v/>
      </c>
      <c r="U51" s="19" t="str">
        <f aca="false">IF(OR(I51="",I51&lt;5,O51=""),"",O51+120)</f>
        <v/>
      </c>
      <c r="V51" s="19" t="str">
        <f aca="false">IF(OR(I51="",I51&lt;6,O51=""),"",O51+150)</f>
        <v/>
      </c>
      <c r="W51" s="19" t="str">
        <f aca="false">IF(OR(I51="",I51&lt;7,O51=""),"",O51+180)</f>
        <v/>
      </c>
      <c r="X51" s="19" t="str">
        <f aca="false">IF(OR(I51="",I51&lt;8,O51=""),"",O51+210)</f>
        <v/>
      </c>
      <c r="Y51" s="19" t="str">
        <f aca="false">IF(OR(I51="",I51&lt;9,O51=""),"",O51+240)</f>
        <v/>
      </c>
      <c r="Z51" s="19" t="str">
        <f aca="false">IF(OR(I51="",I51&lt;10,O51=""),"",O51+270)</f>
        <v/>
      </c>
      <c r="AA51" s="19" t="str">
        <f aca="false">IF(OR(I51="",I51&lt;11,O51=""),"",O51+300)</f>
        <v/>
      </c>
      <c r="AB51" s="19" t="str">
        <f aca="false">IF(OR(I51="",I51&lt;12,O51=""),"",O51+330)</f>
        <v/>
      </c>
      <c r="AC51" s="19" t="str">
        <f aca="false">IF(OR(I51="",I51&lt;13,O51=""),"",O51+360)</f>
        <v/>
      </c>
      <c r="AD51" s="19" t="str">
        <f aca="false">IF(OR(I51="",I51&lt;14,O51=""),"",O51+390)</f>
        <v/>
      </c>
      <c r="AE51" s="19" t="str">
        <f aca="false">IF(OR(I51="",I51&lt;15,O51=""),"",O51+420)</f>
        <v/>
      </c>
      <c r="AF51" s="19" t="str">
        <f aca="false">IF(OR(I51="",I51&lt;16,O51=""),"",O51+450)</f>
        <v/>
      </c>
      <c r="AG51" s="19" t="str">
        <f aca="false">IF(OR(I51="",I51&lt;17,O51=""),"",O51+480)</f>
        <v/>
      </c>
      <c r="AH51" s="19" t="str">
        <f aca="false">IF(OR(I51="",I51&lt;18,O51=""),"",O51+510)</f>
        <v/>
      </c>
      <c r="AI51" s="19" t="str">
        <f aca="false">IF(OR(I51="",I51&lt;19,O51=""),"",O51+540)</f>
        <v/>
      </c>
      <c r="AJ51" s="19" t="str">
        <f aca="false">IF(OR(I51="",I51&lt;20,O51=""),"",O51+570)</f>
        <v/>
      </c>
      <c r="AK51" s="19" t="str">
        <f aca="false">IF(OR(I51="",I51&lt;21,O51=""),"",O51+600)</f>
        <v/>
      </c>
      <c r="AL51" s="19" t="str">
        <f aca="false">IF(OR(I51="",I51&lt;22,O51=""),"",O51+630)</f>
        <v/>
      </c>
      <c r="AM51" s="19" t="str">
        <f aca="false">IF(OR(I51="",I51&lt;23,O51=""),"",O51+660)</f>
        <v/>
      </c>
      <c r="AN51" s="19" t="str">
        <f aca="false">IF(OR(I51="",I51&lt;24,O51=""),"",O51+690)</f>
        <v/>
      </c>
      <c r="AO51" s="15" t="str">
        <f aca="false">IF(J51="","",COUNTIF(Q51:AN51,TRUE())*J51)</f>
        <v/>
      </c>
      <c r="AP51" s="15" t="str">
        <f aca="false">IF(K51="","",K51-AO51)</f>
        <v/>
      </c>
      <c r="AQ51" s="15" t="str">
        <f aca="false">IF(K51="","",K51-F51-IF(N51="",0,N51))</f>
        <v/>
      </c>
    </row>
    <row r="52" customFormat="false" ht="15" hidden="false" customHeight="false" outlineLevel="0" collapsed="false">
      <c r="A52" s="4"/>
      <c r="B52" s="4"/>
      <c r="C52" s="4"/>
      <c r="D52" s="5"/>
      <c r="E52" s="5"/>
      <c r="F52" s="6"/>
      <c r="G52" s="4"/>
      <c r="H52" s="4"/>
      <c r="I52" s="4"/>
      <c r="J52" s="6"/>
      <c r="K52" s="7" t="str">
        <f aca="false">IF(OR(I52="",J52=""),"",I52*J52)</f>
        <v/>
      </c>
      <c r="L52" s="4"/>
      <c r="M52" s="8"/>
      <c r="N52" s="7" t="str">
        <f aca="false">IF(OR(L52="",M52="",K52=""),"",IF(L52="GANANCIA",(K52-F52)*M52,IF(L52="BRUTO",K52*M52,"")))</f>
        <v/>
      </c>
      <c r="O52" s="9" t="str">
        <f aca="false">IF(D52="","",D52)</f>
        <v/>
      </c>
      <c r="P52" s="10" t="str">
        <f aca="false">IF(I52="","",IF(COUNTIF(Q52:AN52,TRUE())&gt;=I52,"PAGADO",IF(COUNTIF(Q52:AN52,TRUE())&gt;0,"PARCIAL","VIGENTE")))</f>
        <v/>
      </c>
      <c r="Q52" s="11" t="str">
        <f aca="false">IF(OR(I52="",I52&lt;1,O52=""),"",O52+0)</f>
        <v/>
      </c>
      <c r="R52" s="11" t="str">
        <f aca="false">IF(OR(I52="",I52&lt;2,O52=""),"",O52+30)</f>
        <v/>
      </c>
      <c r="S52" s="11" t="str">
        <f aca="false">IF(OR(I52="",I52&lt;3,O52=""),"",O52+60)</f>
        <v/>
      </c>
      <c r="T52" s="11" t="str">
        <f aca="false">IF(OR(I52="",I52&lt;4,O52=""),"",O52+90)</f>
        <v/>
      </c>
      <c r="U52" s="11" t="str">
        <f aca="false">IF(OR(I52="",I52&lt;5,O52=""),"",O52+120)</f>
        <v/>
      </c>
      <c r="V52" s="11" t="str">
        <f aca="false">IF(OR(I52="",I52&lt;6,O52=""),"",O52+150)</f>
        <v/>
      </c>
      <c r="W52" s="11" t="str">
        <f aca="false">IF(OR(I52="",I52&lt;7,O52=""),"",O52+180)</f>
        <v/>
      </c>
      <c r="X52" s="11" t="str">
        <f aca="false">IF(OR(I52="",I52&lt;8,O52=""),"",O52+210)</f>
        <v/>
      </c>
      <c r="Y52" s="11" t="str">
        <f aca="false">IF(OR(I52="",I52&lt;9,O52=""),"",O52+240)</f>
        <v/>
      </c>
      <c r="Z52" s="11" t="str">
        <f aca="false">IF(OR(I52="",I52&lt;10,O52=""),"",O52+270)</f>
        <v/>
      </c>
      <c r="AA52" s="11" t="str">
        <f aca="false">IF(OR(I52="",I52&lt;11,O52=""),"",O52+300)</f>
        <v/>
      </c>
      <c r="AB52" s="11" t="str">
        <f aca="false">IF(OR(I52="",I52&lt;12,O52=""),"",O52+330)</f>
        <v/>
      </c>
      <c r="AC52" s="11" t="str">
        <f aca="false">IF(OR(I52="",I52&lt;13,O52=""),"",O52+360)</f>
        <v/>
      </c>
      <c r="AD52" s="11" t="str">
        <f aca="false">IF(OR(I52="",I52&lt;14,O52=""),"",O52+390)</f>
        <v/>
      </c>
      <c r="AE52" s="11" t="str">
        <f aca="false">IF(OR(I52="",I52&lt;15,O52=""),"",O52+420)</f>
        <v/>
      </c>
      <c r="AF52" s="11" t="str">
        <f aca="false">IF(OR(I52="",I52&lt;16,O52=""),"",O52+450)</f>
        <v/>
      </c>
      <c r="AG52" s="11" t="str">
        <f aca="false">IF(OR(I52="",I52&lt;17,O52=""),"",O52+480)</f>
        <v/>
      </c>
      <c r="AH52" s="11" t="str">
        <f aca="false">IF(OR(I52="",I52&lt;18,O52=""),"",O52+510)</f>
        <v/>
      </c>
      <c r="AI52" s="11" t="str">
        <f aca="false">IF(OR(I52="",I52&lt;19,O52=""),"",O52+540)</f>
        <v/>
      </c>
      <c r="AJ52" s="11" t="str">
        <f aca="false">IF(OR(I52="",I52&lt;20,O52=""),"",O52+570)</f>
        <v/>
      </c>
      <c r="AK52" s="11" t="str">
        <f aca="false">IF(OR(I52="",I52&lt;21,O52=""),"",O52+600)</f>
        <v/>
      </c>
      <c r="AL52" s="11" t="str">
        <f aca="false">IF(OR(I52="",I52&lt;22,O52=""),"",O52+630)</f>
        <v/>
      </c>
      <c r="AM52" s="11" t="str">
        <f aca="false">IF(OR(I52="",I52&lt;23,O52=""),"",O52+660)</f>
        <v/>
      </c>
      <c r="AN52" s="11" t="str">
        <f aca="false">IF(OR(I52="",I52&lt;24,O52=""),"",O52+690)</f>
        <v/>
      </c>
      <c r="AO52" s="7" t="str">
        <f aca="false">IF(J52="","",COUNTIF(Q52:AN52,TRUE())*J52)</f>
        <v/>
      </c>
      <c r="AP52" s="7" t="str">
        <f aca="false">IF(K52="","",K52-AO52)</f>
        <v/>
      </c>
      <c r="AQ52" s="7" t="str">
        <f aca="false">IF(K52="","",K52-F52-IF(N52="",0,N52))</f>
        <v/>
      </c>
    </row>
    <row r="53" customFormat="false" ht="15" hidden="false" customHeight="false" outlineLevel="0" collapsed="false">
      <c r="A53" s="12"/>
      <c r="B53" s="12"/>
      <c r="C53" s="12"/>
      <c r="D53" s="13"/>
      <c r="E53" s="13"/>
      <c r="F53" s="14"/>
      <c r="G53" s="12"/>
      <c r="H53" s="12"/>
      <c r="I53" s="12"/>
      <c r="J53" s="14"/>
      <c r="K53" s="15" t="str">
        <f aca="false">IF(OR(I53="",J53=""),"",I53*J53)</f>
        <v/>
      </c>
      <c r="L53" s="12"/>
      <c r="M53" s="16"/>
      <c r="N53" s="15" t="str">
        <f aca="false">IF(OR(L53="",M53="",K53=""),"",IF(L53="GANANCIA",(K53-F53)*M53,IF(L53="BRUTO",K53*M53,"")))</f>
        <v/>
      </c>
      <c r="O53" s="17" t="str">
        <f aca="false">IF(D53="","",D53)</f>
        <v/>
      </c>
      <c r="P53" s="18" t="str">
        <f aca="false">IF(I53="","",IF(COUNTIF(Q53:AN53,TRUE())&gt;=I53,"PAGADO",IF(COUNTIF(Q53:AN53,TRUE())&gt;0,"PARCIAL","VIGENTE")))</f>
        <v/>
      </c>
      <c r="Q53" s="19" t="str">
        <f aca="false">IF(OR(I53="",I53&lt;1,O53=""),"",O53+0)</f>
        <v/>
      </c>
      <c r="R53" s="19" t="str">
        <f aca="false">IF(OR(I53="",I53&lt;2,O53=""),"",O53+30)</f>
        <v/>
      </c>
      <c r="S53" s="19" t="str">
        <f aca="false">IF(OR(I53="",I53&lt;3,O53=""),"",O53+60)</f>
        <v/>
      </c>
      <c r="T53" s="19" t="str">
        <f aca="false">IF(OR(I53="",I53&lt;4,O53=""),"",O53+90)</f>
        <v/>
      </c>
      <c r="U53" s="19" t="str">
        <f aca="false">IF(OR(I53="",I53&lt;5,O53=""),"",O53+120)</f>
        <v/>
      </c>
      <c r="V53" s="19" t="str">
        <f aca="false">IF(OR(I53="",I53&lt;6,O53=""),"",O53+150)</f>
        <v/>
      </c>
      <c r="W53" s="19" t="str">
        <f aca="false">IF(OR(I53="",I53&lt;7,O53=""),"",O53+180)</f>
        <v/>
      </c>
      <c r="X53" s="19" t="str">
        <f aca="false">IF(OR(I53="",I53&lt;8,O53=""),"",O53+210)</f>
        <v/>
      </c>
      <c r="Y53" s="19" t="str">
        <f aca="false">IF(OR(I53="",I53&lt;9,O53=""),"",O53+240)</f>
        <v/>
      </c>
      <c r="Z53" s="19" t="str">
        <f aca="false">IF(OR(I53="",I53&lt;10,O53=""),"",O53+270)</f>
        <v/>
      </c>
      <c r="AA53" s="19" t="str">
        <f aca="false">IF(OR(I53="",I53&lt;11,O53=""),"",O53+300)</f>
        <v/>
      </c>
      <c r="AB53" s="19" t="str">
        <f aca="false">IF(OR(I53="",I53&lt;12,O53=""),"",O53+330)</f>
        <v/>
      </c>
      <c r="AC53" s="19" t="str">
        <f aca="false">IF(OR(I53="",I53&lt;13,O53=""),"",O53+360)</f>
        <v/>
      </c>
      <c r="AD53" s="19" t="str">
        <f aca="false">IF(OR(I53="",I53&lt;14,O53=""),"",O53+390)</f>
        <v/>
      </c>
      <c r="AE53" s="19" t="str">
        <f aca="false">IF(OR(I53="",I53&lt;15,O53=""),"",O53+420)</f>
        <v/>
      </c>
      <c r="AF53" s="19" t="str">
        <f aca="false">IF(OR(I53="",I53&lt;16,O53=""),"",O53+450)</f>
        <v/>
      </c>
      <c r="AG53" s="19" t="str">
        <f aca="false">IF(OR(I53="",I53&lt;17,O53=""),"",O53+480)</f>
        <v/>
      </c>
      <c r="AH53" s="19" t="str">
        <f aca="false">IF(OR(I53="",I53&lt;18,O53=""),"",O53+510)</f>
        <v/>
      </c>
      <c r="AI53" s="19" t="str">
        <f aca="false">IF(OR(I53="",I53&lt;19,O53=""),"",O53+540)</f>
        <v/>
      </c>
      <c r="AJ53" s="19" t="str">
        <f aca="false">IF(OR(I53="",I53&lt;20,O53=""),"",O53+570)</f>
        <v/>
      </c>
      <c r="AK53" s="19" t="str">
        <f aca="false">IF(OR(I53="",I53&lt;21,O53=""),"",O53+600)</f>
        <v/>
      </c>
      <c r="AL53" s="19" t="str">
        <f aca="false">IF(OR(I53="",I53&lt;22,O53=""),"",O53+630)</f>
        <v/>
      </c>
      <c r="AM53" s="19" t="str">
        <f aca="false">IF(OR(I53="",I53&lt;23,O53=""),"",O53+660)</f>
        <v/>
      </c>
      <c r="AN53" s="19" t="str">
        <f aca="false">IF(OR(I53="",I53&lt;24,O53=""),"",O53+690)</f>
        <v/>
      </c>
      <c r="AO53" s="15" t="str">
        <f aca="false">IF(J53="","",COUNTIF(Q53:AN53,TRUE())*J53)</f>
        <v/>
      </c>
      <c r="AP53" s="15" t="str">
        <f aca="false">IF(K53="","",K53-AO53)</f>
        <v/>
      </c>
      <c r="AQ53" s="15" t="str">
        <f aca="false">IF(K53="","",K53-F53-IF(N53="",0,N53))</f>
        <v/>
      </c>
    </row>
    <row r="54" customFormat="false" ht="15" hidden="false" customHeight="false" outlineLevel="0" collapsed="false">
      <c r="A54" s="4"/>
      <c r="B54" s="4"/>
      <c r="C54" s="4"/>
      <c r="D54" s="5"/>
      <c r="E54" s="5"/>
      <c r="F54" s="6"/>
      <c r="G54" s="4"/>
      <c r="H54" s="4"/>
      <c r="I54" s="4"/>
      <c r="J54" s="6"/>
      <c r="K54" s="7" t="str">
        <f aca="false">IF(OR(I54="",J54=""),"",I54*J54)</f>
        <v/>
      </c>
      <c r="L54" s="4"/>
      <c r="M54" s="8"/>
      <c r="N54" s="7" t="str">
        <f aca="false">IF(OR(L54="",M54="",K54=""),"",IF(L54="GANANCIA",(K54-F54)*M54,IF(L54="BRUTO",K54*M54,"")))</f>
        <v/>
      </c>
      <c r="O54" s="9" t="str">
        <f aca="false">IF(D54="","",D54)</f>
        <v/>
      </c>
      <c r="P54" s="10" t="str">
        <f aca="false">IF(I54="","",IF(COUNTIF(Q54:AN54,TRUE())&gt;=I54,"PAGADO",IF(COUNTIF(Q54:AN54,TRUE())&gt;0,"PARCIAL","VIGENTE")))</f>
        <v/>
      </c>
      <c r="Q54" s="11" t="str">
        <f aca="false">IF(OR(I54="",I54&lt;1,O54=""),"",O54+0)</f>
        <v/>
      </c>
      <c r="R54" s="11" t="str">
        <f aca="false">IF(OR(I54="",I54&lt;2,O54=""),"",O54+30)</f>
        <v/>
      </c>
      <c r="S54" s="11" t="str">
        <f aca="false">IF(OR(I54="",I54&lt;3,O54=""),"",O54+60)</f>
        <v/>
      </c>
      <c r="T54" s="11" t="str">
        <f aca="false">IF(OR(I54="",I54&lt;4,O54=""),"",O54+90)</f>
        <v/>
      </c>
      <c r="U54" s="11" t="str">
        <f aca="false">IF(OR(I54="",I54&lt;5,O54=""),"",O54+120)</f>
        <v/>
      </c>
      <c r="V54" s="11" t="str">
        <f aca="false">IF(OR(I54="",I54&lt;6,O54=""),"",O54+150)</f>
        <v/>
      </c>
      <c r="W54" s="11" t="str">
        <f aca="false">IF(OR(I54="",I54&lt;7,O54=""),"",O54+180)</f>
        <v/>
      </c>
      <c r="X54" s="11" t="str">
        <f aca="false">IF(OR(I54="",I54&lt;8,O54=""),"",O54+210)</f>
        <v/>
      </c>
      <c r="Y54" s="11" t="str">
        <f aca="false">IF(OR(I54="",I54&lt;9,O54=""),"",O54+240)</f>
        <v/>
      </c>
      <c r="Z54" s="11" t="str">
        <f aca="false">IF(OR(I54="",I54&lt;10,O54=""),"",O54+270)</f>
        <v/>
      </c>
      <c r="AA54" s="11" t="str">
        <f aca="false">IF(OR(I54="",I54&lt;11,O54=""),"",O54+300)</f>
        <v/>
      </c>
      <c r="AB54" s="11" t="str">
        <f aca="false">IF(OR(I54="",I54&lt;12,O54=""),"",O54+330)</f>
        <v/>
      </c>
      <c r="AC54" s="11" t="str">
        <f aca="false">IF(OR(I54="",I54&lt;13,O54=""),"",O54+360)</f>
        <v/>
      </c>
      <c r="AD54" s="11" t="str">
        <f aca="false">IF(OR(I54="",I54&lt;14,O54=""),"",O54+390)</f>
        <v/>
      </c>
      <c r="AE54" s="11" t="str">
        <f aca="false">IF(OR(I54="",I54&lt;15,O54=""),"",O54+420)</f>
        <v/>
      </c>
      <c r="AF54" s="11" t="str">
        <f aca="false">IF(OR(I54="",I54&lt;16,O54=""),"",O54+450)</f>
        <v/>
      </c>
      <c r="AG54" s="11" t="str">
        <f aca="false">IF(OR(I54="",I54&lt;17,O54=""),"",O54+480)</f>
        <v/>
      </c>
      <c r="AH54" s="11" t="str">
        <f aca="false">IF(OR(I54="",I54&lt;18,O54=""),"",O54+510)</f>
        <v/>
      </c>
      <c r="AI54" s="11" t="str">
        <f aca="false">IF(OR(I54="",I54&lt;19,O54=""),"",O54+540)</f>
        <v/>
      </c>
      <c r="AJ54" s="11" t="str">
        <f aca="false">IF(OR(I54="",I54&lt;20,O54=""),"",O54+570)</f>
        <v/>
      </c>
      <c r="AK54" s="11" t="str">
        <f aca="false">IF(OR(I54="",I54&lt;21,O54=""),"",O54+600)</f>
        <v/>
      </c>
      <c r="AL54" s="11" t="str">
        <f aca="false">IF(OR(I54="",I54&lt;22,O54=""),"",O54+630)</f>
        <v/>
      </c>
      <c r="AM54" s="11" t="str">
        <f aca="false">IF(OR(I54="",I54&lt;23,O54=""),"",O54+660)</f>
        <v/>
      </c>
      <c r="AN54" s="11" t="str">
        <f aca="false">IF(OR(I54="",I54&lt;24,O54=""),"",O54+690)</f>
        <v/>
      </c>
      <c r="AO54" s="7" t="str">
        <f aca="false">IF(J54="","",COUNTIF(Q54:AN54,TRUE())*J54)</f>
        <v/>
      </c>
      <c r="AP54" s="7" t="str">
        <f aca="false">IF(K54="","",K54-AO54)</f>
        <v/>
      </c>
      <c r="AQ54" s="7" t="str">
        <f aca="false">IF(K54="","",K54-F54-IF(N54="",0,N54))</f>
        <v/>
      </c>
    </row>
    <row r="55" customFormat="false" ht="15" hidden="false" customHeight="false" outlineLevel="0" collapsed="false">
      <c r="A55" s="12"/>
      <c r="B55" s="12"/>
      <c r="C55" s="12"/>
      <c r="D55" s="13"/>
      <c r="E55" s="13"/>
      <c r="F55" s="14"/>
      <c r="G55" s="12"/>
      <c r="H55" s="12"/>
      <c r="I55" s="12"/>
      <c r="J55" s="14"/>
      <c r="K55" s="15" t="str">
        <f aca="false">IF(OR(I55="",J55=""),"",I55*J55)</f>
        <v/>
      </c>
      <c r="L55" s="12"/>
      <c r="M55" s="16"/>
      <c r="N55" s="15" t="str">
        <f aca="false">IF(OR(L55="",M55="",K55=""),"",IF(L55="GANANCIA",(K55-F55)*M55,IF(L55="BRUTO",K55*M55,"")))</f>
        <v/>
      </c>
      <c r="O55" s="17" t="str">
        <f aca="false">IF(D55="","",D55)</f>
        <v/>
      </c>
      <c r="P55" s="18" t="str">
        <f aca="false">IF(I55="","",IF(COUNTIF(Q55:AN55,TRUE())&gt;=I55,"PAGADO",IF(COUNTIF(Q55:AN55,TRUE())&gt;0,"PARCIAL","VIGENTE")))</f>
        <v/>
      </c>
      <c r="Q55" s="19" t="str">
        <f aca="false">IF(OR(I55="",I55&lt;1,O55=""),"",O55+0)</f>
        <v/>
      </c>
      <c r="R55" s="19" t="str">
        <f aca="false">IF(OR(I55="",I55&lt;2,O55=""),"",O55+30)</f>
        <v/>
      </c>
      <c r="S55" s="19" t="str">
        <f aca="false">IF(OR(I55="",I55&lt;3,O55=""),"",O55+60)</f>
        <v/>
      </c>
      <c r="T55" s="19" t="str">
        <f aca="false">IF(OR(I55="",I55&lt;4,O55=""),"",O55+90)</f>
        <v/>
      </c>
      <c r="U55" s="19" t="str">
        <f aca="false">IF(OR(I55="",I55&lt;5,O55=""),"",O55+120)</f>
        <v/>
      </c>
      <c r="V55" s="19" t="str">
        <f aca="false">IF(OR(I55="",I55&lt;6,O55=""),"",O55+150)</f>
        <v/>
      </c>
      <c r="W55" s="19" t="str">
        <f aca="false">IF(OR(I55="",I55&lt;7,O55=""),"",O55+180)</f>
        <v/>
      </c>
      <c r="X55" s="19" t="str">
        <f aca="false">IF(OR(I55="",I55&lt;8,O55=""),"",O55+210)</f>
        <v/>
      </c>
      <c r="Y55" s="19" t="str">
        <f aca="false">IF(OR(I55="",I55&lt;9,O55=""),"",O55+240)</f>
        <v/>
      </c>
      <c r="Z55" s="19" t="str">
        <f aca="false">IF(OR(I55="",I55&lt;10,O55=""),"",O55+270)</f>
        <v/>
      </c>
      <c r="AA55" s="19" t="str">
        <f aca="false">IF(OR(I55="",I55&lt;11,O55=""),"",O55+300)</f>
        <v/>
      </c>
      <c r="AB55" s="19" t="str">
        <f aca="false">IF(OR(I55="",I55&lt;12,O55=""),"",O55+330)</f>
        <v/>
      </c>
      <c r="AC55" s="19" t="str">
        <f aca="false">IF(OR(I55="",I55&lt;13,O55=""),"",O55+360)</f>
        <v/>
      </c>
      <c r="AD55" s="19" t="str">
        <f aca="false">IF(OR(I55="",I55&lt;14,O55=""),"",O55+390)</f>
        <v/>
      </c>
      <c r="AE55" s="19" t="str">
        <f aca="false">IF(OR(I55="",I55&lt;15,O55=""),"",O55+420)</f>
        <v/>
      </c>
      <c r="AF55" s="19" t="str">
        <f aca="false">IF(OR(I55="",I55&lt;16,O55=""),"",O55+450)</f>
        <v/>
      </c>
      <c r="AG55" s="19" t="str">
        <f aca="false">IF(OR(I55="",I55&lt;17,O55=""),"",O55+480)</f>
        <v/>
      </c>
      <c r="AH55" s="19" t="str">
        <f aca="false">IF(OR(I55="",I55&lt;18,O55=""),"",O55+510)</f>
        <v/>
      </c>
      <c r="AI55" s="19" t="str">
        <f aca="false">IF(OR(I55="",I55&lt;19,O55=""),"",O55+540)</f>
        <v/>
      </c>
      <c r="AJ55" s="19" t="str">
        <f aca="false">IF(OR(I55="",I55&lt;20,O55=""),"",O55+570)</f>
        <v/>
      </c>
      <c r="AK55" s="19" t="str">
        <f aca="false">IF(OR(I55="",I55&lt;21,O55=""),"",O55+600)</f>
        <v/>
      </c>
      <c r="AL55" s="19" t="str">
        <f aca="false">IF(OR(I55="",I55&lt;22,O55=""),"",O55+630)</f>
        <v/>
      </c>
      <c r="AM55" s="19" t="str">
        <f aca="false">IF(OR(I55="",I55&lt;23,O55=""),"",O55+660)</f>
        <v/>
      </c>
      <c r="AN55" s="19" t="str">
        <f aca="false">IF(OR(I55="",I55&lt;24,O55=""),"",O55+690)</f>
        <v/>
      </c>
      <c r="AO55" s="15" t="str">
        <f aca="false">IF(J55="","",COUNTIF(Q55:AN55,TRUE())*J55)</f>
        <v/>
      </c>
      <c r="AP55" s="15" t="str">
        <f aca="false">IF(K55="","",K55-AO55)</f>
        <v/>
      </c>
      <c r="AQ55" s="15" t="str">
        <f aca="false">IF(K55="","",K55-F55-IF(N55="",0,N55))</f>
        <v/>
      </c>
    </row>
    <row r="56" customFormat="false" ht="15" hidden="false" customHeight="false" outlineLevel="0" collapsed="false">
      <c r="A56" s="4"/>
      <c r="B56" s="4"/>
      <c r="C56" s="4"/>
      <c r="D56" s="5"/>
      <c r="E56" s="5"/>
      <c r="F56" s="6"/>
      <c r="G56" s="4"/>
      <c r="H56" s="4"/>
      <c r="I56" s="4"/>
      <c r="J56" s="6"/>
      <c r="K56" s="7" t="str">
        <f aca="false">IF(OR(I56="",J56=""),"",I56*J56)</f>
        <v/>
      </c>
      <c r="L56" s="4"/>
      <c r="M56" s="8"/>
      <c r="N56" s="7" t="str">
        <f aca="false">IF(OR(L56="",M56="",K56=""),"",IF(L56="GANANCIA",(K56-F56)*M56,IF(L56="BRUTO",K56*M56,"")))</f>
        <v/>
      </c>
      <c r="O56" s="9" t="str">
        <f aca="false">IF(D56="","",D56)</f>
        <v/>
      </c>
      <c r="P56" s="10" t="str">
        <f aca="false">IF(I56="","",IF(COUNTIF(Q56:AN56,TRUE())&gt;=I56,"PAGADO",IF(COUNTIF(Q56:AN56,TRUE())&gt;0,"PARCIAL","VIGENTE")))</f>
        <v/>
      </c>
      <c r="Q56" s="11" t="str">
        <f aca="false">IF(OR(I56="",I56&lt;1,O56=""),"",O56+0)</f>
        <v/>
      </c>
      <c r="R56" s="11" t="str">
        <f aca="false">IF(OR(I56="",I56&lt;2,O56=""),"",O56+30)</f>
        <v/>
      </c>
      <c r="S56" s="11" t="str">
        <f aca="false">IF(OR(I56="",I56&lt;3,O56=""),"",O56+60)</f>
        <v/>
      </c>
      <c r="T56" s="11" t="str">
        <f aca="false">IF(OR(I56="",I56&lt;4,O56=""),"",O56+90)</f>
        <v/>
      </c>
      <c r="U56" s="11" t="str">
        <f aca="false">IF(OR(I56="",I56&lt;5,O56=""),"",O56+120)</f>
        <v/>
      </c>
      <c r="V56" s="11" t="str">
        <f aca="false">IF(OR(I56="",I56&lt;6,O56=""),"",O56+150)</f>
        <v/>
      </c>
      <c r="W56" s="11" t="str">
        <f aca="false">IF(OR(I56="",I56&lt;7,O56=""),"",O56+180)</f>
        <v/>
      </c>
      <c r="X56" s="11" t="str">
        <f aca="false">IF(OR(I56="",I56&lt;8,O56=""),"",O56+210)</f>
        <v/>
      </c>
      <c r="Y56" s="11" t="str">
        <f aca="false">IF(OR(I56="",I56&lt;9,O56=""),"",O56+240)</f>
        <v/>
      </c>
      <c r="Z56" s="11" t="str">
        <f aca="false">IF(OR(I56="",I56&lt;10,O56=""),"",O56+270)</f>
        <v/>
      </c>
      <c r="AA56" s="11" t="str">
        <f aca="false">IF(OR(I56="",I56&lt;11,O56=""),"",O56+300)</f>
        <v/>
      </c>
      <c r="AB56" s="11" t="str">
        <f aca="false">IF(OR(I56="",I56&lt;12,O56=""),"",O56+330)</f>
        <v/>
      </c>
      <c r="AC56" s="11" t="str">
        <f aca="false">IF(OR(I56="",I56&lt;13,O56=""),"",O56+360)</f>
        <v/>
      </c>
      <c r="AD56" s="11" t="str">
        <f aca="false">IF(OR(I56="",I56&lt;14,O56=""),"",O56+390)</f>
        <v/>
      </c>
      <c r="AE56" s="11" t="str">
        <f aca="false">IF(OR(I56="",I56&lt;15,O56=""),"",O56+420)</f>
        <v/>
      </c>
      <c r="AF56" s="11" t="str">
        <f aca="false">IF(OR(I56="",I56&lt;16,O56=""),"",O56+450)</f>
        <v/>
      </c>
      <c r="AG56" s="11" t="str">
        <f aca="false">IF(OR(I56="",I56&lt;17,O56=""),"",O56+480)</f>
        <v/>
      </c>
      <c r="AH56" s="11" t="str">
        <f aca="false">IF(OR(I56="",I56&lt;18,O56=""),"",O56+510)</f>
        <v/>
      </c>
      <c r="AI56" s="11" t="str">
        <f aca="false">IF(OR(I56="",I56&lt;19,O56=""),"",O56+540)</f>
        <v/>
      </c>
      <c r="AJ56" s="11" t="str">
        <f aca="false">IF(OR(I56="",I56&lt;20,O56=""),"",O56+570)</f>
        <v/>
      </c>
      <c r="AK56" s="11" t="str">
        <f aca="false">IF(OR(I56="",I56&lt;21,O56=""),"",O56+600)</f>
        <v/>
      </c>
      <c r="AL56" s="11" t="str">
        <f aca="false">IF(OR(I56="",I56&lt;22,O56=""),"",O56+630)</f>
        <v/>
      </c>
      <c r="AM56" s="11" t="str">
        <f aca="false">IF(OR(I56="",I56&lt;23,O56=""),"",O56+660)</f>
        <v/>
      </c>
      <c r="AN56" s="11" t="str">
        <f aca="false">IF(OR(I56="",I56&lt;24,O56=""),"",O56+690)</f>
        <v/>
      </c>
      <c r="AO56" s="7" t="str">
        <f aca="false">IF(J56="","",COUNTIF(Q56:AN56,TRUE())*J56)</f>
        <v/>
      </c>
      <c r="AP56" s="7" t="str">
        <f aca="false">IF(K56="","",K56-AO56)</f>
        <v/>
      </c>
      <c r="AQ56" s="7" t="str">
        <f aca="false">IF(K56="","",K56-F56-IF(N56="",0,N56))</f>
        <v/>
      </c>
    </row>
    <row r="57" customFormat="false" ht="15" hidden="false" customHeight="false" outlineLevel="0" collapsed="false">
      <c r="A57" s="12"/>
      <c r="B57" s="12"/>
      <c r="C57" s="12"/>
      <c r="D57" s="13"/>
      <c r="E57" s="13"/>
      <c r="F57" s="14"/>
      <c r="G57" s="12"/>
      <c r="H57" s="12"/>
      <c r="I57" s="12"/>
      <c r="J57" s="14"/>
      <c r="K57" s="15" t="str">
        <f aca="false">IF(OR(I57="",J57=""),"",I57*J57)</f>
        <v/>
      </c>
      <c r="L57" s="12"/>
      <c r="M57" s="16"/>
      <c r="N57" s="15" t="str">
        <f aca="false">IF(OR(L57="",M57="",K57=""),"",IF(L57="GANANCIA",(K57-F57)*M57,IF(L57="BRUTO",K57*M57,"")))</f>
        <v/>
      </c>
      <c r="O57" s="17" t="str">
        <f aca="false">IF(D57="","",D57)</f>
        <v/>
      </c>
      <c r="P57" s="18" t="str">
        <f aca="false">IF(I57="","",IF(COUNTIF(Q57:AN57,TRUE())&gt;=I57,"PAGADO",IF(COUNTIF(Q57:AN57,TRUE())&gt;0,"PARCIAL","VIGENTE")))</f>
        <v/>
      </c>
      <c r="Q57" s="19" t="str">
        <f aca="false">IF(OR(I57="",I57&lt;1,O57=""),"",O57+0)</f>
        <v/>
      </c>
      <c r="R57" s="19" t="str">
        <f aca="false">IF(OR(I57="",I57&lt;2,O57=""),"",O57+30)</f>
        <v/>
      </c>
      <c r="S57" s="19" t="str">
        <f aca="false">IF(OR(I57="",I57&lt;3,O57=""),"",O57+60)</f>
        <v/>
      </c>
      <c r="T57" s="19" t="str">
        <f aca="false">IF(OR(I57="",I57&lt;4,O57=""),"",O57+90)</f>
        <v/>
      </c>
      <c r="U57" s="19" t="str">
        <f aca="false">IF(OR(I57="",I57&lt;5,O57=""),"",O57+120)</f>
        <v/>
      </c>
      <c r="V57" s="19" t="str">
        <f aca="false">IF(OR(I57="",I57&lt;6,O57=""),"",O57+150)</f>
        <v/>
      </c>
      <c r="W57" s="19" t="str">
        <f aca="false">IF(OR(I57="",I57&lt;7,O57=""),"",O57+180)</f>
        <v/>
      </c>
      <c r="X57" s="19" t="str">
        <f aca="false">IF(OR(I57="",I57&lt;8,O57=""),"",O57+210)</f>
        <v/>
      </c>
      <c r="Y57" s="19" t="str">
        <f aca="false">IF(OR(I57="",I57&lt;9,O57=""),"",O57+240)</f>
        <v/>
      </c>
      <c r="Z57" s="19" t="str">
        <f aca="false">IF(OR(I57="",I57&lt;10,O57=""),"",O57+270)</f>
        <v/>
      </c>
      <c r="AA57" s="19" t="str">
        <f aca="false">IF(OR(I57="",I57&lt;11,O57=""),"",O57+300)</f>
        <v/>
      </c>
      <c r="AB57" s="19" t="str">
        <f aca="false">IF(OR(I57="",I57&lt;12,O57=""),"",O57+330)</f>
        <v/>
      </c>
      <c r="AC57" s="19" t="str">
        <f aca="false">IF(OR(I57="",I57&lt;13,O57=""),"",O57+360)</f>
        <v/>
      </c>
      <c r="AD57" s="19" t="str">
        <f aca="false">IF(OR(I57="",I57&lt;14,O57=""),"",O57+390)</f>
        <v/>
      </c>
      <c r="AE57" s="19" t="str">
        <f aca="false">IF(OR(I57="",I57&lt;15,O57=""),"",O57+420)</f>
        <v/>
      </c>
      <c r="AF57" s="19" t="str">
        <f aca="false">IF(OR(I57="",I57&lt;16,O57=""),"",O57+450)</f>
        <v/>
      </c>
      <c r="AG57" s="19" t="str">
        <f aca="false">IF(OR(I57="",I57&lt;17,O57=""),"",O57+480)</f>
        <v/>
      </c>
      <c r="AH57" s="19" t="str">
        <f aca="false">IF(OR(I57="",I57&lt;18,O57=""),"",O57+510)</f>
        <v/>
      </c>
      <c r="AI57" s="19" t="str">
        <f aca="false">IF(OR(I57="",I57&lt;19,O57=""),"",O57+540)</f>
        <v/>
      </c>
      <c r="AJ57" s="19" t="str">
        <f aca="false">IF(OR(I57="",I57&lt;20,O57=""),"",O57+570)</f>
        <v/>
      </c>
      <c r="AK57" s="19" t="str">
        <f aca="false">IF(OR(I57="",I57&lt;21,O57=""),"",O57+600)</f>
        <v/>
      </c>
      <c r="AL57" s="19" t="str">
        <f aca="false">IF(OR(I57="",I57&lt;22,O57=""),"",O57+630)</f>
        <v/>
      </c>
      <c r="AM57" s="19" t="str">
        <f aca="false">IF(OR(I57="",I57&lt;23,O57=""),"",O57+660)</f>
        <v/>
      </c>
      <c r="AN57" s="19" t="str">
        <f aca="false">IF(OR(I57="",I57&lt;24,O57=""),"",O57+690)</f>
        <v/>
      </c>
      <c r="AO57" s="15" t="str">
        <f aca="false">IF(J57="","",COUNTIF(Q57:AN57,TRUE())*J57)</f>
        <v/>
      </c>
      <c r="AP57" s="15" t="str">
        <f aca="false">IF(K57="","",K57-AO57)</f>
        <v/>
      </c>
      <c r="AQ57" s="15" t="str">
        <f aca="false">IF(K57="","",K57-F57-IF(N57="",0,N57))</f>
        <v/>
      </c>
    </row>
    <row r="58" customFormat="false" ht="15" hidden="false" customHeight="false" outlineLevel="0" collapsed="false">
      <c r="A58" s="4"/>
      <c r="B58" s="4"/>
      <c r="C58" s="4"/>
      <c r="D58" s="5"/>
      <c r="E58" s="5"/>
      <c r="F58" s="6"/>
      <c r="G58" s="4"/>
      <c r="H58" s="4"/>
      <c r="I58" s="4"/>
      <c r="J58" s="6"/>
      <c r="K58" s="7" t="str">
        <f aca="false">IF(OR(I58="",J58=""),"",I58*J58)</f>
        <v/>
      </c>
      <c r="L58" s="4"/>
      <c r="M58" s="8"/>
      <c r="N58" s="7" t="str">
        <f aca="false">IF(OR(L58="",M58="",K58=""),"",IF(L58="GANANCIA",(K58-F58)*M58,IF(L58="BRUTO",K58*M58,"")))</f>
        <v/>
      </c>
      <c r="O58" s="9" t="str">
        <f aca="false">IF(D58="","",D58)</f>
        <v/>
      </c>
      <c r="P58" s="10" t="str">
        <f aca="false">IF(I58="","",IF(COUNTIF(Q58:AN58,TRUE())&gt;=I58,"PAGADO",IF(COUNTIF(Q58:AN58,TRUE())&gt;0,"PARCIAL","VIGENTE")))</f>
        <v/>
      </c>
      <c r="Q58" s="11" t="str">
        <f aca="false">IF(OR(I58="",I58&lt;1,O58=""),"",O58+0)</f>
        <v/>
      </c>
      <c r="R58" s="11" t="str">
        <f aca="false">IF(OR(I58="",I58&lt;2,O58=""),"",O58+30)</f>
        <v/>
      </c>
      <c r="S58" s="11" t="str">
        <f aca="false">IF(OR(I58="",I58&lt;3,O58=""),"",O58+60)</f>
        <v/>
      </c>
      <c r="T58" s="11" t="str">
        <f aca="false">IF(OR(I58="",I58&lt;4,O58=""),"",O58+90)</f>
        <v/>
      </c>
      <c r="U58" s="11" t="str">
        <f aca="false">IF(OR(I58="",I58&lt;5,O58=""),"",O58+120)</f>
        <v/>
      </c>
      <c r="V58" s="11" t="str">
        <f aca="false">IF(OR(I58="",I58&lt;6,O58=""),"",O58+150)</f>
        <v/>
      </c>
      <c r="W58" s="11" t="str">
        <f aca="false">IF(OR(I58="",I58&lt;7,O58=""),"",O58+180)</f>
        <v/>
      </c>
      <c r="X58" s="11" t="str">
        <f aca="false">IF(OR(I58="",I58&lt;8,O58=""),"",O58+210)</f>
        <v/>
      </c>
      <c r="Y58" s="11" t="str">
        <f aca="false">IF(OR(I58="",I58&lt;9,O58=""),"",O58+240)</f>
        <v/>
      </c>
      <c r="Z58" s="11" t="str">
        <f aca="false">IF(OR(I58="",I58&lt;10,O58=""),"",O58+270)</f>
        <v/>
      </c>
      <c r="AA58" s="11" t="str">
        <f aca="false">IF(OR(I58="",I58&lt;11,O58=""),"",O58+300)</f>
        <v/>
      </c>
      <c r="AB58" s="11" t="str">
        <f aca="false">IF(OR(I58="",I58&lt;12,O58=""),"",O58+330)</f>
        <v/>
      </c>
      <c r="AC58" s="11" t="str">
        <f aca="false">IF(OR(I58="",I58&lt;13,O58=""),"",O58+360)</f>
        <v/>
      </c>
      <c r="AD58" s="11" t="str">
        <f aca="false">IF(OR(I58="",I58&lt;14,O58=""),"",O58+390)</f>
        <v/>
      </c>
      <c r="AE58" s="11" t="str">
        <f aca="false">IF(OR(I58="",I58&lt;15,O58=""),"",O58+420)</f>
        <v/>
      </c>
      <c r="AF58" s="11" t="str">
        <f aca="false">IF(OR(I58="",I58&lt;16,O58=""),"",O58+450)</f>
        <v/>
      </c>
      <c r="AG58" s="11" t="str">
        <f aca="false">IF(OR(I58="",I58&lt;17,O58=""),"",O58+480)</f>
        <v/>
      </c>
      <c r="AH58" s="11" t="str">
        <f aca="false">IF(OR(I58="",I58&lt;18,O58=""),"",O58+510)</f>
        <v/>
      </c>
      <c r="AI58" s="11" t="str">
        <f aca="false">IF(OR(I58="",I58&lt;19,O58=""),"",O58+540)</f>
        <v/>
      </c>
      <c r="AJ58" s="11" t="str">
        <f aca="false">IF(OR(I58="",I58&lt;20,O58=""),"",O58+570)</f>
        <v/>
      </c>
      <c r="AK58" s="11" t="str">
        <f aca="false">IF(OR(I58="",I58&lt;21,O58=""),"",O58+600)</f>
        <v/>
      </c>
      <c r="AL58" s="11" t="str">
        <f aca="false">IF(OR(I58="",I58&lt;22,O58=""),"",O58+630)</f>
        <v/>
      </c>
      <c r="AM58" s="11" t="str">
        <f aca="false">IF(OR(I58="",I58&lt;23,O58=""),"",O58+660)</f>
        <v/>
      </c>
      <c r="AN58" s="11" t="str">
        <f aca="false">IF(OR(I58="",I58&lt;24,O58=""),"",O58+690)</f>
        <v/>
      </c>
      <c r="AO58" s="7" t="str">
        <f aca="false">IF(J58="","",COUNTIF(Q58:AN58,TRUE())*J58)</f>
        <v/>
      </c>
      <c r="AP58" s="7" t="str">
        <f aca="false">IF(K58="","",K58-AO58)</f>
        <v/>
      </c>
      <c r="AQ58" s="7" t="str">
        <f aca="false">IF(K58="","",K58-F58-IF(N58="",0,N58))</f>
        <v/>
      </c>
    </row>
    <row r="59" customFormat="false" ht="15" hidden="false" customHeight="false" outlineLevel="0" collapsed="false">
      <c r="A59" s="12"/>
      <c r="B59" s="12"/>
      <c r="C59" s="12"/>
      <c r="D59" s="13"/>
      <c r="E59" s="13"/>
      <c r="F59" s="14"/>
      <c r="G59" s="12"/>
      <c r="H59" s="12"/>
      <c r="I59" s="12"/>
      <c r="J59" s="14"/>
      <c r="K59" s="15" t="str">
        <f aca="false">IF(OR(I59="",J59=""),"",I59*J59)</f>
        <v/>
      </c>
      <c r="L59" s="12"/>
      <c r="M59" s="16"/>
      <c r="N59" s="15" t="str">
        <f aca="false">IF(OR(L59="",M59="",K59=""),"",IF(L59="GANANCIA",(K59-F59)*M59,IF(L59="BRUTO",K59*M59,"")))</f>
        <v/>
      </c>
      <c r="O59" s="17" t="str">
        <f aca="false">IF(D59="","",D59)</f>
        <v/>
      </c>
      <c r="P59" s="18" t="str">
        <f aca="false">IF(I59="","",IF(COUNTIF(Q59:AN59,TRUE())&gt;=I59,"PAGADO",IF(COUNTIF(Q59:AN59,TRUE())&gt;0,"PARCIAL","VIGENTE")))</f>
        <v/>
      </c>
      <c r="Q59" s="19" t="str">
        <f aca="false">IF(OR(I59="",I59&lt;1,O59=""),"",O59+0)</f>
        <v/>
      </c>
      <c r="R59" s="19" t="str">
        <f aca="false">IF(OR(I59="",I59&lt;2,O59=""),"",O59+30)</f>
        <v/>
      </c>
      <c r="S59" s="19" t="str">
        <f aca="false">IF(OR(I59="",I59&lt;3,O59=""),"",O59+60)</f>
        <v/>
      </c>
      <c r="T59" s="19" t="str">
        <f aca="false">IF(OR(I59="",I59&lt;4,O59=""),"",O59+90)</f>
        <v/>
      </c>
      <c r="U59" s="19" t="str">
        <f aca="false">IF(OR(I59="",I59&lt;5,O59=""),"",O59+120)</f>
        <v/>
      </c>
      <c r="V59" s="19" t="str">
        <f aca="false">IF(OR(I59="",I59&lt;6,O59=""),"",O59+150)</f>
        <v/>
      </c>
      <c r="W59" s="19" t="str">
        <f aca="false">IF(OR(I59="",I59&lt;7,O59=""),"",O59+180)</f>
        <v/>
      </c>
      <c r="X59" s="19" t="str">
        <f aca="false">IF(OR(I59="",I59&lt;8,O59=""),"",O59+210)</f>
        <v/>
      </c>
      <c r="Y59" s="19" t="str">
        <f aca="false">IF(OR(I59="",I59&lt;9,O59=""),"",O59+240)</f>
        <v/>
      </c>
      <c r="Z59" s="19" t="str">
        <f aca="false">IF(OR(I59="",I59&lt;10,O59=""),"",O59+270)</f>
        <v/>
      </c>
      <c r="AA59" s="19" t="str">
        <f aca="false">IF(OR(I59="",I59&lt;11,O59=""),"",O59+300)</f>
        <v/>
      </c>
      <c r="AB59" s="19" t="str">
        <f aca="false">IF(OR(I59="",I59&lt;12,O59=""),"",O59+330)</f>
        <v/>
      </c>
      <c r="AC59" s="19" t="str">
        <f aca="false">IF(OR(I59="",I59&lt;13,O59=""),"",O59+360)</f>
        <v/>
      </c>
      <c r="AD59" s="19" t="str">
        <f aca="false">IF(OR(I59="",I59&lt;14,O59=""),"",O59+390)</f>
        <v/>
      </c>
      <c r="AE59" s="19" t="str">
        <f aca="false">IF(OR(I59="",I59&lt;15,O59=""),"",O59+420)</f>
        <v/>
      </c>
      <c r="AF59" s="19" t="str">
        <f aca="false">IF(OR(I59="",I59&lt;16,O59=""),"",O59+450)</f>
        <v/>
      </c>
      <c r="AG59" s="19" t="str">
        <f aca="false">IF(OR(I59="",I59&lt;17,O59=""),"",O59+480)</f>
        <v/>
      </c>
      <c r="AH59" s="19" t="str">
        <f aca="false">IF(OR(I59="",I59&lt;18,O59=""),"",O59+510)</f>
        <v/>
      </c>
      <c r="AI59" s="19" t="str">
        <f aca="false">IF(OR(I59="",I59&lt;19,O59=""),"",O59+540)</f>
        <v/>
      </c>
      <c r="AJ59" s="19" t="str">
        <f aca="false">IF(OR(I59="",I59&lt;20,O59=""),"",O59+570)</f>
        <v/>
      </c>
      <c r="AK59" s="19" t="str">
        <f aca="false">IF(OR(I59="",I59&lt;21,O59=""),"",O59+600)</f>
        <v/>
      </c>
      <c r="AL59" s="19" t="str">
        <f aca="false">IF(OR(I59="",I59&lt;22,O59=""),"",O59+630)</f>
        <v/>
      </c>
      <c r="AM59" s="19" t="str">
        <f aca="false">IF(OR(I59="",I59&lt;23,O59=""),"",O59+660)</f>
        <v/>
      </c>
      <c r="AN59" s="19" t="str">
        <f aca="false">IF(OR(I59="",I59&lt;24,O59=""),"",O59+690)</f>
        <v/>
      </c>
      <c r="AO59" s="15" t="str">
        <f aca="false">IF(J59="","",COUNTIF(Q59:AN59,TRUE())*J59)</f>
        <v/>
      </c>
      <c r="AP59" s="15" t="str">
        <f aca="false">IF(K59="","",K59-AO59)</f>
        <v/>
      </c>
      <c r="AQ59" s="15" t="str">
        <f aca="false">IF(K59="","",K59-F59-IF(N59="",0,N59))</f>
        <v/>
      </c>
    </row>
    <row r="60" customFormat="false" ht="15" hidden="false" customHeight="false" outlineLevel="0" collapsed="false">
      <c r="A60" s="4"/>
      <c r="B60" s="4"/>
      <c r="C60" s="4"/>
      <c r="D60" s="5"/>
      <c r="E60" s="5"/>
      <c r="F60" s="6"/>
      <c r="G60" s="4"/>
      <c r="H60" s="4"/>
      <c r="I60" s="4"/>
      <c r="J60" s="6"/>
      <c r="K60" s="7" t="str">
        <f aca="false">IF(OR(I60="",J60=""),"",I60*J60)</f>
        <v/>
      </c>
      <c r="L60" s="4"/>
      <c r="M60" s="8"/>
      <c r="N60" s="7" t="str">
        <f aca="false">IF(OR(L60="",M60="",K60=""),"",IF(L60="GANANCIA",(K60-F60)*M60,IF(L60="BRUTO",K60*M60,"")))</f>
        <v/>
      </c>
      <c r="O60" s="9" t="str">
        <f aca="false">IF(D60="","",D60)</f>
        <v/>
      </c>
      <c r="P60" s="10" t="str">
        <f aca="false">IF(I60="","",IF(COUNTIF(Q60:AN60,TRUE())&gt;=I60,"PAGADO",IF(COUNTIF(Q60:AN60,TRUE())&gt;0,"PARCIAL","VIGENTE")))</f>
        <v/>
      </c>
      <c r="Q60" s="11" t="str">
        <f aca="false">IF(OR(I60="",I60&lt;1,O60=""),"",O60+0)</f>
        <v/>
      </c>
      <c r="R60" s="11" t="str">
        <f aca="false">IF(OR(I60="",I60&lt;2,O60=""),"",O60+30)</f>
        <v/>
      </c>
      <c r="S60" s="11" t="str">
        <f aca="false">IF(OR(I60="",I60&lt;3,O60=""),"",O60+60)</f>
        <v/>
      </c>
      <c r="T60" s="11" t="str">
        <f aca="false">IF(OR(I60="",I60&lt;4,O60=""),"",O60+90)</f>
        <v/>
      </c>
      <c r="U60" s="11" t="str">
        <f aca="false">IF(OR(I60="",I60&lt;5,O60=""),"",O60+120)</f>
        <v/>
      </c>
      <c r="V60" s="11" t="str">
        <f aca="false">IF(OR(I60="",I60&lt;6,O60=""),"",O60+150)</f>
        <v/>
      </c>
      <c r="W60" s="11" t="str">
        <f aca="false">IF(OR(I60="",I60&lt;7,O60=""),"",O60+180)</f>
        <v/>
      </c>
      <c r="X60" s="11" t="str">
        <f aca="false">IF(OR(I60="",I60&lt;8,O60=""),"",O60+210)</f>
        <v/>
      </c>
      <c r="Y60" s="11" t="str">
        <f aca="false">IF(OR(I60="",I60&lt;9,O60=""),"",O60+240)</f>
        <v/>
      </c>
      <c r="Z60" s="11" t="str">
        <f aca="false">IF(OR(I60="",I60&lt;10,O60=""),"",O60+270)</f>
        <v/>
      </c>
      <c r="AA60" s="11" t="str">
        <f aca="false">IF(OR(I60="",I60&lt;11,O60=""),"",O60+300)</f>
        <v/>
      </c>
      <c r="AB60" s="11" t="str">
        <f aca="false">IF(OR(I60="",I60&lt;12,O60=""),"",O60+330)</f>
        <v/>
      </c>
      <c r="AC60" s="11" t="str">
        <f aca="false">IF(OR(I60="",I60&lt;13,O60=""),"",O60+360)</f>
        <v/>
      </c>
      <c r="AD60" s="11" t="str">
        <f aca="false">IF(OR(I60="",I60&lt;14,O60=""),"",O60+390)</f>
        <v/>
      </c>
      <c r="AE60" s="11" t="str">
        <f aca="false">IF(OR(I60="",I60&lt;15,O60=""),"",O60+420)</f>
        <v/>
      </c>
      <c r="AF60" s="11" t="str">
        <f aca="false">IF(OR(I60="",I60&lt;16,O60=""),"",O60+450)</f>
        <v/>
      </c>
      <c r="AG60" s="11" t="str">
        <f aca="false">IF(OR(I60="",I60&lt;17,O60=""),"",O60+480)</f>
        <v/>
      </c>
      <c r="AH60" s="11" t="str">
        <f aca="false">IF(OR(I60="",I60&lt;18,O60=""),"",O60+510)</f>
        <v/>
      </c>
      <c r="AI60" s="11" t="str">
        <f aca="false">IF(OR(I60="",I60&lt;19,O60=""),"",O60+540)</f>
        <v/>
      </c>
      <c r="AJ60" s="11" t="str">
        <f aca="false">IF(OR(I60="",I60&lt;20,O60=""),"",O60+570)</f>
        <v/>
      </c>
      <c r="AK60" s="11" t="str">
        <f aca="false">IF(OR(I60="",I60&lt;21,O60=""),"",O60+600)</f>
        <v/>
      </c>
      <c r="AL60" s="11" t="str">
        <f aca="false">IF(OR(I60="",I60&lt;22,O60=""),"",O60+630)</f>
        <v/>
      </c>
      <c r="AM60" s="11" t="str">
        <f aca="false">IF(OR(I60="",I60&lt;23,O60=""),"",O60+660)</f>
        <v/>
      </c>
      <c r="AN60" s="11" t="str">
        <f aca="false">IF(OR(I60="",I60&lt;24,O60=""),"",O60+690)</f>
        <v/>
      </c>
      <c r="AO60" s="7" t="str">
        <f aca="false">IF(J60="","",COUNTIF(Q60:AN60,TRUE())*J60)</f>
        <v/>
      </c>
      <c r="AP60" s="7" t="str">
        <f aca="false">IF(K60="","",K60-AO60)</f>
        <v/>
      </c>
      <c r="AQ60" s="7" t="str">
        <f aca="false">IF(K60="","",K60-F60-IF(N60="",0,N60))</f>
        <v/>
      </c>
    </row>
    <row r="61" customFormat="false" ht="15" hidden="false" customHeight="false" outlineLevel="0" collapsed="false">
      <c r="A61" s="12"/>
      <c r="B61" s="12"/>
      <c r="C61" s="12"/>
      <c r="D61" s="13"/>
      <c r="E61" s="13"/>
      <c r="F61" s="14"/>
      <c r="G61" s="12"/>
      <c r="H61" s="12"/>
      <c r="I61" s="12"/>
      <c r="J61" s="14"/>
      <c r="K61" s="15" t="str">
        <f aca="false">IF(OR(I61="",J61=""),"",I61*J61)</f>
        <v/>
      </c>
      <c r="L61" s="12"/>
      <c r="M61" s="16"/>
      <c r="N61" s="15" t="str">
        <f aca="false">IF(OR(L61="",M61="",K61=""),"",IF(L61="GANANCIA",(K61-F61)*M61,IF(L61="BRUTO",K61*M61,"")))</f>
        <v/>
      </c>
      <c r="O61" s="17" t="str">
        <f aca="false">IF(D61="","",D61)</f>
        <v/>
      </c>
      <c r="P61" s="18" t="str">
        <f aca="false">IF(I61="","",IF(COUNTIF(Q61:AN61,TRUE())&gt;=I61,"PAGADO",IF(COUNTIF(Q61:AN61,TRUE())&gt;0,"PARCIAL","VIGENTE")))</f>
        <v/>
      </c>
      <c r="Q61" s="19" t="str">
        <f aca="false">IF(OR(I61="",I61&lt;1,O61=""),"",O61+0)</f>
        <v/>
      </c>
      <c r="R61" s="19" t="str">
        <f aca="false">IF(OR(I61="",I61&lt;2,O61=""),"",O61+30)</f>
        <v/>
      </c>
      <c r="S61" s="19" t="str">
        <f aca="false">IF(OR(I61="",I61&lt;3,O61=""),"",O61+60)</f>
        <v/>
      </c>
      <c r="T61" s="19" t="str">
        <f aca="false">IF(OR(I61="",I61&lt;4,O61=""),"",O61+90)</f>
        <v/>
      </c>
      <c r="U61" s="19" t="str">
        <f aca="false">IF(OR(I61="",I61&lt;5,O61=""),"",O61+120)</f>
        <v/>
      </c>
      <c r="V61" s="19" t="str">
        <f aca="false">IF(OR(I61="",I61&lt;6,O61=""),"",O61+150)</f>
        <v/>
      </c>
      <c r="W61" s="19" t="str">
        <f aca="false">IF(OR(I61="",I61&lt;7,O61=""),"",O61+180)</f>
        <v/>
      </c>
      <c r="X61" s="19" t="str">
        <f aca="false">IF(OR(I61="",I61&lt;8,O61=""),"",O61+210)</f>
        <v/>
      </c>
      <c r="Y61" s="19" t="str">
        <f aca="false">IF(OR(I61="",I61&lt;9,O61=""),"",O61+240)</f>
        <v/>
      </c>
      <c r="Z61" s="19" t="str">
        <f aca="false">IF(OR(I61="",I61&lt;10,O61=""),"",O61+270)</f>
        <v/>
      </c>
      <c r="AA61" s="19" t="str">
        <f aca="false">IF(OR(I61="",I61&lt;11,O61=""),"",O61+300)</f>
        <v/>
      </c>
      <c r="AB61" s="19" t="str">
        <f aca="false">IF(OR(I61="",I61&lt;12,O61=""),"",O61+330)</f>
        <v/>
      </c>
      <c r="AC61" s="19" t="str">
        <f aca="false">IF(OR(I61="",I61&lt;13,O61=""),"",O61+360)</f>
        <v/>
      </c>
      <c r="AD61" s="19" t="str">
        <f aca="false">IF(OR(I61="",I61&lt;14,O61=""),"",O61+390)</f>
        <v/>
      </c>
      <c r="AE61" s="19" t="str">
        <f aca="false">IF(OR(I61="",I61&lt;15,O61=""),"",O61+420)</f>
        <v/>
      </c>
      <c r="AF61" s="19" t="str">
        <f aca="false">IF(OR(I61="",I61&lt;16,O61=""),"",O61+450)</f>
        <v/>
      </c>
      <c r="AG61" s="19" t="str">
        <f aca="false">IF(OR(I61="",I61&lt;17,O61=""),"",O61+480)</f>
        <v/>
      </c>
      <c r="AH61" s="19" t="str">
        <f aca="false">IF(OR(I61="",I61&lt;18,O61=""),"",O61+510)</f>
        <v/>
      </c>
      <c r="AI61" s="19" t="str">
        <f aca="false">IF(OR(I61="",I61&lt;19,O61=""),"",O61+540)</f>
        <v/>
      </c>
      <c r="AJ61" s="19" t="str">
        <f aca="false">IF(OR(I61="",I61&lt;20,O61=""),"",O61+570)</f>
        <v/>
      </c>
      <c r="AK61" s="19" t="str">
        <f aca="false">IF(OR(I61="",I61&lt;21,O61=""),"",O61+600)</f>
        <v/>
      </c>
      <c r="AL61" s="19" t="str">
        <f aca="false">IF(OR(I61="",I61&lt;22,O61=""),"",O61+630)</f>
        <v/>
      </c>
      <c r="AM61" s="19" t="str">
        <f aca="false">IF(OR(I61="",I61&lt;23,O61=""),"",O61+660)</f>
        <v/>
      </c>
      <c r="AN61" s="19" t="str">
        <f aca="false">IF(OR(I61="",I61&lt;24,O61=""),"",O61+690)</f>
        <v/>
      </c>
      <c r="AO61" s="15" t="str">
        <f aca="false">IF(J61="","",COUNTIF(Q61:AN61,TRUE())*J61)</f>
        <v/>
      </c>
      <c r="AP61" s="15" t="str">
        <f aca="false">IF(K61="","",K61-AO61)</f>
        <v/>
      </c>
      <c r="AQ61" s="15" t="str">
        <f aca="false">IF(K61="","",K61-F61-IF(N61="",0,N61))</f>
        <v/>
      </c>
    </row>
    <row r="62" customFormat="false" ht="15" hidden="false" customHeight="false" outlineLevel="0" collapsed="false">
      <c r="A62" s="4"/>
      <c r="B62" s="4"/>
      <c r="C62" s="4"/>
      <c r="D62" s="5"/>
      <c r="E62" s="5"/>
      <c r="F62" s="6"/>
      <c r="G62" s="4"/>
      <c r="H62" s="4"/>
      <c r="I62" s="4"/>
      <c r="J62" s="6"/>
      <c r="K62" s="7" t="str">
        <f aca="false">IF(OR(I62="",J62=""),"",I62*J62)</f>
        <v/>
      </c>
      <c r="L62" s="4"/>
      <c r="M62" s="8"/>
      <c r="N62" s="7" t="str">
        <f aca="false">IF(OR(L62="",M62="",K62=""),"",IF(L62="GANANCIA",(K62-F62)*M62,IF(L62="BRUTO",K62*M62,"")))</f>
        <v/>
      </c>
      <c r="O62" s="9" t="str">
        <f aca="false">IF(D62="","",D62)</f>
        <v/>
      </c>
      <c r="P62" s="10" t="str">
        <f aca="false">IF(I62="","",IF(COUNTIF(Q62:AN62,TRUE())&gt;=I62,"PAGADO",IF(COUNTIF(Q62:AN62,TRUE())&gt;0,"PARCIAL","VIGENTE")))</f>
        <v/>
      </c>
      <c r="Q62" s="11" t="str">
        <f aca="false">IF(OR(I62="",I62&lt;1,O62=""),"",O62+0)</f>
        <v/>
      </c>
      <c r="R62" s="11" t="str">
        <f aca="false">IF(OR(I62="",I62&lt;2,O62=""),"",O62+30)</f>
        <v/>
      </c>
      <c r="S62" s="11" t="str">
        <f aca="false">IF(OR(I62="",I62&lt;3,O62=""),"",O62+60)</f>
        <v/>
      </c>
      <c r="T62" s="11" t="str">
        <f aca="false">IF(OR(I62="",I62&lt;4,O62=""),"",O62+90)</f>
        <v/>
      </c>
      <c r="U62" s="11" t="str">
        <f aca="false">IF(OR(I62="",I62&lt;5,O62=""),"",O62+120)</f>
        <v/>
      </c>
      <c r="V62" s="11" t="str">
        <f aca="false">IF(OR(I62="",I62&lt;6,O62=""),"",O62+150)</f>
        <v/>
      </c>
      <c r="W62" s="11" t="str">
        <f aca="false">IF(OR(I62="",I62&lt;7,O62=""),"",O62+180)</f>
        <v/>
      </c>
      <c r="X62" s="11" t="str">
        <f aca="false">IF(OR(I62="",I62&lt;8,O62=""),"",O62+210)</f>
        <v/>
      </c>
      <c r="Y62" s="11" t="str">
        <f aca="false">IF(OR(I62="",I62&lt;9,O62=""),"",O62+240)</f>
        <v/>
      </c>
      <c r="Z62" s="11" t="str">
        <f aca="false">IF(OR(I62="",I62&lt;10,O62=""),"",O62+270)</f>
        <v/>
      </c>
      <c r="AA62" s="11" t="str">
        <f aca="false">IF(OR(I62="",I62&lt;11,O62=""),"",O62+300)</f>
        <v/>
      </c>
      <c r="AB62" s="11" t="str">
        <f aca="false">IF(OR(I62="",I62&lt;12,O62=""),"",O62+330)</f>
        <v/>
      </c>
      <c r="AC62" s="11" t="str">
        <f aca="false">IF(OR(I62="",I62&lt;13,O62=""),"",O62+360)</f>
        <v/>
      </c>
      <c r="AD62" s="11" t="str">
        <f aca="false">IF(OR(I62="",I62&lt;14,O62=""),"",O62+390)</f>
        <v/>
      </c>
      <c r="AE62" s="11" t="str">
        <f aca="false">IF(OR(I62="",I62&lt;15,O62=""),"",O62+420)</f>
        <v/>
      </c>
      <c r="AF62" s="11" t="str">
        <f aca="false">IF(OR(I62="",I62&lt;16,O62=""),"",O62+450)</f>
        <v/>
      </c>
      <c r="AG62" s="11" t="str">
        <f aca="false">IF(OR(I62="",I62&lt;17,O62=""),"",O62+480)</f>
        <v/>
      </c>
      <c r="AH62" s="11" t="str">
        <f aca="false">IF(OR(I62="",I62&lt;18,O62=""),"",O62+510)</f>
        <v/>
      </c>
      <c r="AI62" s="11" t="str">
        <f aca="false">IF(OR(I62="",I62&lt;19,O62=""),"",O62+540)</f>
        <v/>
      </c>
      <c r="AJ62" s="11" t="str">
        <f aca="false">IF(OR(I62="",I62&lt;20,O62=""),"",O62+570)</f>
        <v/>
      </c>
      <c r="AK62" s="11" t="str">
        <f aca="false">IF(OR(I62="",I62&lt;21,O62=""),"",O62+600)</f>
        <v/>
      </c>
      <c r="AL62" s="11" t="str">
        <f aca="false">IF(OR(I62="",I62&lt;22,O62=""),"",O62+630)</f>
        <v/>
      </c>
      <c r="AM62" s="11" t="str">
        <f aca="false">IF(OR(I62="",I62&lt;23,O62=""),"",O62+660)</f>
        <v/>
      </c>
      <c r="AN62" s="11" t="str">
        <f aca="false">IF(OR(I62="",I62&lt;24,O62=""),"",O62+690)</f>
        <v/>
      </c>
      <c r="AO62" s="7" t="str">
        <f aca="false">IF(J62="","",COUNTIF(Q62:AN62,TRUE())*J62)</f>
        <v/>
      </c>
      <c r="AP62" s="7" t="str">
        <f aca="false">IF(K62="","",K62-AO62)</f>
        <v/>
      </c>
      <c r="AQ62" s="7" t="str">
        <f aca="false">IF(K62="","",K62-F62-IF(N62="",0,N62))</f>
        <v/>
      </c>
    </row>
    <row r="63" customFormat="false" ht="15" hidden="false" customHeight="false" outlineLevel="0" collapsed="false">
      <c r="A63" s="12"/>
      <c r="B63" s="12"/>
      <c r="C63" s="12"/>
      <c r="D63" s="13"/>
      <c r="E63" s="13"/>
      <c r="F63" s="14"/>
      <c r="G63" s="12"/>
      <c r="H63" s="12"/>
      <c r="I63" s="12"/>
      <c r="J63" s="14"/>
      <c r="K63" s="15" t="str">
        <f aca="false">IF(OR(I63="",J63=""),"",I63*J63)</f>
        <v/>
      </c>
      <c r="L63" s="12"/>
      <c r="M63" s="16"/>
      <c r="N63" s="15" t="str">
        <f aca="false">IF(OR(L63="",M63="",K63=""),"",IF(L63="GANANCIA",(K63-F63)*M63,IF(L63="BRUTO",K63*M63,"")))</f>
        <v/>
      </c>
      <c r="O63" s="17" t="str">
        <f aca="false">IF(D63="","",D63)</f>
        <v/>
      </c>
      <c r="P63" s="18" t="str">
        <f aca="false">IF(I63="","",IF(COUNTIF(Q63:AN63,TRUE())&gt;=I63,"PAGADO",IF(COUNTIF(Q63:AN63,TRUE())&gt;0,"PARCIAL","VIGENTE")))</f>
        <v/>
      </c>
      <c r="Q63" s="19" t="str">
        <f aca="false">IF(OR(I63="",I63&lt;1,O63=""),"",O63+0)</f>
        <v/>
      </c>
      <c r="R63" s="19" t="str">
        <f aca="false">IF(OR(I63="",I63&lt;2,O63=""),"",O63+30)</f>
        <v/>
      </c>
      <c r="S63" s="19" t="str">
        <f aca="false">IF(OR(I63="",I63&lt;3,O63=""),"",O63+60)</f>
        <v/>
      </c>
      <c r="T63" s="19" t="str">
        <f aca="false">IF(OR(I63="",I63&lt;4,O63=""),"",O63+90)</f>
        <v/>
      </c>
      <c r="U63" s="19" t="str">
        <f aca="false">IF(OR(I63="",I63&lt;5,O63=""),"",O63+120)</f>
        <v/>
      </c>
      <c r="V63" s="19" t="str">
        <f aca="false">IF(OR(I63="",I63&lt;6,O63=""),"",O63+150)</f>
        <v/>
      </c>
      <c r="W63" s="19" t="str">
        <f aca="false">IF(OR(I63="",I63&lt;7,O63=""),"",O63+180)</f>
        <v/>
      </c>
      <c r="X63" s="19" t="str">
        <f aca="false">IF(OR(I63="",I63&lt;8,O63=""),"",O63+210)</f>
        <v/>
      </c>
      <c r="Y63" s="19" t="str">
        <f aca="false">IF(OR(I63="",I63&lt;9,O63=""),"",O63+240)</f>
        <v/>
      </c>
      <c r="Z63" s="19" t="str">
        <f aca="false">IF(OR(I63="",I63&lt;10,O63=""),"",O63+270)</f>
        <v/>
      </c>
      <c r="AA63" s="19" t="str">
        <f aca="false">IF(OR(I63="",I63&lt;11,O63=""),"",O63+300)</f>
        <v/>
      </c>
      <c r="AB63" s="19" t="str">
        <f aca="false">IF(OR(I63="",I63&lt;12,O63=""),"",O63+330)</f>
        <v/>
      </c>
      <c r="AC63" s="19" t="str">
        <f aca="false">IF(OR(I63="",I63&lt;13,O63=""),"",O63+360)</f>
        <v/>
      </c>
      <c r="AD63" s="19" t="str">
        <f aca="false">IF(OR(I63="",I63&lt;14,O63=""),"",O63+390)</f>
        <v/>
      </c>
      <c r="AE63" s="19" t="str">
        <f aca="false">IF(OR(I63="",I63&lt;15,O63=""),"",O63+420)</f>
        <v/>
      </c>
      <c r="AF63" s="19" t="str">
        <f aca="false">IF(OR(I63="",I63&lt;16,O63=""),"",O63+450)</f>
        <v/>
      </c>
      <c r="AG63" s="19" t="str">
        <f aca="false">IF(OR(I63="",I63&lt;17,O63=""),"",O63+480)</f>
        <v/>
      </c>
      <c r="AH63" s="19" t="str">
        <f aca="false">IF(OR(I63="",I63&lt;18,O63=""),"",O63+510)</f>
        <v/>
      </c>
      <c r="AI63" s="19" t="str">
        <f aca="false">IF(OR(I63="",I63&lt;19,O63=""),"",O63+540)</f>
        <v/>
      </c>
      <c r="AJ63" s="19" t="str">
        <f aca="false">IF(OR(I63="",I63&lt;20,O63=""),"",O63+570)</f>
        <v/>
      </c>
      <c r="AK63" s="19" t="str">
        <f aca="false">IF(OR(I63="",I63&lt;21,O63=""),"",O63+600)</f>
        <v/>
      </c>
      <c r="AL63" s="19" t="str">
        <f aca="false">IF(OR(I63="",I63&lt;22,O63=""),"",O63+630)</f>
        <v/>
      </c>
      <c r="AM63" s="19" t="str">
        <f aca="false">IF(OR(I63="",I63&lt;23,O63=""),"",O63+660)</f>
        <v/>
      </c>
      <c r="AN63" s="19" t="str">
        <f aca="false">IF(OR(I63="",I63&lt;24,O63=""),"",O63+690)</f>
        <v/>
      </c>
      <c r="AO63" s="15" t="str">
        <f aca="false">IF(J63="","",COUNTIF(Q63:AN63,TRUE())*J63)</f>
        <v/>
      </c>
      <c r="AP63" s="15" t="str">
        <f aca="false">IF(K63="","",K63-AO63)</f>
        <v/>
      </c>
      <c r="AQ63" s="15" t="str">
        <f aca="false">IF(K63="","",K63-F63-IF(N63="",0,N63))</f>
        <v/>
      </c>
    </row>
    <row r="64" customFormat="false" ht="15" hidden="false" customHeight="false" outlineLevel="0" collapsed="false">
      <c r="A64" s="4"/>
      <c r="B64" s="4"/>
      <c r="C64" s="4"/>
      <c r="D64" s="5"/>
      <c r="E64" s="5"/>
      <c r="F64" s="6"/>
      <c r="G64" s="4"/>
      <c r="H64" s="4"/>
      <c r="I64" s="4"/>
      <c r="J64" s="6"/>
      <c r="K64" s="7" t="str">
        <f aca="false">IF(OR(I64="",J64=""),"",I64*J64)</f>
        <v/>
      </c>
      <c r="L64" s="4"/>
      <c r="M64" s="8"/>
      <c r="N64" s="7" t="str">
        <f aca="false">IF(OR(L64="",M64="",K64=""),"",IF(L64="GANANCIA",(K64-F64)*M64,IF(L64="BRUTO",K64*M64,"")))</f>
        <v/>
      </c>
      <c r="O64" s="9" t="str">
        <f aca="false">IF(D64="","",D64)</f>
        <v/>
      </c>
      <c r="P64" s="10" t="str">
        <f aca="false">IF(I64="","",IF(COUNTIF(Q64:AN64,TRUE())&gt;=I64,"PAGADO",IF(COUNTIF(Q64:AN64,TRUE())&gt;0,"PARCIAL","VIGENTE")))</f>
        <v/>
      </c>
      <c r="Q64" s="11" t="str">
        <f aca="false">IF(OR(I64="",I64&lt;1,O64=""),"",O64+0)</f>
        <v/>
      </c>
      <c r="R64" s="11" t="str">
        <f aca="false">IF(OR(I64="",I64&lt;2,O64=""),"",O64+30)</f>
        <v/>
      </c>
      <c r="S64" s="11" t="str">
        <f aca="false">IF(OR(I64="",I64&lt;3,O64=""),"",O64+60)</f>
        <v/>
      </c>
      <c r="T64" s="11" t="str">
        <f aca="false">IF(OR(I64="",I64&lt;4,O64=""),"",O64+90)</f>
        <v/>
      </c>
      <c r="U64" s="11" t="str">
        <f aca="false">IF(OR(I64="",I64&lt;5,O64=""),"",O64+120)</f>
        <v/>
      </c>
      <c r="V64" s="11" t="str">
        <f aca="false">IF(OR(I64="",I64&lt;6,O64=""),"",O64+150)</f>
        <v/>
      </c>
      <c r="W64" s="11" t="str">
        <f aca="false">IF(OR(I64="",I64&lt;7,O64=""),"",O64+180)</f>
        <v/>
      </c>
      <c r="X64" s="11" t="str">
        <f aca="false">IF(OR(I64="",I64&lt;8,O64=""),"",O64+210)</f>
        <v/>
      </c>
      <c r="Y64" s="11" t="str">
        <f aca="false">IF(OR(I64="",I64&lt;9,O64=""),"",O64+240)</f>
        <v/>
      </c>
      <c r="Z64" s="11" t="str">
        <f aca="false">IF(OR(I64="",I64&lt;10,O64=""),"",O64+270)</f>
        <v/>
      </c>
      <c r="AA64" s="11" t="str">
        <f aca="false">IF(OR(I64="",I64&lt;11,O64=""),"",O64+300)</f>
        <v/>
      </c>
      <c r="AB64" s="11" t="str">
        <f aca="false">IF(OR(I64="",I64&lt;12,O64=""),"",O64+330)</f>
        <v/>
      </c>
      <c r="AC64" s="11" t="str">
        <f aca="false">IF(OR(I64="",I64&lt;13,O64=""),"",O64+360)</f>
        <v/>
      </c>
      <c r="AD64" s="11" t="str">
        <f aca="false">IF(OR(I64="",I64&lt;14,O64=""),"",O64+390)</f>
        <v/>
      </c>
      <c r="AE64" s="11" t="str">
        <f aca="false">IF(OR(I64="",I64&lt;15,O64=""),"",O64+420)</f>
        <v/>
      </c>
      <c r="AF64" s="11" t="str">
        <f aca="false">IF(OR(I64="",I64&lt;16,O64=""),"",O64+450)</f>
        <v/>
      </c>
      <c r="AG64" s="11" t="str">
        <f aca="false">IF(OR(I64="",I64&lt;17,O64=""),"",O64+480)</f>
        <v/>
      </c>
      <c r="AH64" s="11" t="str">
        <f aca="false">IF(OR(I64="",I64&lt;18,O64=""),"",O64+510)</f>
        <v/>
      </c>
      <c r="AI64" s="11" t="str">
        <f aca="false">IF(OR(I64="",I64&lt;19,O64=""),"",O64+540)</f>
        <v/>
      </c>
      <c r="AJ64" s="11" t="str">
        <f aca="false">IF(OR(I64="",I64&lt;20,O64=""),"",O64+570)</f>
        <v/>
      </c>
      <c r="AK64" s="11" t="str">
        <f aca="false">IF(OR(I64="",I64&lt;21,O64=""),"",O64+600)</f>
        <v/>
      </c>
      <c r="AL64" s="11" t="str">
        <f aca="false">IF(OR(I64="",I64&lt;22,O64=""),"",O64+630)</f>
        <v/>
      </c>
      <c r="AM64" s="11" t="str">
        <f aca="false">IF(OR(I64="",I64&lt;23,O64=""),"",O64+660)</f>
        <v/>
      </c>
      <c r="AN64" s="11" t="str">
        <f aca="false">IF(OR(I64="",I64&lt;24,O64=""),"",O64+690)</f>
        <v/>
      </c>
      <c r="AO64" s="7" t="str">
        <f aca="false">IF(J64="","",COUNTIF(Q64:AN64,TRUE())*J64)</f>
        <v/>
      </c>
      <c r="AP64" s="7" t="str">
        <f aca="false">IF(K64="","",K64-AO64)</f>
        <v/>
      </c>
      <c r="AQ64" s="7" t="str">
        <f aca="false">IF(K64="","",K64-F64-IF(N64="",0,N64))</f>
        <v/>
      </c>
    </row>
    <row r="65" customFormat="false" ht="15" hidden="false" customHeight="false" outlineLevel="0" collapsed="false">
      <c r="A65" s="12"/>
      <c r="B65" s="12"/>
      <c r="C65" s="12"/>
      <c r="D65" s="13"/>
      <c r="E65" s="13"/>
      <c r="F65" s="14"/>
      <c r="G65" s="12"/>
      <c r="H65" s="12"/>
      <c r="I65" s="12"/>
      <c r="J65" s="14"/>
      <c r="K65" s="15" t="str">
        <f aca="false">IF(OR(I65="",J65=""),"",I65*J65)</f>
        <v/>
      </c>
      <c r="L65" s="12"/>
      <c r="M65" s="16"/>
      <c r="N65" s="15" t="str">
        <f aca="false">IF(OR(L65="",M65="",K65=""),"",IF(L65="GANANCIA",(K65-F65)*M65,IF(L65="BRUTO",K65*M65,"")))</f>
        <v/>
      </c>
      <c r="O65" s="17" t="str">
        <f aca="false">IF(D65="","",D65)</f>
        <v/>
      </c>
      <c r="P65" s="18" t="str">
        <f aca="false">IF(I65="","",IF(COUNTIF(Q65:AN65,TRUE())&gt;=I65,"PAGADO",IF(COUNTIF(Q65:AN65,TRUE())&gt;0,"PARCIAL","VIGENTE")))</f>
        <v/>
      </c>
      <c r="Q65" s="19" t="str">
        <f aca="false">IF(OR(I65="",I65&lt;1,O65=""),"",O65+0)</f>
        <v/>
      </c>
      <c r="R65" s="19" t="str">
        <f aca="false">IF(OR(I65="",I65&lt;2,O65=""),"",O65+30)</f>
        <v/>
      </c>
      <c r="S65" s="19" t="str">
        <f aca="false">IF(OR(I65="",I65&lt;3,O65=""),"",O65+60)</f>
        <v/>
      </c>
      <c r="T65" s="19" t="str">
        <f aca="false">IF(OR(I65="",I65&lt;4,O65=""),"",O65+90)</f>
        <v/>
      </c>
      <c r="U65" s="19" t="str">
        <f aca="false">IF(OR(I65="",I65&lt;5,O65=""),"",O65+120)</f>
        <v/>
      </c>
      <c r="V65" s="19" t="str">
        <f aca="false">IF(OR(I65="",I65&lt;6,O65=""),"",O65+150)</f>
        <v/>
      </c>
      <c r="W65" s="19" t="str">
        <f aca="false">IF(OR(I65="",I65&lt;7,O65=""),"",O65+180)</f>
        <v/>
      </c>
      <c r="X65" s="19" t="str">
        <f aca="false">IF(OR(I65="",I65&lt;8,O65=""),"",O65+210)</f>
        <v/>
      </c>
      <c r="Y65" s="19" t="str">
        <f aca="false">IF(OR(I65="",I65&lt;9,O65=""),"",O65+240)</f>
        <v/>
      </c>
      <c r="Z65" s="19" t="str">
        <f aca="false">IF(OR(I65="",I65&lt;10,O65=""),"",O65+270)</f>
        <v/>
      </c>
      <c r="AA65" s="19" t="str">
        <f aca="false">IF(OR(I65="",I65&lt;11,O65=""),"",O65+300)</f>
        <v/>
      </c>
      <c r="AB65" s="19" t="str">
        <f aca="false">IF(OR(I65="",I65&lt;12,O65=""),"",O65+330)</f>
        <v/>
      </c>
      <c r="AC65" s="19" t="str">
        <f aca="false">IF(OR(I65="",I65&lt;13,O65=""),"",O65+360)</f>
        <v/>
      </c>
      <c r="AD65" s="19" t="str">
        <f aca="false">IF(OR(I65="",I65&lt;14,O65=""),"",O65+390)</f>
        <v/>
      </c>
      <c r="AE65" s="19" t="str">
        <f aca="false">IF(OR(I65="",I65&lt;15,O65=""),"",O65+420)</f>
        <v/>
      </c>
      <c r="AF65" s="19" t="str">
        <f aca="false">IF(OR(I65="",I65&lt;16,O65=""),"",O65+450)</f>
        <v/>
      </c>
      <c r="AG65" s="19" t="str">
        <f aca="false">IF(OR(I65="",I65&lt;17,O65=""),"",O65+480)</f>
        <v/>
      </c>
      <c r="AH65" s="19" t="str">
        <f aca="false">IF(OR(I65="",I65&lt;18,O65=""),"",O65+510)</f>
        <v/>
      </c>
      <c r="AI65" s="19" t="str">
        <f aca="false">IF(OR(I65="",I65&lt;19,O65=""),"",O65+540)</f>
        <v/>
      </c>
      <c r="AJ65" s="19" t="str">
        <f aca="false">IF(OR(I65="",I65&lt;20,O65=""),"",O65+570)</f>
        <v/>
      </c>
      <c r="AK65" s="19" t="str">
        <f aca="false">IF(OR(I65="",I65&lt;21,O65=""),"",O65+600)</f>
        <v/>
      </c>
      <c r="AL65" s="19" t="str">
        <f aca="false">IF(OR(I65="",I65&lt;22,O65=""),"",O65+630)</f>
        <v/>
      </c>
      <c r="AM65" s="19" t="str">
        <f aca="false">IF(OR(I65="",I65&lt;23,O65=""),"",O65+660)</f>
        <v/>
      </c>
      <c r="AN65" s="19" t="str">
        <f aca="false">IF(OR(I65="",I65&lt;24,O65=""),"",O65+690)</f>
        <v/>
      </c>
      <c r="AO65" s="15" t="str">
        <f aca="false">IF(J65="","",COUNTIF(Q65:AN65,TRUE())*J65)</f>
        <v/>
      </c>
      <c r="AP65" s="15" t="str">
        <f aca="false">IF(K65="","",K65-AO65)</f>
        <v/>
      </c>
      <c r="AQ65" s="15" t="str">
        <f aca="false">IF(K65="","",K65-F65-IF(N65="",0,N65))</f>
        <v/>
      </c>
    </row>
    <row r="66" customFormat="false" ht="15" hidden="false" customHeight="false" outlineLevel="0" collapsed="false">
      <c r="A66" s="4"/>
      <c r="B66" s="4"/>
      <c r="C66" s="4"/>
      <c r="D66" s="5"/>
      <c r="E66" s="5"/>
      <c r="F66" s="6"/>
      <c r="G66" s="4"/>
      <c r="H66" s="4"/>
      <c r="I66" s="4"/>
      <c r="J66" s="6"/>
      <c r="K66" s="7" t="str">
        <f aca="false">IF(OR(I66="",J66=""),"",I66*J66)</f>
        <v/>
      </c>
      <c r="L66" s="4"/>
      <c r="M66" s="8"/>
      <c r="N66" s="7" t="str">
        <f aca="false">IF(OR(L66="",M66="",K66=""),"",IF(L66="GANANCIA",(K66-F66)*M66,IF(L66="BRUTO",K66*M66,"")))</f>
        <v/>
      </c>
      <c r="O66" s="9" t="str">
        <f aca="false">IF(D66="","",D66)</f>
        <v/>
      </c>
      <c r="P66" s="10" t="str">
        <f aca="false">IF(I66="","",IF(COUNTIF(Q66:AN66,TRUE())&gt;=I66,"PAGADO",IF(COUNTIF(Q66:AN66,TRUE())&gt;0,"PARCIAL","VIGENTE")))</f>
        <v/>
      </c>
      <c r="Q66" s="11" t="str">
        <f aca="false">IF(OR(I66="",I66&lt;1,O66=""),"",O66+0)</f>
        <v/>
      </c>
      <c r="R66" s="11" t="str">
        <f aca="false">IF(OR(I66="",I66&lt;2,O66=""),"",O66+30)</f>
        <v/>
      </c>
      <c r="S66" s="11" t="str">
        <f aca="false">IF(OR(I66="",I66&lt;3,O66=""),"",O66+60)</f>
        <v/>
      </c>
      <c r="T66" s="11" t="str">
        <f aca="false">IF(OR(I66="",I66&lt;4,O66=""),"",O66+90)</f>
        <v/>
      </c>
      <c r="U66" s="11" t="str">
        <f aca="false">IF(OR(I66="",I66&lt;5,O66=""),"",O66+120)</f>
        <v/>
      </c>
      <c r="V66" s="11" t="str">
        <f aca="false">IF(OR(I66="",I66&lt;6,O66=""),"",O66+150)</f>
        <v/>
      </c>
      <c r="W66" s="11" t="str">
        <f aca="false">IF(OR(I66="",I66&lt;7,O66=""),"",O66+180)</f>
        <v/>
      </c>
      <c r="X66" s="11" t="str">
        <f aca="false">IF(OR(I66="",I66&lt;8,O66=""),"",O66+210)</f>
        <v/>
      </c>
      <c r="Y66" s="11" t="str">
        <f aca="false">IF(OR(I66="",I66&lt;9,O66=""),"",O66+240)</f>
        <v/>
      </c>
      <c r="Z66" s="11" t="str">
        <f aca="false">IF(OR(I66="",I66&lt;10,O66=""),"",O66+270)</f>
        <v/>
      </c>
      <c r="AA66" s="11" t="str">
        <f aca="false">IF(OR(I66="",I66&lt;11,O66=""),"",O66+300)</f>
        <v/>
      </c>
      <c r="AB66" s="11" t="str">
        <f aca="false">IF(OR(I66="",I66&lt;12,O66=""),"",O66+330)</f>
        <v/>
      </c>
      <c r="AC66" s="11" t="str">
        <f aca="false">IF(OR(I66="",I66&lt;13,O66=""),"",O66+360)</f>
        <v/>
      </c>
      <c r="AD66" s="11" t="str">
        <f aca="false">IF(OR(I66="",I66&lt;14,O66=""),"",O66+390)</f>
        <v/>
      </c>
      <c r="AE66" s="11" t="str">
        <f aca="false">IF(OR(I66="",I66&lt;15,O66=""),"",O66+420)</f>
        <v/>
      </c>
      <c r="AF66" s="11" t="str">
        <f aca="false">IF(OR(I66="",I66&lt;16,O66=""),"",O66+450)</f>
        <v/>
      </c>
      <c r="AG66" s="11" t="str">
        <f aca="false">IF(OR(I66="",I66&lt;17,O66=""),"",O66+480)</f>
        <v/>
      </c>
      <c r="AH66" s="11" t="str">
        <f aca="false">IF(OR(I66="",I66&lt;18,O66=""),"",O66+510)</f>
        <v/>
      </c>
      <c r="AI66" s="11" t="str">
        <f aca="false">IF(OR(I66="",I66&lt;19,O66=""),"",O66+540)</f>
        <v/>
      </c>
      <c r="AJ66" s="11" t="str">
        <f aca="false">IF(OR(I66="",I66&lt;20,O66=""),"",O66+570)</f>
        <v/>
      </c>
      <c r="AK66" s="11" t="str">
        <f aca="false">IF(OR(I66="",I66&lt;21,O66=""),"",O66+600)</f>
        <v/>
      </c>
      <c r="AL66" s="11" t="str">
        <f aca="false">IF(OR(I66="",I66&lt;22,O66=""),"",O66+630)</f>
        <v/>
      </c>
      <c r="AM66" s="11" t="str">
        <f aca="false">IF(OR(I66="",I66&lt;23,O66=""),"",O66+660)</f>
        <v/>
      </c>
      <c r="AN66" s="11" t="str">
        <f aca="false">IF(OR(I66="",I66&lt;24,O66=""),"",O66+690)</f>
        <v/>
      </c>
      <c r="AO66" s="7" t="str">
        <f aca="false">IF(J66="","",COUNTIF(Q66:AN66,TRUE())*J66)</f>
        <v/>
      </c>
      <c r="AP66" s="7" t="str">
        <f aca="false">IF(K66="","",K66-AO66)</f>
        <v/>
      </c>
      <c r="AQ66" s="7" t="str">
        <f aca="false">IF(K66="","",K66-F66-IF(N66="",0,N66))</f>
        <v/>
      </c>
    </row>
    <row r="67" customFormat="false" ht="15" hidden="false" customHeight="false" outlineLevel="0" collapsed="false">
      <c r="A67" s="12"/>
      <c r="B67" s="12"/>
      <c r="C67" s="12"/>
      <c r="D67" s="13"/>
      <c r="E67" s="13"/>
      <c r="F67" s="14"/>
      <c r="G67" s="12"/>
      <c r="H67" s="12"/>
      <c r="I67" s="12"/>
      <c r="J67" s="14"/>
      <c r="K67" s="15" t="str">
        <f aca="false">IF(OR(I67="",J67=""),"",I67*J67)</f>
        <v/>
      </c>
      <c r="L67" s="12"/>
      <c r="M67" s="16"/>
      <c r="N67" s="15" t="str">
        <f aca="false">IF(OR(L67="",M67="",K67=""),"",IF(L67="GANANCIA",(K67-F67)*M67,IF(L67="BRUTO",K67*M67,"")))</f>
        <v/>
      </c>
      <c r="O67" s="17" t="str">
        <f aca="false">IF(D67="","",D67)</f>
        <v/>
      </c>
      <c r="P67" s="18" t="str">
        <f aca="false">IF(I67="","",IF(COUNTIF(Q67:AN67,TRUE())&gt;=I67,"PAGADO",IF(COUNTIF(Q67:AN67,TRUE())&gt;0,"PARCIAL","VIGENTE")))</f>
        <v/>
      </c>
      <c r="Q67" s="19" t="str">
        <f aca="false">IF(OR(I67="",I67&lt;1,O67=""),"",O67+0)</f>
        <v/>
      </c>
      <c r="R67" s="19" t="str">
        <f aca="false">IF(OR(I67="",I67&lt;2,O67=""),"",O67+30)</f>
        <v/>
      </c>
      <c r="S67" s="19" t="str">
        <f aca="false">IF(OR(I67="",I67&lt;3,O67=""),"",O67+60)</f>
        <v/>
      </c>
      <c r="T67" s="19" t="str">
        <f aca="false">IF(OR(I67="",I67&lt;4,O67=""),"",O67+90)</f>
        <v/>
      </c>
      <c r="U67" s="19" t="str">
        <f aca="false">IF(OR(I67="",I67&lt;5,O67=""),"",O67+120)</f>
        <v/>
      </c>
      <c r="V67" s="19" t="str">
        <f aca="false">IF(OR(I67="",I67&lt;6,O67=""),"",O67+150)</f>
        <v/>
      </c>
      <c r="W67" s="19" t="str">
        <f aca="false">IF(OR(I67="",I67&lt;7,O67=""),"",O67+180)</f>
        <v/>
      </c>
      <c r="X67" s="19" t="str">
        <f aca="false">IF(OR(I67="",I67&lt;8,O67=""),"",O67+210)</f>
        <v/>
      </c>
      <c r="Y67" s="19" t="str">
        <f aca="false">IF(OR(I67="",I67&lt;9,O67=""),"",O67+240)</f>
        <v/>
      </c>
      <c r="Z67" s="19" t="str">
        <f aca="false">IF(OR(I67="",I67&lt;10,O67=""),"",O67+270)</f>
        <v/>
      </c>
      <c r="AA67" s="19" t="str">
        <f aca="false">IF(OR(I67="",I67&lt;11,O67=""),"",O67+300)</f>
        <v/>
      </c>
      <c r="AB67" s="19" t="str">
        <f aca="false">IF(OR(I67="",I67&lt;12,O67=""),"",O67+330)</f>
        <v/>
      </c>
      <c r="AC67" s="19" t="str">
        <f aca="false">IF(OR(I67="",I67&lt;13,O67=""),"",O67+360)</f>
        <v/>
      </c>
      <c r="AD67" s="19" t="str">
        <f aca="false">IF(OR(I67="",I67&lt;14,O67=""),"",O67+390)</f>
        <v/>
      </c>
      <c r="AE67" s="19" t="str">
        <f aca="false">IF(OR(I67="",I67&lt;15,O67=""),"",O67+420)</f>
        <v/>
      </c>
      <c r="AF67" s="19" t="str">
        <f aca="false">IF(OR(I67="",I67&lt;16,O67=""),"",O67+450)</f>
        <v/>
      </c>
      <c r="AG67" s="19" t="str">
        <f aca="false">IF(OR(I67="",I67&lt;17,O67=""),"",O67+480)</f>
        <v/>
      </c>
      <c r="AH67" s="19" t="str">
        <f aca="false">IF(OR(I67="",I67&lt;18,O67=""),"",O67+510)</f>
        <v/>
      </c>
      <c r="AI67" s="19" t="str">
        <f aca="false">IF(OR(I67="",I67&lt;19,O67=""),"",O67+540)</f>
        <v/>
      </c>
      <c r="AJ67" s="19" t="str">
        <f aca="false">IF(OR(I67="",I67&lt;20,O67=""),"",O67+570)</f>
        <v/>
      </c>
      <c r="AK67" s="19" t="str">
        <f aca="false">IF(OR(I67="",I67&lt;21,O67=""),"",O67+600)</f>
        <v/>
      </c>
      <c r="AL67" s="19" t="str">
        <f aca="false">IF(OR(I67="",I67&lt;22,O67=""),"",O67+630)</f>
        <v/>
      </c>
      <c r="AM67" s="19" t="str">
        <f aca="false">IF(OR(I67="",I67&lt;23,O67=""),"",O67+660)</f>
        <v/>
      </c>
      <c r="AN67" s="19" t="str">
        <f aca="false">IF(OR(I67="",I67&lt;24,O67=""),"",O67+690)</f>
        <v/>
      </c>
      <c r="AO67" s="15" t="str">
        <f aca="false">IF(J67="","",COUNTIF(Q67:AN67,TRUE())*J67)</f>
        <v/>
      </c>
      <c r="AP67" s="15" t="str">
        <f aca="false">IF(K67="","",K67-AO67)</f>
        <v/>
      </c>
      <c r="AQ67" s="15" t="str">
        <f aca="false">IF(K67="","",K67-F67-IF(N67="",0,N67))</f>
        <v/>
      </c>
    </row>
    <row r="68" customFormat="false" ht="15" hidden="false" customHeight="false" outlineLevel="0" collapsed="false">
      <c r="A68" s="4"/>
      <c r="B68" s="4"/>
      <c r="C68" s="4"/>
      <c r="D68" s="5"/>
      <c r="E68" s="5"/>
      <c r="F68" s="6"/>
      <c r="G68" s="4"/>
      <c r="H68" s="4"/>
      <c r="I68" s="4"/>
      <c r="J68" s="6"/>
      <c r="K68" s="7" t="str">
        <f aca="false">IF(OR(I68="",J68=""),"",I68*J68)</f>
        <v/>
      </c>
      <c r="L68" s="4"/>
      <c r="M68" s="8"/>
      <c r="N68" s="7" t="str">
        <f aca="false">IF(OR(L68="",M68="",K68=""),"",IF(L68="GANANCIA",(K68-F68)*M68,IF(L68="BRUTO",K68*M68,"")))</f>
        <v/>
      </c>
      <c r="O68" s="9" t="str">
        <f aca="false">IF(D68="","",D68)</f>
        <v/>
      </c>
      <c r="P68" s="10" t="str">
        <f aca="false">IF(I68="","",IF(COUNTIF(Q68:AN68,TRUE())&gt;=I68,"PAGADO",IF(COUNTIF(Q68:AN68,TRUE())&gt;0,"PARCIAL","VIGENTE")))</f>
        <v/>
      </c>
      <c r="Q68" s="11" t="str">
        <f aca="false">IF(OR(I68="",I68&lt;1,O68=""),"",O68+0)</f>
        <v/>
      </c>
      <c r="R68" s="11" t="str">
        <f aca="false">IF(OR(I68="",I68&lt;2,O68=""),"",O68+30)</f>
        <v/>
      </c>
      <c r="S68" s="11" t="str">
        <f aca="false">IF(OR(I68="",I68&lt;3,O68=""),"",O68+60)</f>
        <v/>
      </c>
      <c r="T68" s="11" t="str">
        <f aca="false">IF(OR(I68="",I68&lt;4,O68=""),"",O68+90)</f>
        <v/>
      </c>
      <c r="U68" s="11" t="str">
        <f aca="false">IF(OR(I68="",I68&lt;5,O68=""),"",O68+120)</f>
        <v/>
      </c>
      <c r="V68" s="11" t="str">
        <f aca="false">IF(OR(I68="",I68&lt;6,O68=""),"",O68+150)</f>
        <v/>
      </c>
      <c r="W68" s="11" t="str">
        <f aca="false">IF(OR(I68="",I68&lt;7,O68=""),"",O68+180)</f>
        <v/>
      </c>
      <c r="X68" s="11" t="str">
        <f aca="false">IF(OR(I68="",I68&lt;8,O68=""),"",O68+210)</f>
        <v/>
      </c>
      <c r="Y68" s="11" t="str">
        <f aca="false">IF(OR(I68="",I68&lt;9,O68=""),"",O68+240)</f>
        <v/>
      </c>
      <c r="Z68" s="11" t="str">
        <f aca="false">IF(OR(I68="",I68&lt;10,O68=""),"",O68+270)</f>
        <v/>
      </c>
      <c r="AA68" s="11" t="str">
        <f aca="false">IF(OR(I68="",I68&lt;11,O68=""),"",O68+300)</f>
        <v/>
      </c>
      <c r="AB68" s="11" t="str">
        <f aca="false">IF(OR(I68="",I68&lt;12,O68=""),"",O68+330)</f>
        <v/>
      </c>
      <c r="AC68" s="11" t="str">
        <f aca="false">IF(OR(I68="",I68&lt;13,O68=""),"",O68+360)</f>
        <v/>
      </c>
      <c r="AD68" s="11" t="str">
        <f aca="false">IF(OR(I68="",I68&lt;14,O68=""),"",O68+390)</f>
        <v/>
      </c>
      <c r="AE68" s="11" t="str">
        <f aca="false">IF(OR(I68="",I68&lt;15,O68=""),"",O68+420)</f>
        <v/>
      </c>
      <c r="AF68" s="11" t="str">
        <f aca="false">IF(OR(I68="",I68&lt;16,O68=""),"",O68+450)</f>
        <v/>
      </c>
      <c r="AG68" s="11" t="str">
        <f aca="false">IF(OR(I68="",I68&lt;17,O68=""),"",O68+480)</f>
        <v/>
      </c>
      <c r="AH68" s="11" t="str">
        <f aca="false">IF(OR(I68="",I68&lt;18,O68=""),"",O68+510)</f>
        <v/>
      </c>
      <c r="AI68" s="11" t="str">
        <f aca="false">IF(OR(I68="",I68&lt;19,O68=""),"",O68+540)</f>
        <v/>
      </c>
      <c r="AJ68" s="11" t="str">
        <f aca="false">IF(OR(I68="",I68&lt;20,O68=""),"",O68+570)</f>
        <v/>
      </c>
      <c r="AK68" s="11" t="str">
        <f aca="false">IF(OR(I68="",I68&lt;21,O68=""),"",O68+600)</f>
        <v/>
      </c>
      <c r="AL68" s="11" t="str">
        <f aca="false">IF(OR(I68="",I68&lt;22,O68=""),"",O68+630)</f>
        <v/>
      </c>
      <c r="AM68" s="11" t="str">
        <f aca="false">IF(OR(I68="",I68&lt;23,O68=""),"",O68+660)</f>
        <v/>
      </c>
      <c r="AN68" s="11" t="str">
        <f aca="false">IF(OR(I68="",I68&lt;24,O68=""),"",O68+690)</f>
        <v/>
      </c>
      <c r="AO68" s="7" t="str">
        <f aca="false">IF(J68="","",COUNTIF(Q68:AN68,TRUE())*J68)</f>
        <v/>
      </c>
      <c r="AP68" s="7" t="str">
        <f aca="false">IF(K68="","",K68-AO68)</f>
        <v/>
      </c>
      <c r="AQ68" s="7" t="str">
        <f aca="false">IF(K68="","",K68-F68-IF(N68="",0,N68))</f>
        <v/>
      </c>
    </row>
    <row r="69" customFormat="false" ht="15" hidden="false" customHeight="false" outlineLevel="0" collapsed="false">
      <c r="A69" s="12"/>
      <c r="B69" s="12"/>
      <c r="C69" s="12"/>
      <c r="D69" s="13"/>
      <c r="E69" s="13"/>
      <c r="F69" s="14"/>
      <c r="G69" s="12"/>
      <c r="H69" s="12"/>
      <c r="I69" s="12"/>
      <c r="J69" s="14"/>
      <c r="K69" s="15" t="str">
        <f aca="false">IF(OR(I69="",J69=""),"",I69*J69)</f>
        <v/>
      </c>
      <c r="L69" s="12"/>
      <c r="M69" s="16"/>
      <c r="N69" s="15" t="str">
        <f aca="false">IF(OR(L69="",M69="",K69=""),"",IF(L69="GANANCIA",(K69-F69)*M69,IF(L69="BRUTO",K69*M69,"")))</f>
        <v/>
      </c>
      <c r="O69" s="17" t="str">
        <f aca="false">IF(D69="","",D69)</f>
        <v/>
      </c>
      <c r="P69" s="18" t="str">
        <f aca="false">IF(I69="","",IF(COUNTIF(Q69:AN69,TRUE())&gt;=I69,"PAGADO",IF(COUNTIF(Q69:AN69,TRUE())&gt;0,"PARCIAL","VIGENTE")))</f>
        <v/>
      </c>
      <c r="Q69" s="19" t="str">
        <f aca="false">IF(OR(I69="",I69&lt;1,O69=""),"",O69+0)</f>
        <v/>
      </c>
      <c r="R69" s="19" t="str">
        <f aca="false">IF(OR(I69="",I69&lt;2,O69=""),"",O69+30)</f>
        <v/>
      </c>
      <c r="S69" s="19" t="str">
        <f aca="false">IF(OR(I69="",I69&lt;3,O69=""),"",O69+60)</f>
        <v/>
      </c>
      <c r="T69" s="19" t="str">
        <f aca="false">IF(OR(I69="",I69&lt;4,O69=""),"",O69+90)</f>
        <v/>
      </c>
      <c r="U69" s="19" t="str">
        <f aca="false">IF(OR(I69="",I69&lt;5,O69=""),"",O69+120)</f>
        <v/>
      </c>
      <c r="V69" s="19" t="str">
        <f aca="false">IF(OR(I69="",I69&lt;6,O69=""),"",O69+150)</f>
        <v/>
      </c>
      <c r="W69" s="19" t="str">
        <f aca="false">IF(OR(I69="",I69&lt;7,O69=""),"",O69+180)</f>
        <v/>
      </c>
      <c r="X69" s="19" t="str">
        <f aca="false">IF(OR(I69="",I69&lt;8,O69=""),"",O69+210)</f>
        <v/>
      </c>
      <c r="Y69" s="19" t="str">
        <f aca="false">IF(OR(I69="",I69&lt;9,O69=""),"",O69+240)</f>
        <v/>
      </c>
      <c r="Z69" s="19" t="str">
        <f aca="false">IF(OR(I69="",I69&lt;10,O69=""),"",O69+270)</f>
        <v/>
      </c>
      <c r="AA69" s="19" t="str">
        <f aca="false">IF(OR(I69="",I69&lt;11,O69=""),"",O69+300)</f>
        <v/>
      </c>
      <c r="AB69" s="19" t="str">
        <f aca="false">IF(OR(I69="",I69&lt;12,O69=""),"",O69+330)</f>
        <v/>
      </c>
      <c r="AC69" s="19" t="str">
        <f aca="false">IF(OR(I69="",I69&lt;13,O69=""),"",O69+360)</f>
        <v/>
      </c>
      <c r="AD69" s="19" t="str">
        <f aca="false">IF(OR(I69="",I69&lt;14,O69=""),"",O69+390)</f>
        <v/>
      </c>
      <c r="AE69" s="19" t="str">
        <f aca="false">IF(OR(I69="",I69&lt;15,O69=""),"",O69+420)</f>
        <v/>
      </c>
      <c r="AF69" s="19" t="str">
        <f aca="false">IF(OR(I69="",I69&lt;16,O69=""),"",O69+450)</f>
        <v/>
      </c>
      <c r="AG69" s="19" t="str">
        <f aca="false">IF(OR(I69="",I69&lt;17,O69=""),"",O69+480)</f>
        <v/>
      </c>
      <c r="AH69" s="19" t="str">
        <f aca="false">IF(OR(I69="",I69&lt;18,O69=""),"",O69+510)</f>
        <v/>
      </c>
      <c r="AI69" s="19" t="str">
        <f aca="false">IF(OR(I69="",I69&lt;19,O69=""),"",O69+540)</f>
        <v/>
      </c>
      <c r="AJ69" s="19" t="str">
        <f aca="false">IF(OR(I69="",I69&lt;20,O69=""),"",O69+570)</f>
        <v/>
      </c>
      <c r="AK69" s="19" t="str">
        <f aca="false">IF(OR(I69="",I69&lt;21,O69=""),"",O69+600)</f>
        <v/>
      </c>
      <c r="AL69" s="19" t="str">
        <f aca="false">IF(OR(I69="",I69&lt;22,O69=""),"",O69+630)</f>
        <v/>
      </c>
      <c r="AM69" s="19" t="str">
        <f aca="false">IF(OR(I69="",I69&lt;23,O69=""),"",O69+660)</f>
        <v/>
      </c>
      <c r="AN69" s="19" t="str">
        <f aca="false">IF(OR(I69="",I69&lt;24,O69=""),"",O69+690)</f>
        <v/>
      </c>
      <c r="AO69" s="15" t="str">
        <f aca="false">IF(J69="","",COUNTIF(Q69:AN69,TRUE())*J69)</f>
        <v/>
      </c>
      <c r="AP69" s="15" t="str">
        <f aca="false">IF(K69="","",K69-AO69)</f>
        <v/>
      </c>
      <c r="AQ69" s="15" t="str">
        <f aca="false">IF(K69="","",K69-F69-IF(N69="",0,N69))</f>
        <v/>
      </c>
    </row>
    <row r="70" customFormat="false" ht="15" hidden="false" customHeight="false" outlineLevel="0" collapsed="false">
      <c r="A70" s="4"/>
      <c r="B70" s="4"/>
      <c r="C70" s="4"/>
      <c r="D70" s="5"/>
      <c r="E70" s="5"/>
      <c r="F70" s="6"/>
      <c r="G70" s="4"/>
      <c r="H70" s="4"/>
      <c r="I70" s="4"/>
      <c r="J70" s="6"/>
      <c r="K70" s="7" t="str">
        <f aca="false">IF(OR(I70="",J70=""),"",I70*J70)</f>
        <v/>
      </c>
      <c r="L70" s="4"/>
      <c r="M70" s="8"/>
      <c r="N70" s="7" t="str">
        <f aca="false">IF(OR(L70="",M70="",K70=""),"",IF(L70="GANANCIA",(K70-F70)*M70,IF(L70="BRUTO",K70*M70,"")))</f>
        <v/>
      </c>
      <c r="O70" s="9" t="str">
        <f aca="false">IF(D70="","",D70)</f>
        <v/>
      </c>
      <c r="P70" s="10" t="str">
        <f aca="false">IF(I70="","",IF(COUNTIF(Q70:AN70,TRUE())&gt;=I70,"PAGADO",IF(COUNTIF(Q70:AN70,TRUE())&gt;0,"PARCIAL","VIGENTE")))</f>
        <v/>
      </c>
      <c r="Q70" s="11" t="str">
        <f aca="false">IF(OR(I70="",I70&lt;1,O70=""),"",O70+0)</f>
        <v/>
      </c>
      <c r="R70" s="11" t="str">
        <f aca="false">IF(OR(I70="",I70&lt;2,O70=""),"",O70+30)</f>
        <v/>
      </c>
      <c r="S70" s="11" t="str">
        <f aca="false">IF(OR(I70="",I70&lt;3,O70=""),"",O70+60)</f>
        <v/>
      </c>
      <c r="T70" s="11" t="str">
        <f aca="false">IF(OR(I70="",I70&lt;4,O70=""),"",O70+90)</f>
        <v/>
      </c>
      <c r="U70" s="11" t="str">
        <f aca="false">IF(OR(I70="",I70&lt;5,O70=""),"",O70+120)</f>
        <v/>
      </c>
      <c r="V70" s="11" t="str">
        <f aca="false">IF(OR(I70="",I70&lt;6,O70=""),"",O70+150)</f>
        <v/>
      </c>
      <c r="W70" s="11" t="str">
        <f aca="false">IF(OR(I70="",I70&lt;7,O70=""),"",O70+180)</f>
        <v/>
      </c>
      <c r="X70" s="11" t="str">
        <f aca="false">IF(OR(I70="",I70&lt;8,O70=""),"",O70+210)</f>
        <v/>
      </c>
      <c r="Y70" s="11" t="str">
        <f aca="false">IF(OR(I70="",I70&lt;9,O70=""),"",O70+240)</f>
        <v/>
      </c>
      <c r="Z70" s="11" t="str">
        <f aca="false">IF(OR(I70="",I70&lt;10,O70=""),"",O70+270)</f>
        <v/>
      </c>
      <c r="AA70" s="11" t="str">
        <f aca="false">IF(OR(I70="",I70&lt;11,O70=""),"",O70+300)</f>
        <v/>
      </c>
      <c r="AB70" s="11" t="str">
        <f aca="false">IF(OR(I70="",I70&lt;12,O70=""),"",O70+330)</f>
        <v/>
      </c>
      <c r="AC70" s="11" t="str">
        <f aca="false">IF(OR(I70="",I70&lt;13,O70=""),"",O70+360)</f>
        <v/>
      </c>
      <c r="AD70" s="11" t="str">
        <f aca="false">IF(OR(I70="",I70&lt;14,O70=""),"",O70+390)</f>
        <v/>
      </c>
      <c r="AE70" s="11" t="str">
        <f aca="false">IF(OR(I70="",I70&lt;15,O70=""),"",O70+420)</f>
        <v/>
      </c>
      <c r="AF70" s="11" t="str">
        <f aca="false">IF(OR(I70="",I70&lt;16,O70=""),"",O70+450)</f>
        <v/>
      </c>
      <c r="AG70" s="11" t="str">
        <f aca="false">IF(OR(I70="",I70&lt;17,O70=""),"",O70+480)</f>
        <v/>
      </c>
      <c r="AH70" s="11" t="str">
        <f aca="false">IF(OR(I70="",I70&lt;18,O70=""),"",O70+510)</f>
        <v/>
      </c>
      <c r="AI70" s="11" t="str">
        <f aca="false">IF(OR(I70="",I70&lt;19,O70=""),"",O70+540)</f>
        <v/>
      </c>
      <c r="AJ70" s="11" t="str">
        <f aca="false">IF(OR(I70="",I70&lt;20,O70=""),"",O70+570)</f>
        <v/>
      </c>
      <c r="AK70" s="11" t="str">
        <f aca="false">IF(OR(I70="",I70&lt;21,O70=""),"",O70+600)</f>
        <v/>
      </c>
      <c r="AL70" s="11" t="str">
        <f aca="false">IF(OR(I70="",I70&lt;22,O70=""),"",O70+630)</f>
        <v/>
      </c>
      <c r="AM70" s="11" t="str">
        <f aca="false">IF(OR(I70="",I70&lt;23,O70=""),"",O70+660)</f>
        <v/>
      </c>
      <c r="AN70" s="11" t="str">
        <f aca="false">IF(OR(I70="",I70&lt;24,O70=""),"",O70+690)</f>
        <v/>
      </c>
      <c r="AO70" s="7" t="str">
        <f aca="false">IF(J70="","",COUNTIF(Q70:AN70,TRUE())*J70)</f>
        <v/>
      </c>
      <c r="AP70" s="7" t="str">
        <f aca="false">IF(K70="","",K70-AO70)</f>
        <v/>
      </c>
      <c r="AQ70" s="7" t="str">
        <f aca="false">IF(K70="","",K70-F70-IF(N70="",0,N70))</f>
        <v/>
      </c>
    </row>
    <row r="71" customFormat="false" ht="15" hidden="false" customHeight="false" outlineLevel="0" collapsed="false">
      <c r="A71" s="12"/>
      <c r="B71" s="12"/>
      <c r="C71" s="12"/>
      <c r="D71" s="13"/>
      <c r="E71" s="13"/>
      <c r="F71" s="14"/>
      <c r="G71" s="12"/>
      <c r="H71" s="12"/>
      <c r="I71" s="12"/>
      <c r="J71" s="14"/>
      <c r="K71" s="15" t="str">
        <f aca="false">IF(OR(I71="",J71=""),"",I71*J71)</f>
        <v/>
      </c>
      <c r="L71" s="12"/>
      <c r="M71" s="16"/>
      <c r="N71" s="15" t="str">
        <f aca="false">IF(OR(L71="",M71="",K71=""),"",IF(L71="GANANCIA",(K71-F71)*M71,IF(L71="BRUTO",K71*M71,"")))</f>
        <v/>
      </c>
      <c r="O71" s="17" t="str">
        <f aca="false">IF(D71="","",D71)</f>
        <v/>
      </c>
      <c r="P71" s="18" t="str">
        <f aca="false">IF(I71="","",IF(COUNTIF(Q71:AN71,TRUE())&gt;=I71,"PAGADO",IF(COUNTIF(Q71:AN71,TRUE())&gt;0,"PARCIAL","VIGENTE")))</f>
        <v/>
      </c>
      <c r="Q71" s="19" t="str">
        <f aca="false">IF(OR(I71="",I71&lt;1,O71=""),"",O71+0)</f>
        <v/>
      </c>
      <c r="R71" s="19" t="str">
        <f aca="false">IF(OR(I71="",I71&lt;2,O71=""),"",O71+30)</f>
        <v/>
      </c>
      <c r="S71" s="19" t="str">
        <f aca="false">IF(OR(I71="",I71&lt;3,O71=""),"",O71+60)</f>
        <v/>
      </c>
      <c r="T71" s="19" t="str">
        <f aca="false">IF(OR(I71="",I71&lt;4,O71=""),"",O71+90)</f>
        <v/>
      </c>
      <c r="U71" s="19" t="str">
        <f aca="false">IF(OR(I71="",I71&lt;5,O71=""),"",O71+120)</f>
        <v/>
      </c>
      <c r="V71" s="19" t="str">
        <f aca="false">IF(OR(I71="",I71&lt;6,O71=""),"",O71+150)</f>
        <v/>
      </c>
      <c r="W71" s="19" t="str">
        <f aca="false">IF(OR(I71="",I71&lt;7,O71=""),"",O71+180)</f>
        <v/>
      </c>
      <c r="X71" s="19" t="str">
        <f aca="false">IF(OR(I71="",I71&lt;8,O71=""),"",O71+210)</f>
        <v/>
      </c>
      <c r="Y71" s="19" t="str">
        <f aca="false">IF(OR(I71="",I71&lt;9,O71=""),"",O71+240)</f>
        <v/>
      </c>
      <c r="Z71" s="19" t="str">
        <f aca="false">IF(OR(I71="",I71&lt;10,O71=""),"",O71+270)</f>
        <v/>
      </c>
      <c r="AA71" s="19" t="str">
        <f aca="false">IF(OR(I71="",I71&lt;11,O71=""),"",O71+300)</f>
        <v/>
      </c>
      <c r="AB71" s="19" t="str">
        <f aca="false">IF(OR(I71="",I71&lt;12,O71=""),"",O71+330)</f>
        <v/>
      </c>
      <c r="AC71" s="19" t="str">
        <f aca="false">IF(OR(I71="",I71&lt;13,O71=""),"",O71+360)</f>
        <v/>
      </c>
      <c r="AD71" s="19" t="str">
        <f aca="false">IF(OR(I71="",I71&lt;14,O71=""),"",O71+390)</f>
        <v/>
      </c>
      <c r="AE71" s="19" t="str">
        <f aca="false">IF(OR(I71="",I71&lt;15,O71=""),"",O71+420)</f>
        <v/>
      </c>
      <c r="AF71" s="19" t="str">
        <f aca="false">IF(OR(I71="",I71&lt;16,O71=""),"",O71+450)</f>
        <v/>
      </c>
      <c r="AG71" s="19" t="str">
        <f aca="false">IF(OR(I71="",I71&lt;17,O71=""),"",O71+480)</f>
        <v/>
      </c>
      <c r="AH71" s="19" t="str">
        <f aca="false">IF(OR(I71="",I71&lt;18,O71=""),"",O71+510)</f>
        <v/>
      </c>
      <c r="AI71" s="19" t="str">
        <f aca="false">IF(OR(I71="",I71&lt;19,O71=""),"",O71+540)</f>
        <v/>
      </c>
      <c r="AJ71" s="19" t="str">
        <f aca="false">IF(OR(I71="",I71&lt;20,O71=""),"",O71+570)</f>
        <v/>
      </c>
      <c r="AK71" s="19" t="str">
        <f aca="false">IF(OR(I71="",I71&lt;21,O71=""),"",O71+600)</f>
        <v/>
      </c>
      <c r="AL71" s="19" t="str">
        <f aca="false">IF(OR(I71="",I71&lt;22,O71=""),"",O71+630)</f>
        <v/>
      </c>
      <c r="AM71" s="19" t="str">
        <f aca="false">IF(OR(I71="",I71&lt;23,O71=""),"",O71+660)</f>
        <v/>
      </c>
      <c r="AN71" s="19" t="str">
        <f aca="false">IF(OR(I71="",I71&lt;24,O71=""),"",O71+690)</f>
        <v/>
      </c>
      <c r="AO71" s="15" t="str">
        <f aca="false">IF(J71="","",COUNTIF(Q71:AN71,TRUE())*J71)</f>
        <v/>
      </c>
      <c r="AP71" s="15" t="str">
        <f aca="false">IF(K71="","",K71-AO71)</f>
        <v/>
      </c>
      <c r="AQ71" s="15" t="str">
        <f aca="false">IF(K71="","",K71-F71-IF(N71="",0,N71))</f>
        <v/>
      </c>
    </row>
    <row r="72" customFormat="false" ht="15" hidden="false" customHeight="false" outlineLevel="0" collapsed="false">
      <c r="A72" s="4"/>
      <c r="B72" s="4"/>
      <c r="C72" s="4"/>
      <c r="D72" s="5"/>
      <c r="E72" s="5"/>
      <c r="F72" s="6"/>
      <c r="G72" s="4"/>
      <c r="H72" s="4"/>
      <c r="I72" s="4"/>
      <c r="J72" s="6"/>
      <c r="K72" s="7" t="str">
        <f aca="false">IF(OR(I72="",J72=""),"",I72*J72)</f>
        <v/>
      </c>
      <c r="L72" s="4"/>
      <c r="M72" s="8"/>
      <c r="N72" s="7" t="str">
        <f aca="false">IF(OR(L72="",M72="",K72=""),"",IF(L72="GANANCIA",(K72-F72)*M72,IF(L72="BRUTO",K72*M72,"")))</f>
        <v/>
      </c>
      <c r="O72" s="9" t="str">
        <f aca="false">IF(D72="","",D72)</f>
        <v/>
      </c>
      <c r="P72" s="10" t="str">
        <f aca="false">IF(I72="","",IF(COUNTIF(Q72:AN72,TRUE())&gt;=I72,"PAGADO",IF(COUNTIF(Q72:AN72,TRUE())&gt;0,"PARCIAL","VIGENTE")))</f>
        <v/>
      </c>
      <c r="Q72" s="11" t="str">
        <f aca="false">IF(OR(I72="",I72&lt;1,O72=""),"",O72+0)</f>
        <v/>
      </c>
      <c r="R72" s="11" t="str">
        <f aca="false">IF(OR(I72="",I72&lt;2,O72=""),"",O72+30)</f>
        <v/>
      </c>
      <c r="S72" s="11" t="str">
        <f aca="false">IF(OR(I72="",I72&lt;3,O72=""),"",O72+60)</f>
        <v/>
      </c>
      <c r="T72" s="11" t="str">
        <f aca="false">IF(OR(I72="",I72&lt;4,O72=""),"",O72+90)</f>
        <v/>
      </c>
      <c r="U72" s="11" t="str">
        <f aca="false">IF(OR(I72="",I72&lt;5,O72=""),"",O72+120)</f>
        <v/>
      </c>
      <c r="V72" s="11" t="str">
        <f aca="false">IF(OR(I72="",I72&lt;6,O72=""),"",O72+150)</f>
        <v/>
      </c>
      <c r="W72" s="11" t="str">
        <f aca="false">IF(OR(I72="",I72&lt;7,O72=""),"",O72+180)</f>
        <v/>
      </c>
      <c r="X72" s="11" t="str">
        <f aca="false">IF(OR(I72="",I72&lt;8,O72=""),"",O72+210)</f>
        <v/>
      </c>
      <c r="Y72" s="11" t="str">
        <f aca="false">IF(OR(I72="",I72&lt;9,O72=""),"",O72+240)</f>
        <v/>
      </c>
      <c r="Z72" s="11" t="str">
        <f aca="false">IF(OR(I72="",I72&lt;10,O72=""),"",O72+270)</f>
        <v/>
      </c>
      <c r="AA72" s="11" t="str">
        <f aca="false">IF(OR(I72="",I72&lt;11,O72=""),"",O72+300)</f>
        <v/>
      </c>
      <c r="AB72" s="11" t="str">
        <f aca="false">IF(OR(I72="",I72&lt;12,O72=""),"",O72+330)</f>
        <v/>
      </c>
      <c r="AC72" s="11" t="str">
        <f aca="false">IF(OR(I72="",I72&lt;13,O72=""),"",O72+360)</f>
        <v/>
      </c>
      <c r="AD72" s="11" t="str">
        <f aca="false">IF(OR(I72="",I72&lt;14,O72=""),"",O72+390)</f>
        <v/>
      </c>
      <c r="AE72" s="11" t="str">
        <f aca="false">IF(OR(I72="",I72&lt;15,O72=""),"",O72+420)</f>
        <v/>
      </c>
      <c r="AF72" s="11" t="str">
        <f aca="false">IF(OR(I72="",I72&lt;16,O72=""),"",O72+450)</f>
        <v/>
      </c>
      <c r="AG72" s="11" t="str">
        <f aca="false">IF(OR(I72="",I72&lt;17,O72=""),"",O72+480)</f>
        <v/>
      </c>
      <c r="AH72" s="11" t="str">
        <f aca="false">IF(OR(I72="",I72&lt;18,O72=""),"",O72+510)</f>
        <v/>
      </c>
      <c r="AI72" s="11" t="str">
        <f aca="false">IF(OR(I72="",I72&lt;19,O72=""),"",O72+540)</f>
        <v/>
      </c>
      <c r="AJ72" s="11" t="str">
        <f aca="false">IF(OR(I72="",I72&lt;20,O72=""),"",O72+570)</f>
        <v/>
      </c>
      <c r="AK72" s="11" t="str">
        <f aca="false">IF(OR(I72="",I72&lt;21,O72=""),"",O72+600)</f>
        <v/>
      </c>
      <c r="AL72" s="11" t="str">
        <f aca="false">IF(OR(I72="",I72&lt;22,O72=""),"",O72+630)</f>
        <v/>
      </c>
      <c r="AM72" s="11" t="str">
        <f aca="false">IF(OR(I72="",I72&lt;23,O72=""),"",O72+660)</f>
        <v/>
      </c>
      <c r="AN72" s="11" t="str">
        <f aca="false">IF(OR(I72="",I72&lt;24,O72=""),"",O72+690)</f>
        <v/>
      </c>
      <c r="AO72" s="7" t="str">
        <f aca="false">IF(J72="","",COUNTIF(Q72:AN72,TRUE())*J72)</f>
        <v/>
      </c>
      <c r="AP72" s="7" t="str">
        <f aca="false">IF(K72="","",K72-AO72)</f>
        <v/>
      </c>
      <c r="AQ72" s="7" t="str">
        <f aca="false">IF(K72="","",K72-F72-IF(N72="",0,N72))</f>
        <v/>
      </c>
    </row>
    <row r="73" customFormat="false" ht="15" hidden="false" customHeight="false" outlineLevel="0" collapsed="false">
      <c r="A73" s="12"/>
      <c r="B73" s="12"/>
      <c r="C73" s="12"/>
      <c r="D73" s="13"/>
      <c r="E73" s="13"/>
      <c r="F73" s="14"/>
      <c r="G73" s="12"/>
      <c r="H73" s="12"/>
      <c r="I73" s="12"/>
      <c r="J73" s="14"/>
      <c r="K73" s="15" t="str">
        <f aca="false">IF(OR(I73="",J73=""),"",I73*J73)</f>
        <v/>
      </c>
      <c r="L73" s="12"/>
      <c r="M73" s="16"/>
      <c r="N73" s="15" t="str">
        <f aca="false">IF(OR(L73="",M73="",K73=""),"",IF(L73="GANANCIA",(K73-F73)*M73,IF(L73="BRUTO",K73*M73,"")))</f>
        <v/>
      </c>
      <c r="O73" s="17" t="str">
        <f aca="false">IF(D73="","",D73)</f>
        <v/>
      </c>
      <c r="P73" s="18" t="str">
        <f aca="false">IF(I73="","",IF(COUNTIF(Q73:AN73,TRUE())&gt;=I73,"PAGADO",IF(COUNTIF(Q73:AN73,TRUE())&gt;0,"PARCIAL","VIGENTE")))</f>
        <v/>
      </c>
      <c r="Q73" s="19" t="str">
        <f aca="false">IF(OR(I73="",I73&lt;1,O73=""),"",O73+0)</f>
        <v/>
      </c>
      <c r="R73" s="19" t="str">
        <f aca="false">IF(OR(I73="",I73&lt;2,O73=""),"",O73+30)</f>
        <v/>
      </c>
      <c r="S73" s="19" t="str">
        <f aca="false">IF(OR(I73="",I73&lt;3,O73=""),"",O73+60)</f>
        <v/>
      </c>
      <c r="T73" s="19" t="str">
        <f aca="false">IF(OR(I73="",I73&lt;4,O73=""),"",O73+90)</f>
        <v/>
      </c>
      <c r="U73" s="19" t="str">
        <f aca="false">IF(OR(I73="",I73&lt;5,O73=""),"",O73+120)</f>
        <v/>
      </c>
      <c r="V73" s="19" t="str">
        <f aca="false">IF(OR(I73="",I73&lt;6,O73=""),"",O73+150)</f>
        <v/>
      </c>
      <c r="W73" s="19" t="str">
        <f aca="false">IF(OR(I73="",I73&lt;7,O73=""),"",O73+180)</f>
        <v/>
      </c>
      <c r="X73" s="19" t="str">
        <f aca="false">IF(OR(I73="",I73&lt;8,O73=""),"",O73+210)</f>
        <v/>
      </c>
      <c r="Y73" s="19" t="str">
        <f aca="false">IF(OR(I73="",I73&lt;9,O73=""),"",O73+240)</f>
        <v/>
      </c>
      <c r="Z73" s="19" t="str">
        <f aca="false">IF(OR(I73="",I73&lt;10,O73=""),"",O73+270)</f>
        <v/>
      </c>
      <c r="AA73" s="19" t="str">
        <f aca="false">IF(OR(I73="",I73&lt;11,O73=""),"",O73+300)</f>
        <v/>
      </c>
      <c r="AB73" s="19" t="str">
        <f aca="false">IF(OR(I73="",I73&lt;12,O73=""),"",O73+330)</f>
        <v/>
      </c>
      <c r="AC73" s="19" t="str">
        <f aca="false">IF(OR(I73="",I73&lt;13,O73=""),"",O73+360)</f>
        <v/>
      </c>
      <c r="AD73" s="19" t="str">
        <f aca="false">IF(OR(I73="",I73&lt;14,O73=""),"",O73+390)</f>
        <v/>
      </c>
      <c r="AE73" s="19" t="str">
        <f aca="false">IF(OR(I73="",I73&lt;15,O73=""),"",O73+420)</f>
        <v/>
      </c>
      <c r="AF73" s="19" t="str">
        <f aca="false">IF(OR(I73="",I73&lt;16,O73=""),"",O73+450)</f>
        <v/>
      </c>
      <c r="AG73" s="19" t="str">
        <f aca="false">IF(OR(I73="",I73&lt;17,O73=""),"",O73+480)</f>
        <v/>
      </c>
      <c r="AH73" s="19" t="str">
        <f aca="false">IF(OR(I73="",I73&lt;18,O73=""),"",O73+510)</f>
        <v/>
      </c>
      <c r="AI73" s="19" t="str">
        <f aca="false">IF(OR(I73="",I73&lt;19,O73=""),"",O73+540)</f>
        <v/>
      </c>
      <c r="AJ73" s="19" t="str">
        <f aca="false">IF(OR(I73="",I73&lt;20,O73=""),"",O73+570)</f>
        <v/>
      </c>
      <c r="AK73" s="19" t="str">
        <f aca="false">IF(OR(I73="",I73&lt;21,O73=""),"",O73+600)</f>
        <v/>
      </c>
      <c r="AL73" s="19" t="str">
        <f aca="false">IF(OR(I73="",I73&lt;22,O73=""),"",O73+630)</f>
        <v/>
      </c>
      <c r="AM73" s="19" t="str">
        <f aca="false">IF(OR(I73="",I73&lt;23,O73=""),"",O73+660)</f>
        <v/>
      </c>
      <c r="AN73" s="19" t="str">
        <f aca="false">IF(OR(I73="",I73&lt;24,O73=""),"",O73+690)</f>
        <v/>
      </c>
      <c r="AO73" s="15" t="str">
        <f aca="false">IF(J73="","",COUNTIF(Q73:AN73,TRUE())*J73)</f>
        <v/>
      </c>
      <c r="AP73" s="15" t="str">
        <f aca="false">IF(K73="","",K73-AO73)</f>
        <v/>
      </c>
      <c r="AQ73" s="15" t="str">
        <f aca="false">IF(K73="","",K73-F73-IF(N73="",0,N73))</f>
        <v/>
      </c>
    </row>
    <row r="74" customFormat="false" ht="15" hidden="false" customHeight="false" outlineLevel="0" collapsed="false">
      <c r="A74" s="4"/>
      <c r="B74" s="4"/>
      <c r="C74" s="4"/>
      <c r="D74" s="5"/>
      <c r="E74" s="5"/>
      <c r="F74" s="6"/>
      <c r="G74" s="4"/>
      <c r="H74" s="4"/>
      <c r="I74" s="4"/>
      <c r="J74" s="6"/>
      <c r="K74" s="7" t="str">
        <f aca="false">IF(OR(I74="",J74=""),"",I74*J74)</f>
        <v/>
      </c>
      <c r="L74" s="4"/>
      <c r="M74" s="8"/>
      <c r="N74" s="7" t="str">
        <f aca="false">IF(OR(L74="",M74="",K74=""),"",IF(L74="GANANCIA",(K74-F74)*M74,IF(L74="BRUTO",K74*M74,"")))</f>
        <v/>
      </c>
      <c r="O74" s="9" t="str">
        <f aca="false">IF(D74="","",D74)</f>
        <v/>
      </c>
      <c r="P74" s="10" t="str">
        <f aca="false">IF(I74="","",IF(COUNTIF(Q74:AN74,TRUE())&gt;=I74,"PAGADO",IF(COUNTIF(Q74:AN74,TRUE())&gt;0,"PARCIAL","VIGENTE")))</f>
        <v/>
      </c>
      <c r="Q74" s="11" t="str">
        <f aca="false">IF(OR(I74="",I74&lt;1,O74=""),"",O74+0)</f>
        <v/>
      </c>
      <c r="R74" s="11" t="str">
        <f aca="false">IF(OR(I74="",I74&lt;2,O74=""),"",O74+30)</f>
        <v/>
      </c>
      <c r="S74" s="11" t="str">
        <f aca="false">IF(OR(I74="",I74&lt;3,O74=""),"",O74+60)</f>
        <v/>
      </c>
      <c r="T74" s="11" t="str">
        <f aca="false">IF(OR(I74="",I74&lt;4,O74=""),"",O74+90)</f>
        <v/>
      </c>
      <c r="U74" s="11" t="str">
        <f aca="false">IF(OR(I74="",I74&lt;5,O74=""),"",O74+120)</f>
        <v/>
      </c>
      <c r="V74" s="11" t="str">
        <f aca="false">IF(OR(I74="",I74&lt;6,O74=""),"",O74+150)</f>
        <v/>
      </c>
      <c r="W74" s="11" t="str">
        <f aca="false">IF(OR(I74="",I74&lt;7,O74=""),"",O74+180)</f>
        <v/>
      </c>
      <c r="X74" s="11" t="str">
        <f aca="false">IF(OR(I74="",I74&lt;8,O74=""),"",O74+210)</f>
        <v/>
      </c>
      <c r="Y74" s="11" t="str">
        <f aca="false">IF(OR(I74="",I74&lt;9,O74=""),"",O74+240)</f>
        <v/>
      </c>
      <c r="Z74" s="11" t="str">
        <f aca="false">IF(OR(I74="",I74&lt;10,O74=""),"",O74+270)</f>
        <v/>
      </c>
      <c r="AA74" s="11" t="str">
        <f aca="false">IF(OR(I74="",I74&lt;11,O74=""),"",O74+300)</f>
        <v/>
      </c>
      <c r="AB74" s="11" t="str">
        <f aca="false">IF(OR(I74="",I74&lt;12,O74=""),"",O74+330)</f>
        <v/>
      </c>
      <c r="AC74" s="11" t="str">
        <f aca="false">IF(OR(I74="",I74&lt;13,O74=""),"",O74+360)</f>
        <v/>
      </c>
      <c r="AD74" s="11" t="str">
        <f aca="false">IF(OR(I74="",I74&lt;14,O74=""),"",O74+390)</f>
        <v/>
      </c>
      <c r="AE74" s="11" t="str">
        <f aca="false">IF(OR(I74="",I74&lt;15,O74=""),"",O74+420)</f>
        <v/>
      </c>
      <c r="AF74" s="11" t="str">
        <f aca="false">IF(OR(I74="",I74&lt;16,O74=""),"",O74+450)</f>
        <v/>
      </c>
      <c r="AG74" s="11" t="str">
        <f aca="false">IF(OR(I74="",I74&lt;17,O74=""),"",O74+480)</f>
        <v/>
      </c>
      <c r="AH74" s="11" t="str">
        <f aca="false">IF(OR(I74="",I74&lt;18,O74=""),"",O74+510)</f>
        <v/>
      </c>
      <c r="AI74" s="11" t="str">
        <f aca="false">IF(OR(I74="",I74&lt;19,O74=""),"",O74+540)</f>
        <v/>
      </c>
      <c r="AJ74" s="11" t="str">
        <f aca="false">IF(OR(I74="",I74&lt;20,O74=""),"",O74+570)</f>
        <v/>
      </c>
      <c r="AK74" s="11" t="str">
        <f aca="false">IF(OR(I74="",I74&lt;21,O74=""),"",O74+600)</f>
        <v/>
      </c>
      <c r="AL74" s="11" t="str">
        <f aca="false">IF(OR(I74="",I74&lt;22,O74=""),"",O74+630)</f>
        <v/>
      </c>
      <c r="AM74" s="11" t="str">
        <f aca="false">IF(OR(I74="",I74&lt;23,O74=""),"",O74+660)</f>
        <v/>
      </c>
      <c r="AN74" s="11" t="str">
        <f aca="false">IF(OR(I74="",I74&lt;24,O74=""),"",O74+690)</f>
        <v/>
      </c>
      <c r="AO74" s="7" t="str">
        <f aca="false">IF(J74="","",COUNTIF(Q74:AN74,TRUE())*J74)</f>
        <v/>
      </c>
      <c r="AP74" s="7" t="str">
        <f aca="false">IF(K74="","",K74-AO74)</f>
        <v/>
      </c>
      <c r="AQ74" s="7" t="str">
        <f aca="false">IF(K74="","",K74-F74-IF(N74="",0,N74))</f>
        <v/>
      </c>
    </row>
    <row r="75" customFormat="false" ht="15" hidden="false" customHeight="false" outlineLevel="0" collapsed="false">
      <c r="A75" s="12"/>
      <c r="B75" s="12"/>
      <c r="C75" s="12"/>
      <c r="D75" s="13"/>
      <c r="E75" s="13"/>
      <c r="F75" s="14"/>
      <c r="G75" s="12"/>
      <c r="H75" s="12"/>
      <c r="I75" s="12"/>
      <c r="J75" s="14"/>
      <c r="K75" s="15" t="str">
        <f aca="false">IF(OR(I75="",J75=""),"",I75*J75)</f>
        <v/>
      </c>
      <c r="L75" s="12"/>
      <c r="M75" s="16"/>
      <c r="N75" s="15" t="str">
        <f aca="false">IF(OR(L75="",M75="",K75=""),"",IF(L75="GANANCIA",(K75-F75)*M75,IF(L75="BRUTO",K75*M75,"")))</f>
        <v/>
      </c>
      <c r="O75" s="17" t="str">
        <f aca="false">IF(D75="","",D75)</f>
        <v/>
      </c>
      <c r="P75" s="18" t="str">
        <f aca="false">IF(I75="","",IF(COUNTIF(Q75:AN75,TRUE())&gt;=I75,"PAGADO",IF(COUNTIF(Q75:AN75,TRUE())&gt;0,"PARCIAL","VIGENTE")))</f>
        <v/>
      </c>
      <c r="Q75" s="19" t="str">
        <f aca="false">IF(OR(I75="",I75&lt;1,O75=""),"",O75+0)</f>
        <v/>
      </c>
      <c r="R75" s="19" t="str">
        <f aca="false">IF(OR(I75="",I75&lt;2,O75=""),"",O75+30)</f>
        <v/>
      </c>
      <c r="S75" s="19" t="str">
        <f aca="false">IF(OR(I75="",I75&lt;3,O75=""),"",O75+60)</f>
        <v/>
      </c>
      <c r="T75" s="19" t="str">
        <f aca="false">IF(OR(I75="",I75&lt;4,O75=""),"",O75+90)</f>
        <v/>
      </c>
      <c r="U75" s="19" t="str">
        <f aca="false">IF(OR(I75="",I75&lt;5,O75=""),"",O75+120)</f>
        <v/>
      </c>
      <c r="V75" s="19" t="str">
        <f aca="false">IF(OR(I75="",I75&lt;6,O75=""),"",O75+150)</f>
        <v/>
      </c>
      <c r="W75" s="19" t="str">
        <f aca="false">IF(OR(I75="",I75&lt;7,O75=""),"",O75+180)</f>
        <v/>
      </c>
      <c r="X75" s="19" t="str">
        <f aca="false">IF(OR(I75="",I75&lt;8,O75=""),"",O75+210)</f>
        <v/>
      </c>
      <c r="Y75" s="19" t="str">
        <f aca="false">IF(OR(I75="",I75&lt;9,O75=""),"",O75+240)</f>
        <v/>
      </c>
      <c r="Z75" s="19" t="str">
        <f aca="false">IF(OR(I75="",I75&lt;10,O75=""),"",O75+270)</f>
        <v/>
      </c>
      <c r="AA75" s="19" t="str">
        <f aca="false">IF(OR(I75="",I75&lt;11,O75=""),"",O75+300)</f>
        <v/>
      </c>
      <c r="AB75" s="19" t="str">
        <f aca="false">IF(OR(I75="",I75&lt;12,O75=""),"",O75+330)</f>
        <v/>
      </c>
      <c r="AC75" s="19" t="str">
        <f aca="false">IF(OR(I75="",I75&lt;13,O75=""),"",O75+360)</f>
        <v/>
      </c>
      <c r="AD75" s="19" t="str">
        <f aca="false">IF(OR(I75="",I75&lt;14,O75=""),"",O75+390)</f>
        <v/>
      </c>
      <c r="AE75" s="19" t="str">
        <f aca="false">IF(OR(I75="",I75&lt;15,O75=""),"",O75+420)</f>
        <v/>
      </c>
      <c r="AF75" s="19" t="str">
        <f aca="false">IF(OR(I75="",I75&lt;16,O75=""),"",O75+450)</f>
        <v/>
      </c>
      <c r="AG75" s="19" t="str">
        <f aca="false">IF(OR(I75="",I75&lt;17,O75=""),"",O75+480)</f>
        <v/>
      </c>
      <c r="AH75" s="19" t="str">
        <f aca="false">IF(OR(I75="",I75&lt;18,O75=""),"",O75+510)</f>
        <v/>
      </c>
      <c r="AI75" s="19" t="str">
        <f aca="false">IF(OR(I75="",I75&lt;19,O75=""),"",O75+540)</f>
        <v/>
      </c>
      <c r="AJ75" s="19" t="str">
        <f aca="false">IF(OR(I75="",I75&lt;20,O75=""),"",O75+570)</f>
        <v/>
      </c>
      <c r="AK75" s="19" t="str">
        <f aca="false">IF(OR(I75="",I75&lt;21,O75=""),"",O75+600)</f>
        <v/>
      </c>
      <c r="AL75" s="19" t="str">
        <f aca="false">IF(OR(I75="",I75&lt;22,O75=""),"",O75+630)</f>
        <v/>
      </c>
      <c r="AM75" s="19" t="str">
        <f aca="false">IF(OR(I75="",I75&lt;23,O75=""),"",O75+660)</f>
        <v/>
      </c>
      <c r="AN75" s="19" t="str">
        <f aca="false">IF(OR(I75="",I75&lt;24,O75=""),"",O75+690)</f>
        <v/>
      </c>
      <c r="AO75" s="15" t="str">
        <f aca="false">IF(J75="","",COUNTIF(Q75:AN75,TRUE())*J75)</f>
        <v/>
      </c>
      <c r="AP75" s="15" t="str">
        <f aca="false">IF(K75="","",K75-AO75)</f>
        <v/>
      </c>
      <c r="AQ75" s="15" t="str">
        <f aca="false">IF(K75="","",K75-F75-IF(N75="",0,N75))</f>
        <v/>
      </c>
    </row>
    <row r="76" customFormat="false" ht="15" hidden="false" customHeight="false" outlineLevel="0" collapsed="false">
      <c r="A76" s="4"/>
      <c r="B76" s="4"/>
      <c r="C76" s="4"/>
      <c r="D76" s="5"/>
      <c r="E76" s="5"/>
      <c r="F76" s="6"/>
      <c r="G76" s="4"/>
      <c r="H76" s="4"/>
      <c r="I76" s="4"/>
      <c r="J76" s="6"/>
      <c r="K76" s="7" t="str">
        <f aca="false">IF(OR(I76="",J76=""),"",I76*J76)</f>
        <v/>
      </c>
      <c r="L76" s="4"/>
      <c r="M76" s="8"/>
      <c r="N76" s="7" t="str">
        <f aca="false">IF(OR(L76="",M76="",K76=""),"",IF(L76="GANANCIA",(K76-F76)*M76,IF(L76="BRUTO",K76*M76,"")))</f>
        <v/>
      </c>
      <c r="O76" s="9" t="str">
        <f aca="false">IF(D76="","",D76)</f>
        <v/>
      </c>
      <c r="P76" s="10" t="str">
        <f aca="false">IF(I76="","",IF(COUNTIF(Q76:AN76,TRUE())&gt;=I76,"PAGADO",IF(COUNTIF(Q76:AN76,TRUE())&gt;0,"PARCIAL","VIGENTE")))</f>
        <v/>
      </c>
      <c r="Q76" s="11" t="str">
        <f aca="false">IF(OR(I76="",I76&lt;1,O76=""),"",O76+0)</f>
        <v/>
      </c>
      <c r="R76" s="11" t="str">
        <f aca="false">IF(OR(I76="",I76&lt;2,O76=""),"",O76+30)</f>
        <v/>
      </c>
      <c r="S76" s="11" t="str">
        <f aca="false">IF(OR(I76="",I76&lt;3,O76=""),"",O76+60)</f>
        <v/>
      </c>
      <c r="T76" s="11" t="str">
        <f aca="false">IF(OR(I76="",I76&lt;4,O76=""),"",O76+90)</f>
        <v/>
      </c>
      <c r="U76" s="11" t="str">
        <f aca="false">IF(OR(I76="",I76&lt;5,O76=""),"",O76+120)</f>
        <v/>
      </c>
      <c r="V76" s="11" t="str">
        <f aca="false">IF(OR(I76="",I76&lt;6,O76=""),"",O76+150)</f>
        <v/>
      </c>
      <c r="W76" s="11" t="str">
        <f aca="false">IF(OR(I76="",I76&lt;7,O76=""),"",O76+180)</f>
        <v/>
      </c>
      <c r="X76" s="11" t="str">
        <f aca="false">IF(OR(I76="",I76&lt;8,O76=""),"",O76+210)</f>
        <v/>
      </c>
      <c r="Y76" s="11" t="str">
        <f aca="false">IF(OR(I76="",I76&lt;9,O76=""),"",O76+240)</f>
        <v/>
      </c>
      <c r="Z76" s="11" t="str">
        <f aca="false">IF(OR(I76="",I76&lt;10,O76=""),"",O76+270)</f>
        <v/>
      </c>
      <c r="AA76" s="11" t="str">
        <f aca="false">IF(OR(I76="",I76&lt;11,O76=""),"",O76+300)</f>
        <v/>
      </c>
      <c r="AB76" s="11" t="str">
        <f aca="false">IF(OR(I76="",I76&lt;12,O76=""),"",O76+330)</f>
        <v/>
      </c>
      <c r="AC76" s="11" t="str">
        <f aca="false">IF(OR(I76="",I76&lt;13,O76=""),"",O76+360)</f>
        <v/>
      </c>
      <c r="AD76" s="11" t="str">
        <f aca="false">IF(OR(I76="",I76&lt;14,O76=""),"",O76+390)</f>
        <v/>
      </c>
      <c r="AE76" s="11" t="str">
        <f aca="false">IF(OR(I76="",I76&lt;15,O76=""),"",O76+420)</f>
        <v/>
      </c>
      <c r="AF76" s="11" t="str">
        <f aca="false">IF(OR(I76="",I76&lt;16,O76=""),"",O76+450)</f>
        <v/>
      </c>
      <c r="AG76" s="11" t="str">
        <f aca="false">IF(OR(I76="",I76&lt;17,O76=""),"",O76+480)</f>
        <v/>
      </c>
      <c r="AH76" s="11" t="str">
        <f aca="false">IF(OR(I76="",I76&lt;18,O76=""),"",O76+510)</f>
        <v/>
      </c>
      <c r="AI76" s="11" t="str">
        <f aca="false">IF(OR(I76="",I76&lt;19,O76=""),"",O76+540)</f>
        <v/>
      </c>
      <c r="AJ76" s="11" t="str">
        <f aca="false">IF(OR(I76="",I76&lt;20,O76=""),"",O76+570)</f>
        <v/>
      </c>
      <c r="AK76" s="11" t="str">
        <f aca="false">IF(OR(I76="",I76&lt;21,O76=""),"",O76+600)</f>
        <v/>
      </c>
      <c r="AL76" s="11" t="str">
        <f aca="false">IF(OR(I76="",I76&lt;22,O76=""),"",O76+630)</f>
        <v/>
      </c>
      <c r="AM76" s="11" t="str">
        <f aca="false">IF(OR(I76="",I76&lt;23,O76=""),"",O76+660)</f>
        <v/>
      </c>
      <c r="AN76" s="11" t="str">
        <f aca="false">IF(OR(I76="",I76&lt;24,O76=""),"",O76+690)</f>
        <v/>
      </c>
      <c r="AO76" s="7" t="str">
        <f aca="false">IF(J76="","",COUNTIF(Q76:AN76,TRUE())*J76)</f>
        <v/>
      </c>
      <c r="AP76" s="7" t="str">
        <f aca="false">IF(K76="","",K76-AO76)</f>
        <v/>
      </c>
      <c r="AQ76" s="7" t="str">
        <f aca="false">IF(K76="","",K76-F76-IF(N76="",0,N76))</f>
        <v/>
      </c>
    </row>
    <row r="77" customFormat="false" ht="15" hidden="false" customHeight="false" outlineLevel="0" collapsed="false">
      <c r="A77" s="12"/>
      <c r="B77" s="12"/>
      <c r="C77" s="12"/>
      <c r="D77" s="13"/>
      <c r="E77" s="13"/>
      <c r="F77" s="14"/>
      <c r="G77" s="12"/>
      <c r="H77" s="12"/>
      <c r="I77" s="12"/>
      <c r="J77" s="14"/>
      <c r="K77" s="15" t="str">
        <f aca="false">IF(OR(I77="",J77=""),"",I77*J77)</f>
        <v/>
      </c>
      <c r="L77" s="12"/>
      <c r="M77" s="16"/>
      <c r="N77" s="15" t="str">
        <f aca="false">IF(OR(L77="",M77="",K77=""),"",IF(L77="GANANCIA",(K77-F77)*M77,IF(L77="BRUTO",K77*M77,"")))</f>
        <v/>
      </c>
      <c r="O77" s="17" t="str">
        <f aca="false">IF(D77="","",D77)</f>
        <v/>
      </c>
      <c r="P77" s="18" t="str">
        <f aca="false">IF(I77="","",IF(COUNTIF(Q77:AN77,TRUE())&gt;=I77,"PAGADO",IF(COUNTIF(Q77:AN77,TRUE())&gt;0,"PARCIAL","VIGENTE")))</f>
        <v/>
      </c>
      <c r="Q77" s="19" t="str">
        <f aca="false">IF(OR(I77="",I77&lt;1,O77=""),"",O77+0)</f>
        <v/>
      </c>
      <c r="R77" s="19" t="str">
        <f aca="false">IF(OR(I77="",I77&lt;2,O77=""),"",O77+30)</f>
        <v/>
      </c>
      <c r="S77" s="19" t="str">
        <f aca="false">IF(OR(I77="",I77&lt;3,O77=""),"",O77+60)</f>
        <v/>
      </c>
      <c r="T77" s="19" t="str">
        <f aca="false">IF(OR(I77="",I77&lt;4,O77=""),"",O77+90)</f>
        <v/>
      </c>
      <c r="U77" s="19" t="str">
        <f aca="false">IF(OR(I77="",I77&lt;5,O77=""),"",O77+120)</f>
        <v/>
      </c>
      <c r="V77" s="19" t="str">
        <f aca="false">IF(OR(I77="",I77&lt;6,O77=""),"",O77+150)</f>
        <v/>
      </c>
      <c r="W77" s="19" t="str">
        <f aca="false">IF(OR(I77="",I77&lt;7,O77=""),"",O77+180)</f>
        <v/>
      </c>
      <c r="X77" s="19" t="str">
        <f aca="false">IF(OR(I77="",I77&lt;8,O77=""),"",O77+210)</f>
        <v/>
      </c>
      <c r="Y77" s="19" t="str">
        <f aca="false">IF(OR(I77="",I77&lt;9,O77=""),"",O77+240)</f>
        <v/>
      </c>
      <c r="Z77" s="19" t="str">
        <f aca="false">IF(OR(I77="",I77&lt;10,O77=""),"",O77+270)</f>
        <v/>
      </c>
      <c r="AA77" s="19" t="str">
        <f aca="false">IF(OR(I77="",I77&lt;11,O77=""),"",O77+300)</f>
        <v/>
      </c>
      <c r="AB77" s="19" t="str">
        <f aca="false">IF(OR(I77="",I77&lt;12,O77=""),"",O77+330)</f>
        <v/>
      </c>
      <c r="AC77" s="19" t="str">
        <f aca="false">IF(OR(I77="",I77&lt;13,O77=""),"",O77+360)</f>
        <v/>
      </c>
      <c r="AD77" s="19" t="str">
        <f aca="false">IF(OR(I77="",I77&lt;14,O77=""),"",O77+390)</f>
        <v/>
      </c>
      <c r="AE77" s="19" t="str">
        <f aca="false">IF(OR(I77="",I77&lt;15,O77=""),"",O77+420)</f>
        <v/>
      </c>
      <c r="AF77" s="19" t="str">
        <f aca="false">IF(OR(I77="",I77&lt;16,O77=""),"",O77+450)</f>
        <v/>
      </c>
      <c r="AG77" s="19" t="str">
        <f aca="false">IF(OR(I77="",I77&lt;17,O77=""),"",O77+480)</f>
        <v/>
      </c>
      <c r="AH77" s="19" t="str">
        <f aca="false">IF(OR(I77="",I77&lt;18,O77=""),"",O77+510)</f>
        <v/>
      </c>
      <c r="AI77" s="19" t="str">
        <f aca="false">IF(OR(I77="",I77&lt;19,O77=""),"",O77+540)</f>
        <v/>
      </c>
      <c r="AJ77" s="19" t="str">
        <f aca="false">IF(OR(I77="",I77&lt;20,O77=""),"",O77+570)</f>
        <v/>
      </c>
      <c r="AK77" s="19" t="str">
        <f aca="false">IF(OR(I77="",I77&lt;21,O77=""),"",O77+600)</f>
        <v/>
      </c>
      <c r="AL77" s="19" t="str">
        <f aca="false">IF(OR(I77="",I77&lt;22,O77=""),"",O77+630)</f>
        <v/>
      </c>
      <c r="AM77" s="19" t="str">
        <f aca="false">IF(OR(I77="",I77&lt;23,O77=""),"",O77+660)</f>
        <v/>
      </c>
      <c r="AN77" s="19" t="str">
        <f aca="false">IF(OR(I77="",I77&lt;24,O77=""),"",O77+690)</f>
        <v/>
      </c>
      <c r="AO77" s="15" t="str">
        <f aca="false">IF(J77="","",COUNTIF(Q77:AN77,TRUE())*J77)</f>
        <v/>
      </c>
      <c r="AP77" s="15" t="str">
        <f aca="false">IF(K77="","",K77-AO77)</f>
        <v/>
      </c>
      <c r="AQ77" s="15" t="str">
        <f aca="false">IF(K77="","",K77-F77-IF(N77="",0,N77))</f>
        <v/>
      </c>
    </row>
    <row r="78" customFormat="false" ht="15" hidden="false" customHeight="false" outlineLevel="0" collapsed="false">
      <c r="A78" s="4"/>
      <c r="B78" s="4"/>
      <c r="C78" s="4"/>
      <c r="D78" s="5"/>
      <c r="E78" s="5"/>
      <c r="F78" s="6"/>
      <c r="G78" s="4"/>
      <c r="H78" s="4"/>
      <c r="I78" s="4"/>
      <c r="J78" s="6"/>
      <c r="K78" s="7" t="str">
        <f aca="false">IF(OR(I78="",J78=""),"",I78*J78)</f>
        <v/>
      </c>
      <c r="L78" s="4"/>
      <c r="M78" s="8"/>
      <c r="N78" s="7" t="str">
        <f aca="false">IF(OR(L78="",M78="",K78=""),"",IF(L78="GANANCIA",(K78-F78)*M78,IF(L78="BRUTO",K78*M78,"")))</f>
        <v/>
      </c>
      <c r="O78" s="9" t="str">
        <f aca="false">IF(D78="","",D78)</f>
        <v/>
      </c>
      <c r="P78" s="10" t="str">
        <f aca="false">IF(I78="","",IF(COUNTIF(Q78:AN78,TRUE())&gt;=I78,"PAGADO",IF(COUNTIF(Q78:AN78,TRUE())&gt;0,"PARCIAL","VIGENTE")))</f>
        <v/>
      </c>
      <c r="Q78" s="11" t="str">
        <f aca="false">IF(OR(I78="",I78&lt;1,O78=""),"",O78+0)</f>
        <v/>
      </c>
      <c r="R78" s="11" t="str">
        <f aca="false">IF(OR(I78="",I78&lt;2,O78=""),"",O78+30)</f>
        <v/>
      </c>
      <c r="S78" s="11" t="str">
        <f aca="false">IF(OR(I78="",I78&lt;3,O78=""),"",O78+60)</f>
        <v/>
      </c>
      <c r="T78" s="11" t="str">
        <f aca="false">IF(OR(I78="",I78&lt;4,O78=""),"",O78+90)</f>
        <v/>
      </c>
      <c r="U78" s="11" t="str">
        <f aca="false">IF(OR(I78="",I78&lt;5,O78=""),"",O78+120)</f>
        <v/>
      </c>
      <c r="V78" s="11" t="str">
        <f aca="false">IF(OR(I78="",I78&lt;6,O78=""),"",O78+150)</f>
        <v/>
      </c>
      <c r="W78" s="11" t="str">
        <f aca="false">IF(OR(I78="",I78&lt;7,O78=""),"",O78+180)</f>
        <v/>
      </c>
      <c r="X78" s="11" t="str">
        <f aca="false">IF(OR(I78="",I78&lt;8,O78=""),"",O78+210)</f>
        <v/>
      </c>
      <c r="Y78" s="11" t="str">
        <f aca="false">IF(OR(I78="",I78&lt;9,O78=""),"",O78+240)</f>
        <v/>
      </c>
      <c r="Z78" s="11" t="str">
        <f aca="false">IF(OR(I78="",I78&lt;10,O78=""),"",O78+270)</f>
        <v/>
      </c>
      <c r="AA78" s="11" t="str">
        <f aca="false">IF(OR(I78="",I78&lt;11,O78=""),"",O78+300)</f>
        <v/>
      </c>
      <c r="AB78" s="11" t="str">
        <f aca="false">IF(OR(I78="",I78&lt;12,O78=""),"",O78+330)</f>
        <v/>
      </c>
      <c r="AC78" s="11" t="str">
        <f aca="false">IF(OR(I78="",I78&lt;13,O78=""),"",O78+360)</f>
        <v/>
      </c>
      <c r="AD78" s="11" t="str">
        <f aca="false">IF(OR(I78="",I78&lt;14,O78=""),"",O78+390)</f>
        <v/>
      </c>
      <c r="AE78" s="11" t="str">
        <f aca="false">IF(OR(I78="",I78&lt;15,O78=""),"",O78+420)</f>
        <v/>
      </c>
      <c r="AF78" s="11" t="str">
        <f aca="false">IF(OR(I78="",I78&lt;16,O78=""),"",O78+450)</f>
        <v/>
      </c>
      <c r="AG78" s="11" t="str">
        <f aca="false">IF(OR(I78="",I78&lt;17,O78=""),"",O78+480)</f>
        <v/>
      </c>
      <c r="AH78" s="11" t="str">
        <f aca="false">IF(OR(I78="",I78&lt;18,O78=""),"",O78+510)</f>
        <v/>
      </c>
      <c r="AI78" s="11" t="str">
        <f aca="false">IF(OR(I78="",I78&lt;19,O78=""),"",O78+540)</f>
        <v/>
      </c>
      <c r="AJ78" s="11" t="str">
        <f aca="false">IF(OR(I78="",I78&lt;20,O78=""),"",O78+570)</f>
        <v/>
      </c>
      <c r="AK78" s="11" t="str">
        <f aca="false">IF(OR(I78="",I78&lt;21,O78=""),"",O78+600)</f>
        <v/>
      </c>
      <c r="AL78" s="11" t="str">
        <f aca="false">IF(OR(I78="",I78&lt;22,O78=""),"",O78+630)</f>
        <v/>
      </c>
      <c r="AM78" s="11" t="str">
        <f aca="false">IF(OR(I78="",I78&lt;23,O78=""),"",O78+660)</f>
        <v/>
      </c>
      <c r="AN78" s="11" t="str">
        <f aca="false">IF(OR(I78="",I78&lt;24,O78=""),"",O78+690)</f>
        <v/>
      </c>
      <c r="AO78" s="7" t="str">
        <f aca="false">IF(J78="","",COUNTIF(Q78:AN78,TRUE())*J78)</f>
        <v/>
      </c>
      <c r="AP78" s="7" t="str">
        <f aca="false">IF(K78="","",K78-AO78)</f>
        <v/>
      </c>
      <c r="AQ78" s="7" t="str">
        <f aca="false">IF(K78="","",K78-F78-IF(N78="",0,N78))</f>
        <v/>
      </c>
    </row>
    <row r="79" customFormat="false" ht="15" hidden="false" customHeight="false" outlineLevel="0" collapsed="false">
      <c r="A79" s="12"/>
      <c r="B79" s="12"/>
      <c r="C79" s="12"/>
      <c r="D79" s="13"/>
      <c r="E79" s="13"/>
      <c r="F79" s="14"/>
      <c r="G79" s="12"/>
      <c r="H79" s="12"/>
      <c r="I79" s="12"/>
      <c r="J79" s="14"/>
      <c r="K79" s="15" t="str">
        <f aca="false">IF(OR(I79="",J79=""),"",I79*J79)</f>
        <v/>
      </c>
      <c r="L79" s="12"/>
      <c r="M79" s="16"/>
      <c r="N79" s="15" t="str">
        <f aca="false">IF(OR(L79="",M79="",K79=""),"",IF(L79="GANANCIA",(K79-F79)*M79,IF(L79="BRUTO",K79*M79,"")))</f>
        <v/>
      </c>
      <c r="O79" s="17" t="str">
        <f aca="false">IF(D79="","",D79)</f>
        <v/>
      </c>
      <c r="P79" s="18" t="str">
        <f aca="false">IF(I79="","",IF(COUNTIF(Q79:AN79,TRUE())&gt;=I79,"PAGADO",IF(COUNTIF(Q79:AN79,TRUE())&gt;0,"PARCIAL","VIGENTE")))</f>
        <v/>
      </c>
      <c r="Q79" s="19" t="str">
        <f aca="false">IF(OR(I79="",I79&lt;1,O79=""),"",O79+0)</f>
        <v/>
      </c>
      <c r="R79" s="19" t="str">
        <f aca="false">IF(OR(I79="",I79&lt;2,O79=""),"",O79+30)</f>
        <v/>
      </c>
      <c r="S79" s="19" t="str">
        <f aca="false">IF(OR(I79="",I79&lt;3,O79=""),"",O79+60)</f>
        <v/>
      </c>
      <c r="T79" s="19" t="str">
        <f aca="false">IF(OR(I79="",I79&lt;4,O79=""),"",O79+90)</f>
        <v/>
      </c>
      <c r="U79" s="19" t="str">
        <f aca="false">IF(OR(I79="",I79&lt;5,O79=""),"",O79+120)</f>
        <v/>
      </c>
      <c r="V79" s="19" t="str">
        <f aca="false">IF(OR(I79="",I79&lt;6,O79=""),"",O79+150)</f>
        <v/>
      </c>
      <c r="W79" s="19" t="str">
        <f aca="false">IF(OR(I79="",I79&lt;7,O79=""),"",O79+180)</f>
        <v/>
      </c>
      <c r="X79" s="19" t="str">
        <f aca="false">IF(OR(I79="",I79&lt;8,O79=""),"",O79+210)</f>
        <v/>
      </c>
      <c r="Y79" s="19" t="str">
        <f aca="false">IF(OR(I79="",I79&lt;9,O79=""),"",O79+240)</f>
        <v/>
      </c>
      <c r="Z79" s="19" t="str">
        <f aca="false">IF(OR(I79="",I79&lt;10,O79=""),"",O79+270)</f>
        <v/>
      </c>
      <c r="AA79" s="19" t="str">
        <f aca="false">IF(OR(I79="",I79&lt;11,O79=""),"",O79+300)</f>
        <v/>
      </c>
      <c r="AB79" s="19" t="str">
        <f aca="false">IF(OR(I79="",I79&lt;12,O79=""),"",O79+330)</f>
        <v/>
      </c>
      <c r="AC79" s="19" t="str">
        <f aca="false">IF(OR(I79="",I79&lt;13,O79=""),"",O79+360)</f>
        <v/>
      </c>
      <c r="AD79" s="19" t="str">
        <f aca="false">IF(OR(I79="",I79&lt;14,O79=""),"",O79+390)</f>
        <v/>
      </c>
      <c r="AE79" s="19" t="str">
        <f aca="false">IF(OR(I79="",I79&lt;15,O79=""),"",O79+420)</f>
        <v/>
      </c>
      <c r="AF79" s="19" t="str">
        <f aca="false">IF(OR(I79="",I79&lt;16,O79=""),"",O79+450)</f>
        <v/>
      </c>
      <c r="AG79" s="19" t="str">
        <f aca="false">IF(OR(I79="",I79&lt;17,O79=""),"",O79+480)</f>
        <v/>
      </c>
      <c r="AH79" s="19" t="str">
        <f aca="false">IF(OR(I79="",I79&lt;18,O79=""),"",O79+510)</f>
        <v/>
      </c>
      <c r="AI79" s="19" t="str">
        <f aca="false">IF(OR(I79="",I79&lt;19,O79=""),"",O79+540)</f>
        <v/>
      </c>
      <c r="AJ79" s="19" t="str">
        <f aca="false">IF(OR(I79="",I79&lt;20,O79=""),"",O79+570)</f>
        <v/>
      </c>
      <c r="AK79" s="19" t="str">
        <f aca="false">IF(OR(I79="",I79&lt;21,O79=""),"",O79+600)</f>
        <v/>
      </c>
      <c r="AL79" s="19" t="str">
        <f aca="false">IF(OR(I79="",I79&lt;22,O79=""),"",O79+630)</f>
        <v/>
      </c>
      <c r="AM79" s="19" t="str">
        <f aca="false">IF(OR(I79="",I79&lt;23,O79=""),"",O79+660)</f>
        <v/>
      </c>
      <c r="AN79" s="19" t="str">
        <f aca="false">IF(OR(I79="",I79&lt;24,O79=""),"",O79+690)</f>
        <v/>
      </c>
      <c r="AO79" s="15" t="str">
        <f aca="false">IF(J79="","",COUNTIF(Q79:AN79,TRUE())*J79)</f>
        <v/>
      </c>
      <c r="AP79" s="15" t="str">
        <f aca="false">IF(K79="","",K79-AO79)</f>
        <v/>
      </c>
      <c r="AQ79" s="15" t="str">
        <f aca="false">IF(K79="","",K79-F79-IF(N79="",0,N79))</f>
        <v/>
      </c>
    </row>
    <row r="80" customFormat="false" ht="15" hidden="false" customHeight="false" outlineLevel="0" collapsed="false">
      <c r="A80" s="4"/>
      <c r="B80" s="4"/>
      <c r="C80" s="4"/>
      <c r="D80" s="5"/>
      <c r="E80" s="5"/>
      <c r="F80" s="6"/>
      <c r="G80" s="4"/>
      <c r="H80" s="4"/>
      <c r="I80" s="4"/>
      <c r="J80" s="6"/>
      <c r="K80" s="7" t="str">
        <f aca="false">IF(OR(I80="",J80=""),"",I80*J80)</f>
        <v/>
      </c>
      <c r="L80" s="4"/>
      <c r="M80" s="8"/>
      <c r="N80" s="7" t="str">
        <f aca="false">IF(OR(L80="",M80="",K80=""),"",IF(L80="GANANCIA",(K80-F80)*M80,IF(L80="BRUTO",K80*M80,"")))</f>
        <v/>
      </c>
      <c r="O80" s="9" t="str">
        <f aca="false">IF(D80="","",D80)</f>
        <v/>
      </c>
      <c r="P80" s="10" t="str">
        <f aca="false">IF(I80="","",IF(COUNTIF(Q80:AN80,TRUE())&gt;=I80,"PAGADO",IF(COUNTIF(Q80:AN80,TRUE())&gt;0,"PARCIAL","VIGENTE")))</f>
        <v/>
      </c>
      <c r="Q80" s="11" t="str">
        <f aca="false">IF(OR(I80="",I80&lt;1,O80=""),"",O80+0)</f>
        <v/>
      </c>
      <c r="R80" s="11" t="str">
        <f aca="false">IF(OR(I80="",I80&lt;2,O80=""),"",O80+30)</f>
        <v/>
      </c>
      <c r="S80" s="11" t="str">
        <f aca="false">IF(OR(I80="",I80&lt;3,O80=""),"",O80+60)</f>
        <v/>
      </c>
      <c r="T80" s="11" t="str">
        <f aca="false">IF(OR(I80="",I80&lt;4,O80=""),"",O80+90)</f>
        <v/>
      </c>
      <c r="U80" s="11" t="str">
        <f aca="false">IF(OR(I80="",I80&lt;5,O80=""),"",O80+120)</f>
        <v/>
      </c>
      <c r="V80" s="11" t="str">
        <f aca="false">IF(OR(I80="",I80&lt;6,O80=""),"",O80+150)</f>
        <v/>
      </c>
      <c r="W80" s="11" t="str">
        <f aca="false">IF(OR(I80="",I80&lt;7,O80=""),"",O80+180)</f>
        <v/>
      </c>
      <c r="X80" s="11" t="str">
        <f aca="false">IF(OR(I80="",I80&lt;8,O80=""),"",O80+210)</f>
        <v/>
      </c>
      <c r="Y80" s="11" t="str">
        <f aca="false">IF(OR(I80="",I80&lt;9,O80=""),"",O80+240)</f>
        <v/>
      </c>
      <c r="Z80" s="11" t="str">
        <f aca="false">IF(OR(I80="",I80&lt;10,O80=""),"",O80+270)</f>
        <v/>
      </c>
      <c r="AA80" s="11" t="str">
        <f aca="false">IF(OR(I80="",I80&lt;11,O80=""),"",O80+300)</f>
        <v/>
      </c>
      <c r="AB80" s="11" t="str">
        <f aca="false">IF(OR(I80="",I80&lt;12,O80=""),"",O80+330)</f>
        <v/>
      </c>
      <c r="AC80" s="11" t="str">
        <f aca="false">IF(OR(I80="",I80&lt;13,O80=""),"",O80+360)</f>
        <v/>
      </c>
      <c r="AD80" s="11" t="str">
        <f aca="false">IF(OR(I80="",I80&lt;14,O80=""),"",O80+390)</f>
        <v/>
      </c>
      <c r="AE80" s="11" t="str">
        <f aca="false">IF(OR(I80="",I80&lt;15,O80=""),"",O80+420)</f>
        <v/>
      </c>
      <c r="AF80" s="11" t="str">
        <f aca="false">IF(OR(I80="",I80&lt;16,O80=""),"",O80+450)</f>
        <v/>
      </c>
      <c r="AG80" s="11" t="str">
        <f aca="false">IF(OR(I80="",I80&lt;17,O80=""),"",O80+480)</f>
        <v/>
      </c>
      <c r="AH80" s="11" t="str">
        <f aca="false">IF(OR(I80="",I80&lt;18,O80=""),"",O80+510)</f>
        <v/>
      </c>
      <c r="AI80" s="11" t="str">
        <f aca="false">IF(OR(I80="",I80&lt;19,O80=""),"",O80+540)</f>
        <v/>
      </c>
      <c r="AJ80" s="11" t="str">
        <f aca="false">IF(OR(I80="",I80&lt;20,O80=""),"",O80+570)</f>
        <v/>
      </c>
      <c r="AK80" s="11" t="str">
        <f aca="false">IF(OR(I80="",I80&lt;21,O80=""),"",O80+600)</f>
        <v/>
      </c>
      <c r="AL80" s="11" t="str">
        <f aca="false">IF(OR(I80="",I80&lt;22,O80=""),"",O80+630)</f>
        <v/>
      </c>
      <c r="AM80" s="11" t="str">
        <f aca="false">IF(OR(I80="",I80&lt;23,O80=""),"",O80+660)</f>
        <v/>
      </c>
      <c r="AN80" s="11" t="str">
        <f aca="false">IF(OR(I80="",I80&lt;24,O80=""),"",O80+690)</f>
        <v/>
      </c>
      <c r="AO80" s="7" t="str">
        <f aca="false">IF(J80="","",COUNTIF(Q80:AN80,TRUE())*J80)</f>
        <v/>
      </c>
      <c r="AP80" s="7" t="str">
        <f aca="false">IF(K80="","",K80-AO80)</f>
        <v/>
      </c>
      <c r="AQ80" s="7" t="str">
        <f aca="false">IF(K80="","",K80-F80-IF(N80="",0,N80))</f>
        <v/>
      </c>
    </row>
    <row r="81" customFormat="false" ht="15" hidden="false" customHeight="false" outlineLevel="0" collapsed="false">
      <c r="A81" s="12"/>
      <c r="B81" s="12"/>
      <c r="C81" s="12"/>
      <c r="D81" s="13"/>
      <c r="E81" s="13"/>
      <c r="F81" s="14"/>
      <c r="G81" s="12"/>
      <c r="H81" s="12"/>
      <c r="I81" s="12"/>
      <c r="J81" s="14"/>
      <c r="K81" s="15" t="str">
        <f aca="false">IF(OR(I81="",J81=""),"",I81*J81)</f>
        <v/>
      </c>
      <c r="L81" s="12"/>
      <c r="M81" s="16"/>
      <c r="N81" s="15" t="str">
        <f aca="false">IF(OR(L81="",M81="",K81=""),"",IF(L81="GANANCIA",(K81-F81)*M81,IF(L81="BRUTO",K81*M81,"")))</f>
        <v/>
      </c>
      <c r="O81" s="17" t="str">
        <f aca="false">IF(D81="","",D81)</f>
        <v/>
      </c>
      <c r="P81" s="18" t="str">
        <f aca="false">IF(I81="","",IF(COUNTIF(Q81:AN81,TRUE())&gt;=I81,"PAGADO",IF(COUNTIF(Q81:AN81,TRUE())&gt;0,"PARCIAL","VIGENTE")))</f>
        <v/>
      </c>
      <c r="Q81" s="19" t="str">
        <f aca="false">IF(OR(I81="",I81&lt;1,O81=""),"",O81+0)</f>
        <v/>
      </c>
      <c r="R81" s="19" t="str">
        <f aca="false">IF(OR(I81="",I81&lt;2,O81=""),"",O81+30)</f>
        <v/>
      </c>
      <c r="S81" s="19" t="str">
        <f aca="false">IF(OR(I81="",I81&lt;3,O81=""),"",O81+60)</f>
        <v/>
      </c>
      <c r="T81" s="19" t="str">
        <f aca="false">IF(OR(I81="",I81&lt;4,O81=""),"",O81+90)</f>
        <v/>
      </c>
      <c r="U81" s="19" t="str">
        <f aca="false">IF(OR(I81="",I81&lt;5,O81=""),"",O81+120)</f>
        <v/>
      </c>
      <c r="V81" s="19" t="str">
        <f aca="false">IF(OR(I81="",I81&lt;6,O81=""),"",O81+150)</f>
        <v/>
      </c>
      <c r="W81" s="19" t="str">
        <f aca="false">IF(OR(I81="",I81&lt;7,O81=""),"",O81+180)</f>
        <v/>
      </c>
      <c r="X81" s="19" t="str">
        <f aca="false">IF(OR(I81="",I81&lt;8,O81=""),"",O81+210)</f>
        <v/>
      </c>
      <c r="Y81" s="19" t="str">
        <f aca="false">IF(OR(I81="",I81&lt;9,O81=""),"",O81+240)</f>
        <v/>
      </c>
      <c r="Z81" s="19" t="str">
        <f aca="false">IF(OR(I81="",I81&lt;10,O81=""),"",O81+270)</f>
        <v/>
      </c>
      <c r="AA81" s="19" t="str">
        <f aca="false">IF(OR(I81="",I81&lt;11,O81=""),"",O81+300)</f>
        <v/>
      </c>
      <c r="AB81" s="19" t="str">
        <f aca="false">IF(OR(I81="",I81&lt;12,O81=""),"",O81+330)</f>
        <v/>
      </c>
      <c r="AC81" s="19" t="str">
        <f aca="false">IF(OR(I81="",I81&lt;13,O81=""),"",O81+360)</f>
        <v/>
      </c>
      <c r="AD81" s="19" t="str">
        <f aca="false">IF(OR(I81="",I81&lt;14,O81=""),"",O81+390)</f>
        <v/>
      </c>
      <c r="AE81" s="19" t="str">
        <f aca="false">IF(OR(I81="",I81&lt;15,O81=""),"",O81+420)</f>
        <v/>
      </c>
      <c r="AF81" s="19" t="str">
        <f aca="false">IF(OR(I81="",I81&lt;16,O81=""),"",O81+450)</f>
        <v/>
      </c>
      <c r="AG81" s="19" t="str">
        <f aca="false">IF(OR(I81="",I81&lt;17,O81=""),"",O81+480)</f>
        <v/>
      </c>
      <c r="AH81" s="19" t="str">
        <f aca="false">IF(OR(I81="",I81&lt;18,O81=""),"",O81+510)</f>
        <v/>
      </c>
      <c r="AI81" s="19" t="str">
        <f aca="false">IF(OR(I81="",I81&lt;19,O81=""),"",O81+540)</f>
        <v/>
      </c>
      <c r="AJ81" s="19" t="str">
        <f aca="false">IF(OR(I81="",I81&lt;20,O81=""),"",O81+570)</f>
        <v/>
      </c>
      <c r="AK81" s="19" t="str">
        <f aca="false">IF(OR(I81="",I81&lt;21,O81=""),"",O81+600)</f>
        <v/>
      </c>
      <c r="AL81" s="19" t="str">
        <f aca="false">IF(OR(I81="",I81&lt;22,O81=""),"",O81+630)</f>
        <v/>
      </c>
      <c r="AM81" s="19" t="str">
        <f aca="false">IF(OR(I81="",I81&lt;23,O81=""),"",O81+660)</f>
        <v/>
      </c>
      <c r="AN81" s="19" t="str">
        <f aca="false">IF(OR(I81="",I81&lt;24,O81=""),"",O81+690)</f>
        <v/>
      </c>
      <c r="AO81" s="15" t="str">
        <f aca="false">IF(J81="","",COUNTIF(Q81:AN81,TRUE())*J81)</f>
        <v/>
      </c>
      <c r="AP81" s="15" t="str">
        <f aca="false">IF(K81="","",K81-AO81)</f>
        <v/>
      </c>
      <c r="AQ81" s="15" t="str">
        <f aca="false">IF(K81="","",K81-F81-IF(N81="",0,N81))</f>
        <v/>
      </c>
    </row>
    <row r="82" customFormat="false" ht="15" hidden="false" customHeight="false" outlineLevel="0" collapsed="false">
      <c r="A82" s="4"/>
      <c r="B82" s="4"/>
      <c r="C82" s="4"/>
      <c r="D82" s="5"/>
      <c r="E82" s="5"/>
      <c r="F82" s="6"/>
      <c r="G82" s="4"/>
      <c r="H82" s="4"/>
      <c r="I82" s="4"/>
      <c r="J82" s="6"/>
      <c r="K82" s="7" t="str">
        <f aca="false">IF(OR(I82="",J82=""),"",I82*J82)</f>
        <v/>
      </c>
      <c r="L82" s="4"/>
      <c r="M82" s="8"/>
      <c r="N82" s="7" t="str">
        <f aca="false">IF(OR(L82="",M82="",K82=""),"",IF(L82="GANANCIA",(K82-F82)*M82,IF(L82="BRUTO",K82*M82,"")))</f>
        <v/>
      </c>
      <c r="O82" s="9" t="str">
        <f aca="false">IF(D82="","",D82)</f>
        <v/>
      </c>
      <c r="P82" s="10" t="str">
        <f aca="false">IF(I82="","",IF(COUNTIF(Q82:AN82,TRUE())&gt;=I82,"PAGADO",IF(COUNTIF(Q82:AN82,TRUE())&gt;0,"PARCIAL","VIGENTE")))</f>
        <v/>
      </c>
      <c r="Q82" s="11" t="str">
        <f aca="false">IF(OR(I82="",I82&lt;1,O82=""),"",O82+0)</f>
        <v/>
      </c>
      <c r="R82" s="11" t="str">
        <f aca="false">IF(OR(I82="",I82&lt;2,O82=""),"",O82+30)</f>
        <v/>
      </c>
      <c r="S82" s="11" t="str">
        <f aca="false">IF(OR(I82="",I82&lt;3,O82=""),"",O82+60)</f>
        <v/>
      </c>
      <c r="T82" s="11" t="str">
        <f aca="false">IF(OR(I82="",I82&lt;4,O82=""),"",O82+90)</f>
        <v/>
      </c>
      <c r="U82" s="11" t="str">
        <f aca="false">IF(OR(I82="",I82&lt;5,O82=""),"",O82+120)</f>
        <v/>
      </c>
      <c r="V82" s="11" t="str">
        <f aca="false">IF(OR(I82="",I82&lt;6,O82=""),"",O82+150)</f>
        <v/>
      </c>
      <c r="W82" s="11" t="str">
        <f aca="false">IF(OR(I82="",I82&lt;7,O82=""),"",O82+180)</f>
        <v/>
      </c>
      <c r="X82" s="11" t="str">
        <f aca="false">IF(OR(I82="",I82&lt;8,O82=""),"",O82+210)</f>
        <v/>
      </c>
      <c r="Y82" s="11" t="str">
        <f aca="false">IF(OR(I82="",I82&lt;9,O82=""),"",O82+240)</f>
        <v/>
      </c>
      <c r="Z82" s="11" t="str">
        <f aca="false">IF(OR(I82="",I82&lt;10,O82=""),"",O82+270)</f>
        <v/>
      </c>
      <c r="AA82" s="11" t="str">
        <f aca="false">IF(OR(I82="",I82&lt;11,O82=""),"",O82+300)</f>
        <v/>
      </c>
      <c r="AB82" s="11" t="str">
        <f aca="false">IF(OR(I82="",I82&lt;12,O82=""),"",O82+330)</f>
        <v/>
      </c>
      <c r="AC82" s="11" t="str">
        <f aca="false">IF(OR(I82="",I82&lt;13,O82=""),"",O82+360)</f>
        <v/>
      </c>
      <c r="AD82" s="11" t="str">
        <f aca="false">IF(OR(I82="",I82&lt;14,O82=""),"",O82+390)</f>
        <v/>
      </c>
      <c r="AE82" s="11" t="str">
        <f aca="false">IF(OR(I82="",I82&lt;15,O82=""),"",O82+420)</f>
        <v/>
      </c>
      <c r="AF82" s="11" t="str">
        <f aca="false">IF(OR(I82="",I82&lt;16,O82=""),"",O82+450)</f>
        <v/>
      </c>
      <c r="AG82" s="11" t="str">
        <f aca="false">IF(OR(I82="",I82&lt;17,O82=""),"",O82+480)</f>
        <v/>
      </c>
      <c r="AH82" s="11" t="str">
        <f aca="false">IF(OR(I82="",I82&lt;18,O82=""),"",O82+510)</f>
        <v/>
      </c>
      <c r="AI82" s="11" t="str">
        <f aca="false">IF(OR(I82="",I82&lt;19,O82=""),"",O82+540)</f>
        <v/>
      </c>
      <c r="AJ82" s="11" t="str">
        <f aca="false">IF(OR(I82="",I82&lt;20,O82=""),"",O82+570)</f>
        <v/>
      </c>
      <c r="AK82" s="11" t="str">
        <f aca="false">IF(OR(I82="",I82&lt;21,O82=""),"",O82+600)</f>
        <v/>
      </c>
      <c r="AL82" s="11" t="str">
        <f aca="false">IF(OR(I82="",I82&lt;22,O82=""),"",O82+630)</f>
        <v/>
      </c>
      <c r="AM82" s="11" t="str">
        <f aca="false">IF(OR(I82="",I82&lt;23,O82=""),"",O82+660)</f>
        <v/>
      </c>
      <c r="AN82" s="11" t="str">
        <f aca="false">IF(OR(I82="",I82&lt;24,O82=""),"",O82+690)</f>
        <v/>
      </c>
      <c r="AO82" s="7" t="str">
        <f aca="false">IF(J82="","",COUNTIF(Q82:AN82,TRUE())*J82)</f>
        <v/>
      </c>
      <c r="AP82" s="7" t="str">
        <f aca="false">IF(K82="","",K82-AO82)</f>
        <v/>
      </c>
      <c r="AQ82" s="7" t="str">
        <f aca="false">IF(K82="","",K82-F82-IF(N82="",0,N82))</f>
        <v/>
      </c>
    </row>
    <row r="83" customFormat="false" ht="15" hidden="false" customHeight="false" outlineLevel="0" collapsed="false">
      <c r="A83" s="12"/>
      <c r="B83" s="12"/>
      <c r="C83" s="12"/>
      <c r="D83" s="13"/>
      <c r="E83" s="13"/>
      <c r="F83" s="14"/>
      <c r="G83" s="12"/>
      <c r="H83" s="12"/>
      <c r="I83" s="12"/>
      <c r="J83" s="14"/>
      <c r="K83" s="15" t="str">
        <f aca="false">IF(OR(I83="",J83=""),"",I83*J83)</f>
        <v/>
      </c>
      <c r="L83" s="12"/>
      <c r="M83" s="16"/>
      <c r="N83" s="15" t="str">
        <f aca="false">IF(OR(L83="",M83="",K83=""),"",IF(L83="GANANCIA",(K83-F83)*M83,IF(L83="BRUTO",K83*M83,"")))</f>
        <v/>
      </c>
      <c r="O83" s="17" t="str">
        <f aca="false">IF(D83="","",D83)</f>
        <v/>
      </c>
      <c r="P83" s="18" t="str">
        <f aca="false">IF(I83="","",IF(COUNTIF(Q83:AN83,TRUE())&gt;=I83,"PAGADO",IF(COUNTIF(Q83:AN83,TRUE())&gt;0,"PARCIAL","VIGENTE")))</f>
        <v/>
      </c>
      <c r="Q83" s="19" t="str">
        <f aca="false">IF(OR(I83="",I83&lt;1,O83=""),"",O83+0)</f>
        <v/>
      </c>
      <c r="R83" s="19" t="str">
        <f aca="false">IF(OR(I83="",I83&lt;2,O83=""),"",O83+30)</f>
        <v/>
      </c>
      <c r="S83" s="19" t="str">
        <f aca="false">IF(OR(I83="",I83&lt;3,O83=""),"",O83+60)</f>
        <v/>
      </c>
      <c r="T83" s="19" t="str">
        <f aca="false">IF(OR(I83="",I83&lt;4,O83=""),"",O83+90)</f>
        <v/>
      </c>
      <c r="U83" s="19" t="str">
        <f aca="false">IF(OR(I83="",I83&lt;5,O83=""),"",O83+120)</f>
        <v/>
      </c>
      <c r="V83" s="19" t="str">
        <f aca="false">IF(OR(I83="",I83&lt;6,O83=""),"",O83+150)</f>
        <v/>
      </c>
      <c r="W83" s="19" t="str">
        <f aca="false">IF(OR(I83="",I83&lt;7,O83=""),"",O83+180)</f>
        <v/>
      </c>
      <c r="X83" s="19" t="str">
        <f aca="false">IF(OR(I83="",I83&lt;8,O83=""),"",O83+210)</f>
        <v/>
      </c>
      <c r="Y83" s="19" t="str">
        <f aca="false">IF(OR(I83="",I83&lt;9,O83=""),"",O83+240)</f>
        <v/>
      </c>
      <c r="Z83" s="19" t="str">
        <f aca="false">IF(OR(I83="",I83&lt;10,O83=""),"",O83+270)</f>
        <v/>
      </c>
      <c r="AA83" s="19" t="str">
        <f aca="false">IF(OR(I83="",I83&lt;11,O83=""),"",O83+300)</f>
        <v/>
      </c>
      <c r="AB83" s="19" t="str">
        <f aca="false">IF(OR(I83="",I83&lt;12,O83=""),"",O83+330)</f>
        <v/>
      </c>
      <c r="AC83" s="19" t="str">
        <f aca="false">IF(OR(I83="",I83&lt;13,O83=""),"",O83+360)</f>
        <v/>
      </c>
      <c r="AD83" s="19" t="str">
        <f aca="false">IF(OR(I83="",I83&lt;14,O83=""),"",O83+390)</f>
        <v/>
      </c>
      <c r="AE83" s="19" t="str">
        <f aca="false">IF(OR(I83="",I83&lt;15,O83=""),"",O83+420)</f>
        <v/>
      </c>
      <c r="AF83" s="19" t="str">
        <f aca="false">IF(OR(I83="",I83&lt;16,O83=""),"",O83+450)</f>
        <v/>
      </c>
      <c r="AG83" s="19" t="str">
        <f aca="false">IF(OR(I83="",I83&lt;17,O83=""),"",O83+480)</f>
        <v/>
      </c>
      <c r="AH83" s="19" t="str">
        <f aca="false">IF(OR(I83="",I83&lt;18,O83=""),"",O83+510)</f>
        <v/>
      </c>
      <c r="AI83" s="19" t="str">
        <f aca="false">IF(OR(I83="",I83&lt;19,O83=""),"",O83+540)</f>
        <v/>
      </c>
      <c r="AJ83" s="19" t="str">
        <f aca="false">IF(OR(I83="",I83&lt;20,O83=""),"",O83+570)</f>
        <v/>
      </c>
      <c r="AK83" s="19" t="str">
        <f aca="false">IF(OR(I83="",I83&lt;21,O83=""),"",O83+600)</f>
        <v/>
      </c>
      <c r="AL83" s="19" t="str">
        <f aca="false">IF(OR(I83="",I83&lt;22,O83=""),"",O83+630)</f>
        <v/>
      </c>
      <c r="AM83" s="19" t="str">
        <f aca="false">IF(OR(I83="",I83&lt;23,O83=""),"",O83+660)</f>
        <v/>
      </c>
      <c r="AN83" s="19" t="str">
        <f aca="false">IF(OR(I83="",I83&lt;24,O83=""),"",O83+690)</f>
        <v/>
      </c>
      <c r="AO83" s="15" t="str">
        <f aca="false">IF(J83="","",COUNTIF(Q83:AN83,TRUE())*J83)</f>
        <v/>
      </c>
      <c r="AP83" s="15" t="str">
        <f aca="false">IF(K83="","",K83-AO83)</f>
        <v/>
      </c>
      <c r="AQ83" s="15" t="str">
        <f aca="false">IF(K83="","",K83-F83-IF(N83="",0,N83))</f>
        <v/>
      </c>
    </row>
    <row r="84" customFormat="false" ht="15" hidden="false" customHeight="false" outlineLevel="0" collapsed="false">
      <c r="A84" s="4"/>
      <c r="B84" s="4"/>
      <c r="C84" s="4"/>
      <c r="D84" s="5"/>
      <c r="E84" s="5"/>
      <c r="F84" s="6"/>
      <c r="G84" s="4"/>
      <c r="H84" s="4"/>
      <c r="I84" s="4"/>
      <c r="J84" s="6"/>
      <c r="K84" s="7" t="str">
        <f aca="false">IF(OR(I84="",J84=""),"",I84*J84)</f>
        <v/>
      </c>
      <c r="L84" s="4"/>
      <c r="M84" s="8"/>
      <c r="N84" s="7" t="str">
        <f aca="false">IF(OR(L84="",M84="",K84=""),"",IF(L84="GANANCIA",(K84-F84)*M84,IF(L84="BRUTO",K84*M84,"")))</f>
        <v/>
      </c>
      <c r="O84" s="9" t="str">
        <f aca="false">IF(D84="","",D84)</f>
        <v/>
      </c>
      <c r="P84" s="10" t="str">
        <f aca="false">IF(I84="","",IF(COUNTIF(Q84:AN84,TRUE())&gt;=I84,"PAGADO",IF(COUNTIF(Q84:AN84,TRUE())&gt;0,"PARCIAL","VIGENTE")))</f>
        <v/>
      </c>
      <c r="Q84" s="11" t="str">
        <f aca="false">IF(OR(I84="",I84&lt;1,O84=""),"",O84+0)</f>
        <v/>
      </c>
      <c r="R84" s="11" t="str">
        <f aca="false">IF(OR(I84="",I84&lt;2,O84=""),"",O84+30)</f>
        <v/>
      </c>
      <c r="S84" s="11" t="str">
        <f aca="false">IF(OR(I84="",I84&lt;3,O84=""),"",O84+60)</f>
        <v/>
      </c>
      <c r="T84" s="11" t="str">
        <f aca="false">IF(OR(I84="",I84&lt;4,O84=""),"",O84+90)</f>
        <v/>
      </c>
      <c r="U84" s="11" t="str">
        <f aca="false">IF(OR(I84="",I84&lt;5,O84=""),"",O84+120)</f>
        <v/>
      </c>
      <c r="V84" s="11" t="str">
        <f aca="false">IF(OR(I84="",I84&lt;6,O84=""),"",O84+150)</f>
        <v/>
      </c>
      <c r="W84" s="11" t="str">
        <f aca="false">IF(OR(I84="",I84&lt;7,O84=""),"",O84+180)</f>
        <v/>
      </c>
      <c r="X84" s="11" t="str">
        <f aca="false">IF(OR(I84="",I84&lt;8,O84=""),"",O84+210)</f>
        <v/>
      </c>
      <c r="Y84" s="11" t="str">
        <f aca="false">IF(OR(I84="",I84&lt;9,O84=""),"",O84+240)</f>
        <v/>
      </c>
      <c r="Z84" s="11" t="str">
        <f aca="false">IF(OR(I84="",I84&lt;10,O84=""),"",O84+270)</f>
        <v/>
      </c>
      <c r="AA84" s="11" t="str">
        <f aca="false">IF(OR(I84="",I84&lt;11,O84=""),"",O84+300)</f>
        <v/>
      </c>
      <c r="AB84" s="11" t="str">
        <f aca="false">IF(OR(I84="",I84&lt;12,O84=""),"",O84+330)</f>
        <v/>
      </c>
      <c r="AC84" s="11" t="str">
        <f aca="false">IF(OR(I84="",I84&lt;13,O84=""),"",O84+360)</f>
        <v/>
      </c>
      <c r="AD84" s="11" t="str">
        <f aca="false">IF(OR(I84="",I84&lt;14,O84=""),"",O84+390)</f>
        <v/>
      </c>
      <c r="AE84" s="11" t="str">
        <f aca="false">IF(OR(I84="",I84&lt;15,O84=""),"",O84+420)</f>
        <v/>
      </c>
      <c r="AF84" s="11" t="str">
        <f aca="false">IF(OR(I84="",I84&lt;16,O84=""),"",O84+450)</f>
        <v/>
      </c>
      <c r="AG84" s="11" t="str">
        <f aca="false">IF(OR(I84="",I84&lt;17,O84=""),"",O84+480)</f>
        <v/>
      </c>
      <c r="AH84" s="11" t="str">
        <f aca="false">IF(OR(I84="",I84&lt;18,O84=""),"",O84+510)</f>
        <v/>
      </c>
      <c r="AI84" s="11" t="str">
        <f aca="false">IF(OR(I84="",I84&lt;19,O84=""),"",O84+540)</f>
        <v/>
      </c>
      <c r="AJ84" s="11" t="str">
        <f aca="false">IF(OR(I84="",I84&lt;20,O84=""),"",O84+570)</f>
        <v/>
      </c>
      <c r="AK84" s="11" t="str">
        <f aca="false">IF(OR(I84="",I84&lt;21,O84=""),"",O84+600)</f>
        <v/>
      </c>
      <c r="AL84" s="11" t="str">
        <f aca="false">IF(OR(I84="",I84&lt;22,O84=""),"",O84+630)</f>
        <v/>
      </c>
      <c r="AM84" s="11" t="str">
        <f aca="false">IF(OR(I84="",I84&lt;23,O84=""),"",O84+660)</f>
        <v/>
      </c>
      <c r="AN84" s="11" t="str">
        <f aca="false">IF(OR(I84="",I84&lt;24,O84=""),"",O84+690)</f>
        <v/>
      </c>
      <c r="AO84" s="7" t="str">
        <f aca="false">IF(J84="","",COUNTIF(Q84:AN84,TRUE())*J84)</f>
        <v/>
      </c>
      <c r="AP84" s="7" t="str">
        <f aca="false">IF(K84="","",K84-AO84)</f>
        <v/>
      </c>
      <c r="AQ84" s="7" t="str">
        <f aca="false">IF(K84="","",K84-F84-IF(N84="",0,N84))</f>
        <v/>
      </c>
    </row>
    <row r="85" customFormat="false" ht="15" hidden="false" customHeight="false" outlineLevel="0" collapsed="false">
      <c r="A85" s="12"/>
      <c r="B85" s="12"/>
      <c r="C85" s="12"/>
      <c r="D85" s="13"/>
      <c r="E85" s="13"/>
      <c r="F85" s="14"/>
      <c r="G85" s="12"/>
      <c r="H85" s="12"/>
      <c r="I85" s="12"/>
      <c r="J85" s="14"/>
      <c r="K85" s="15" t="str">
        <f aca="false">IF(OR(I85="",J85=""),"",I85*J85)</f>
        <v/>
      </c>
      <c r="L85" s="12"/>
      <c r="M85" s="16"/>
      <c r="N85" s="15" t="str">
        <f aca="false">IF(OR(L85="",M85="",K85=""),"",IF(L85="GANANCIA",(K85-F85)*M85,IF(L85="BRUTO",K85*M85,"")))</f>
        <v/>
      </c>
      <c r="O85" s="17" t="str">
        <f aca="false">IF(D85="","",D85)</f>
        <v/>
      </c>
      <c r="P85" s="18" t="str">
        <f aca="false">IF(I85="","",IF(COUNTIF(Q85:AN85,TRUE())&gt;=I85,"PAGADO",IF(COUNTIF(Q85:AN85,TRUE())&gt;0,"PARCIAL","VIGENTE")))</f>
        <v/>
      </c>
      <c r="Q85" s="19" t="str">
        <f aca="false">IF(OR(I85="",I85&lt;1,O85=""),"",O85+0)</f>
        <v/>
      </c>
      <c r="R85" s="19" t="str">
        <f aca="false">IF(OR(I85="",I85&lt;2,O85=""),"",O85+30)</f>
        <v/>
      </c>
      <c r="S85" s="19" t="str">
        <f aca="false">IF(OR(I85="",I85&lt;3,O85=""),"",O85+60)</f>
        <v/>
      </c>
      <c r="T85" s="19" t="str">
        <f aca="false">IF(OR(I85="",I85&lt;4,O85=""),"",O85+90)</f>
        <v/>
      </c>
      <c r="U85" s="19" t="str">
        <f aca="false">IF(OR(I85="",I85&lt;5,O85=""),"",O85+120)</f>
        <v/>
      </c>
      <c r="V85" s="19" t="str">
        <f aca="false">IF(OR(I85="",I85&lt;6,O85=""),"",O85+150)</f>
        <v/>
      </c>
      <c r="W85" s="19" t="str">
        <f aca="false">IF(OR(I85="",I85&lt;7,O85=""),"",O85+180)</f>
        <v/>
      </c>
      <c r="X85" s="19" t="str">
        <f aca="false">IF(OR(I85="",I85&lt;8,O85=""),"",O85+210)</f>
        <v/>
      </c>
      <c r="Y85" s="19" t="str">
        <f aca="false">IF(OR(I85="",I85&lt;9,O85=""),"",O85+240)</f>
        <v/>
      </c>
      <c r="Z85" s="19" t="str">
        <f aca="false">IF(OR(I85="",I85&lt;10,O85=""),"",O85+270)</f>
        <v/>
      </c>
      <c r="AA85" s="19" t="str">
        <f aca="false">IF(OR(I85="",I85&lt;11,O85=""),"",O85+300)</f>
        <v/>
      </c>
      <c r="AB85" s="19" t="str">
        <f aca="false">IF(OR(I85="",I85&lt;12,O85=""),"",O85+330)</f>
        <v/>
      </c>
      <c r="AC85" s="19" t="str">
        <f aca="false">IF(OR(I85="",I85&lt;13,O85=""),"",O85+360)</f>
        <v/>
      </c>
      <c r="AD85" s="19" t="str">
        <f aca="false">IF(OR(I85="",I85&lt;14,O85=""),"",O85+390)</f>
        <v/>
      </c>
      <c r="AE85" s="19" t="str">
        <f aca="false">IF(OR(I85="",I85&lt;15,O85=""),"",O85+420)</f>
        <v/>
      </c>
      <c r="AF85" s="19" t="str">
        <f aca="false">IF(OR(I85="",I85&lt;16,O85=""),"",O85+450)</f>
        <v/>
      </c>
      <c r="AG85" s="19" t="str">
        <f aca="false">IF(OR(I85="",I85&lt;17,O85=""),"",O85+480)</f>
        <v/>
      </c>
      <c r="AH85" s="19" t="str">
        <f aca="false">IF(OR(I85="",I85&lt;18,O85=""),"",O85+510)</f>
        <v/>
      </c>
      <c r="AI85" s="19" t="str">
        <f aca="false">IF(OR(I85="",I85&lt;19,O85=""),"",O85+540)</f>
        <v/>
      </c>
      <c r="AJ85" s="19" t="str">
        <f aca="false">IF(OR(I85="",I85&lt;20,O85=""),"",O85+570)</f>
        <v/>
      </c>
      <c r="AK85" s="19" t="str">
        <f aca="false">IF(OR(I85="",I85&lt;21,O85=""),"",O85+600)</f>
        <v/>
      </c>
      <c r="AL85" s="19" t="str">
        <f aca="false">IF(OR(I85="",I85&lt;22,O85=""),"",O85+630)</f>
        <v/>
      </c>
      <c r="AM85" s="19" t="str">
        <f aca="false">IF(OR(I85="",I85&lt;23,O85=""),"",O85+660)</f>
        <v/>
      </c>
      <c r="AN85" s="19" t="str">
        <f aca="false">IF(OR(I85="",I85&lt;24,O85=""),"",O85+690)</f>
        <v/>
      </c>
      <c r="AO85" s="15" t="str">
        <f aca="false">IF(J85="","",COUNTIF(Q85:AN85,TRUE())*J85)</f>
        <v/>
      </c>
      <c r="AP85" s="15" t="str">
        <f aca="false">IF(K85="","",K85-AO85)</f>
        <v/>
      </c>
      <c r="AQ85" s="15" t="str">
        <f aca="false">IF(K85="","",K85-F85-IF(N85="",0,N85))</f>
        <v/>
      </c>
    </row>
    <row r="86" customFormat="false" ht="15" hidden="false" customHeight="false" outlineLevel="0" collapsed="false">
      <c r="A86" s="4"/>
      <c r="B86" s="4"/>
      <c r="C86" s="4"/>
      <c r="D86" s="5"/>
      <c r="E86" s="5"/>
      <c r="F86" s="6"/>
      <c r="G86" s="4"/>
      <c r="H86" s="4"/>
      <c r="I86" s="4"/>
      <c r="J86" s="6"/>
      <c r="K86" s="7" t="str">
        <f aca="false">IF(OR(I86="",J86=""),"",I86*J86)</f>
        <v/>
      </c>
      <c r="L86" s="4"/>
      <c r="M86" s="8"/>
      <c r="N86" s="7" t="str">
        <f aca="false">IF(OR(L86="",M86="",K86=""),"",IF(L86="GANANCIA",(K86-F86)*M86,IF(L86="BRUTO",K86*M86,"")))</f>
        <v/>
      </c>
      <c r="O86" s="9" t="str">
        <f aca="false">IF(D86="","",D86)</f>
        <v/>
      </c>
      <c r="P86" s="10" t="str">
        <f aca="false">IF(I86="","",IF(COUNTIF(Q86:AN86,TRUE())&gt;=I86,"PAGADO",IF(COUNTIF(Q86:AN86,TRUE())&gt;0,"PARCIAL","VIGENTE")))</f>
        <v/>
      </c>
      <c r="Q86" s="11" t="str">
        <f aca="false">IF(OR(I86="",I86&lt;1,O86=""),"",O86+0)</f>
        <v/>
      </c>
      <c r="R86" s="11" t="str">
        <f aca="false">IF(OR(I86="",I86&lt;2,O86=""),"",O86+30)</f>
        <v/>
      </c>
      <c r="S86" s="11" t="str">
        <f aca="false">IF(OR(I86="",I86&lt;3,O86=""),"",O86+60)</f>
        <v/>
      </c>
      <c r="T86" s="11" t="str">
        <f aca="false">IF(OR(I86="",I86&lt;4,O86=""),"",O86+90)</f>
        <v/>
      </c>
      <c r="U86" s="11" t="str">
        <f aca="false">IF(OR(I86="",I86&lt;5,O86=""),"",O86+120)</f>
        <v/>
      </c>
      <c r="V86" s="11" t="str">
        <f aca="false">IF(OR(I86="",I86&lt;6,O86=""),"",O86+150)</f>
        <v/>
      </c>
      <c r="W86" s="11" t="str">
        <f aca="false">IF(OR(I86="",I86&lt;7,O86=""),"",O86+180)</f>
        <v/>
      </c>
      <c r="X86" s="11" t="str">
        <f aca="false">IF(OR(I86="",I86&lt;8,O86=""),"",O86+210)</f>
        <v/>
      </c>
      <c r="Y86" s="11" t="str">
        <f aca="false">IF(OR(I86="",I86&lt;9,O86=""),"",O86+240)</f>
        <v/>
      </c>
      <c r="Z86" s="11" t="str">
        <f aca="false">IF(OR(I86="",I86&lt;10,O86=""),"",O86+270)</f>
        <v/>
      </c>
      <c r="AA86" s="11" t="str">
        <f aca="false">IF(OR(I86="",I86&lt;11,O86=""),"",O86+300)</f>
        <v/>
      </c>
      <c r="AB86" s="11" t="str">
        <f aca="false">IF(OR(I86="",I86&lt;12,O86=""),"",O86+330)</f>
        <v/>
      </c>
      <c r="AC86" s="11" t="str">
        <f aca="false">IF(OR(I86="",I86&lt;13,O86=""),"",O86+360)</f>
        <v/>
      </c>
      <c r="AD86" s="11" t="str">
        <f aca="false">IF(OR(I86="",I86&lt;14,O86=""),"",O86+390)</f>
        <v/>
      </c>
      <c r="AE86" s="11" t="str">
        <f aca="false">IF(OR(I86="",I86&lt;15,O86=""),"",O86+420)</f>
        <v/>
      </c>
      <c r="AF86" s="11" t="str">
        <f aca="false">IF(OR(I86="",I86&lt;16,O86=""),"",O86+450)</f>
        <v/>
      </c>
      <c r="AG86" s="11" t="str">
        <f aca="false">IF(OR(I86="",I86&lt;17,O86=""),"",O86+480)</f>
        <v/>
      </c>
      <c r="AH86" s="11" t="str">
        <f aca="false">IF(OR(I86="",I86&lt;18,O86=""),"",O86+510)</f>
        <v/>
      </c>
      <c r="AI86" s="11" t="str">
        <f aca="false">IF(OR(I86="",I86&lt;19,O86=""),"",O86+540)</f>
        <v/>
      </c>
      <c r="AJ86" s="11" t="str">
        <f aca="false">IF(OR(I86="",I86&lt;20,O86=""),"",O86+570)</f>
        <v/>
      </c>
      <c r="AK86" s="11" t="str">
        <f aca="false">IF(OR(I86="",I86&lt;21,O86=""),"",O86+600)</f>
        <v/>
      </c>
      <c r="AL86" s="11" t="str">
        <f aca="false">IF(OR(I86="",I86&lt;22,O86=""),"",O86+630)</f>
        <v/>
      </c>
      <c r="AM86" s="11" t="str">
        <f aca="false">IF(OR(I86="",I86&lt;23,O86=""),"",O86+660)</f>
        <v/>
      </c>
      <c r="AN86" s="11" t="str">
        <f aca="false">IF(OR(I86="",I86&lt;24,O86=""),"",O86+690)</f>
        <v/>
      </c>
      <c r="AO86" s="7" t="str">
        <f aca="false">IF(J86="","",COUNTIF(Q86:AN86,TRUE())*J86)</f>
        <v/>
      </c>
      <c r="AP86" s="7" t="str">
        <f aca="false">IF(K86="","",K86-AO86)</f>
        <v/>
      </c>
      <c r="AQ86" s="7" t="str">
        <f aca="false">IF(K86="","",K86-F86-IF(N86="",0,N86))</f>
        <v/>
      </c>
    </row>
    <row r="87" customFormat="false" ht="15" hidden="false" customHeight="false" outlineLevel="0" collapsed="false">
      <c r="A87" s="12"/>
      <c r="B87" s="12"/>
      <c r="C87" s="12"/>
      <c r="D87" s="13"/>
      <c r="E87" s="13"/>
      <c r="F87" s="14"/>
      <c r="G87" s="12"/>
      <c r="H87" s="12"/>
      <c r="I87" s="12"/>
      <c r="J87" s="14"/>
      <c r="K87" s="15" t="str">
        <f aca="false">IF(OR(I87="",J87=""),"",I87*J87)</f>
        <v/>
      </c>
      <c r="L87" s="12"/>
      <c r="M87" s="16"/>
      <c r="N87" s="15" t="str">
        <f aca="false">IF(OR(L87="",M87="",K87=""),"",IF(L87="GANANCIA",(K87-F87)*M87,IF(L87="BRUTO",K87*M87,"")))</f>
        <v/>
      </c>
      <c r="O87" s="17" t="str">
        <f aca="false">IF(D87="","",D87)</f>
        <v/>
      </c>
      <c r="P87" s="18" t="str">
        <f aca="false">IF(I87="","",IF(COUNTIF(Q87:AN87,TRUE())&gt;=I87,"PAGADO",IF(COUNTIF(Q87:AN87,TRUE())&gt;0,"PARCIAL","VIGENTE")))</f>
        <v/>
      </c>
      <c r="Q87" s="19" t="str">
        <f aca="false">IF(OR(I87="",I87&lt;1,O87=""),"",O87+0)</f>
        <v/>
      </c>
      <c r="R87" s="19" t="str">
        <f aca="false">IF(OR(I87="",I87&lt;2,O87=""),"",O87+30)</f>
        <v/>
      </c>
      <c r="S87" s="19" t="str">
        <f aca="false">IF(OR(I87="",I87&lt;3,O87=""),"",O87+60)</f>
        <v/>
      </c>
      <c r="T87" s="19" t="str">
        <f aca="false">IF(OR(I87="",I87&lt;4,O87=""),"",O87+90)</f>
        <v/>
      </c>
      <c r="U87" s="19" t="str">
        <f aca="false">IF(OR(I87="",I87&lt;5,O87=""),"",O87+120)</f>
        <v/>
      </c>
      <c r="V87" s="19" t="str">
        <f aca="false">IF(OR(I87="",I87&lt;6,O87=""),"",O87+150)</f>
        <v/>
      </c>
      <c r="W87" s="19" t="str">
        <f aca="false">IF(OR(I87="",I87&lt;7,O87=""),"",O87+180)</f>
        <v/>
      </c>
      <c r="X87" s="19" t="str">
        <f aca="false">IF(OR(I87="",I87&lt;8,O87=""),"",O87+210)</f>
        <v/>
      </c>
      <c r="Y87" s="19" t="str">
        <f aca="false">IF(OR(I87="",I87&lt;9,O87=""),"",O87+240)</f>
        <v/>
      </c>
      <c r="Z87" s="19" t="str">
        <f aca="false">IF(OR(I87="",I87&lt;10,O87=""),"",O87+270)</f>
        <v/>
      </c>
      <c r="AA87" s="19" t="str">
        <f aca="false">IF(OR(I87="",I87&lt;11,O87=""),"",O87+300)</f>
        <v/>
      </c>
      <c r="AB87" s="19" t="str">
        <f aca="false">IF(OR(I87="",I87&lt;12,O87=""),"",O87+330)</f>
        <v/>
      </c>
      <c r="AC87" s="19" t="str">
        <f aca="false">IF(OR(I87="",I87&lt;13,O87=""),"",O87+360)</f>
        <v/>
      </c>
      <c r="AD87" s="19" t="str">
        <f aca="false">IF(OR(I87="",I87&lt;14,O87=""),"",O87+390)</f>
        <v/>
      </c>
      <c r="AE87" s="19" t="str">
        <f aca="false">IF(OR(I87="",I87&lt;15,O87=""),"",O87+420)</f>
        <v/>
      </c>
      <c r="AF87" s="19" t="str">
        <f aca="false">IF(OR(I87="",I87&lt;16,O87=""),"",O87+450)</f>
        <v/>
      </c>
      <c r="AG87" s="19" t="str">
        <f aca="false">IF(OR(I87="",I87&lt;17,O87=""),"",O87+480)</f>
        <v/>
      </c>
      <c r="AH87" s="19" t="str">
        <f aca="false">IF(OR(I87="",I87&lt;18,O87=""),"",O87+510)</f>
        <v/>
      </c>
      <c r="AI87" s="19" t="str">
        <f aca="false">IF(OR(I87="",I87&lt;19,O87=""),"",O87+540)</f>
        <v/>
      </c>
      <c r="AJ87" s="19" t="str">
        <f aca="false">IF(OR(I87="",I87&lt;20,O87=""),"",O87+570)</f>
        <v/>
      </c>
      <c r="AK87" s="19" t="str">
        <f aca="false">IF(OR(I87="",I87&lt;21,O87=""),"",O87+600)</f>
        <v/>
      </c>
      <c r="AL87" s="19" t="str">
        <f aca="false">IF(OR(I87="",I87&lt;22,O87=""),"",O87+630)</f>
        <v/>
      </c>
      <c r="AM87" s="19" t="str">
        <f aca="false">IF(OR(I87="",I87&lt;23,O87=""),"",O87+660)</f>
        <v/>
      </c>
      <c r="AN87" s="19" t="str">
        <f aca="false">IF(OR(I87="",I87&lt;24,O87=""),"",O87+690)</f>
        <v/>
      </c>
      <c r="AO87" s="15" t="str">
        <f aca="false">IF(J87="","",COUNTIF(Q87:AN87,TRUE())*J87)</f>
        <v/>
      </c>
      <c r="AP87" s="15" t="str">
        <f aca="false">IF(K87="","",K87-AO87)</f>
        <v/>
      </c>
      <c r="AQ87" s="15" t="str">
        <f aca="false">IF(K87="","",K87-F87-IF(N87="",0,N87))</f>
        <v/>
      </c>
    </row>
    <row r="88" customFormat="false" ht="15" hidden="false" customHeight="false" outlineLevel="0" collapsed="false">
      <c r="A88" s="4"/>
      <c r="B88" s="4"/>
      <c r="C88" s="4"/>
      <c r="D88" s="5"/>
      <c r="E88" s="5"/>
      <c r="F88" s="6"/>
      <c r="G88" s="4"/>
      <c r="H88" s="4"/>
      <c r="I88" s="4"/>
      <c r="J88" s="6"/>
      <c r="K88" s="7" t="str">
        <f aca="false">IF(OR(I88="",J88=""),"",I88*J88)</f>
        <v/>
      </c>
      <c r="L88" s="4"/>
      <c r="M88" s="8"/>
      <c r="N88" s="7" t="str">
        <f aca="false">IF(OR(L88="",M88="",K88=""),"",IF(L88="GANANCIA",(K88-F88)*M88,IF(L88="BRUTO",K88*M88,"")))</f>
        <v/>
      </c>
      <c r="O88" s="9" t="str">
        <f aca="false">IF(D88="","",D88)</f>
        <v/>
      </c>
      <c r="P88" s="10" t="str">
        <f aca="false">IF(I88="","",IF(COUNTIF(Q88:AN88,TRUE())&gt;=I88,"PAGADO",IF(COUNTIF(Q88:AN88,TRUE())&gt;0,"PARCIAL","VIGENTE")))</f>
        <v/>
      </c>
      <c r="Q88" s="11" t="str">
        <f aca="false">IF(OR(I88="",I88&lt;1,O88=""),"",O88+0)</f>
        <v/>
      </c>
      <c r="R88" s="11" t="str">
        <f aca="false">IF(OR(I88="",I88&lt;2,O88=""),"",O88+30)</f>
        <v/>
      </c>
      <c r="S88" s="11" t="str">
        <f aca="false">IF(OR(I88="",I88&lt;3,O88=""),"",O88+60)</f>
        <v/>
      </c>
      <c r="T88" s="11" t="str">
        <f aca="false">IF(OR(I88="",I88&lt;4,O88=""),"",O88+90)</f>
        <v/>
      </c>
      <c r="U88" s="11" t="str">
        <f aca="false">IF(OR(I88="",I88&lt;5,O88=""),"",O88+120)</f>
        <v/>
      </c>
      <c r="V88" s="11" t="str">
        <f aca="false">IF(OR(I88="",I88&lt;6,O88=""),"",O88+150)</f>
        <v/>
      </c>
      <c r="W88" s="11" t="str">
        <f aca="false">IF(OR(I88="",I88&lt;7,O88=""),"",O88+180)</f>
        <v/>
      </c>
      <c r="X88" s="11" t="str">
        <f aca="false">IF(OR(I88="",I88&lt;8,O88=""),"",O88+210)</f>
        <v/>
      </c>
      <c r="Y88" s="11" t="str">
        <f aca="false">IF(OR(I88="",I88&lt;9,O88=""),"",O88+240)</f>
        <v/>
      </c>
      <c r="Z88" s="11" t="str">
        <f aca="false">IF(OR(I88="",I88&lt;10,O88=""),"",O88+270)</f>
        <v/>
      </c>
      <c r="AA88" s="11" t="str">
        <f aca="false">IF(OR(I88="",I88&lt;11,O88=""),"",O88+300)</f>
        <v/>
      </c>
      <c r="AB88" s="11" t="str">
        <f aca="false">IF(OR(I88="",I88&lt;12,O88=""),"",O88+330)</f>
        <v/>
      </c>
      <c r="AC88" s="11" t="str">
        <f aca="false">IF(OR(I88="",I88&lt;13,O88=""),"",O88+360)</f>
        <v/>
      </c>
      <c r="AD88" s="11" t="str">
        <f aca="false">IF(OR(I88="",I88&lt;14,O88=""),"",O88+390)</f>
        <v/>
      </c>
      <c r="AE88" s="11" t="str">
        <f aca="false">IF(OR(I88="",I88&lt;15,O88=""),"",O88+420)</f>
        <v/>
      </c>
      <c r="AF88" s="11" t="str">
        <f aca="false">IF(OR(I88="",I88&lt;16,O88=""),"",O88+450)</f>
        <v/>
      </c>
      <c r="AG88" s="11" t="str">
        <f aca="false">IF(OR(I88="",I88&lt;17,O88=""),"",O88+480)</f>
        <v/>
      </c>
      <c r="AH88" s="11" t="str">
        <f aca="false">IF(OR(I88="",I88&lt;18,O88=""),"",O88+510)</f>
        <v/>
      </c>
      <c r="AI88" s="11" t="str">
        <f aca="false">IF(OR(I88="",I88&lt;19,O88=""),"",O88+540)</f>
        <v/>
      </c>
      <c r="AJ88" s="11" t="str">
        <f aca="false">IF(OR(I88="",I88&lt;20,O88=""),"",O88+570)</f>
        <v/>
      </c>
      <c r="AK88" s="11" t="str">
        <f aca="false">IF(OR(I88="",I88&lt;21,O88=""),"",O88+600)</f>
        <v/>
      </c>
      <c r="AL88" s="11" t="str">
        <f aca="false">IF(OR(I88="",I88&lt;22,O88=""),"",O88+630)</f>
        <v/>
      </c>
      <c r="AM88" s="11" t="str">
        <f aca="false">IF(OR(I88="",I88&lt;23,O88=""),"",O88+660)</f>
        <v/>
      </c>
      <c r="AN88" s="11" t="str">
        <f aca="false">IF(OR(I88="",I88&lt;24,O88=""),"",O88+690)</f>
        <v/>
      </c>
      <c r="AO88" s="7" t="str">
        <f aca="false">IF(J88="","",COUNTIF(Q88:AN88,TRUE())*J88)</f>
        <v/>
      </c>
      <c r="AP88" s="7" t="str">
        <f aca="false">IF(K88="","",K88-AO88)</f>
        <v/>
      </c>
      <c r="AQ88" s="7" t="str">
        <f aca="false">IF(K88="","",K88-F88-IF(N88="",0,N88))</f>
        <v/>
      </c>
    </row>
    <row r="89" customFormat="false" ht="15" hidden="false" customHeight="false" outlineLevel="0" collapsed="false">
      <c r="A89" s="12"/>
      <c r="B89" s="12"/>
      <c r="C89" s="12"/>
      <c r="D89" s="13"/>
      <c r="E89" s="13"/>
      <c r="F89" s="14"/>
      <c r="G89" s="12"/>
      <c r="H89" s="12"/>
      <c r="I89" s="12"/>
      <c r="J89" s="14"/>
      <c r="K89" s="15" t="str">
        <f aca="false">IF(OR(I89="",J89=""),"",I89*J89)</f>
        <v/>
      </c>
      <c r="L89" s="12"/>
      <c r="M89" s="16"/>
      <c r="N89" s="15" t="str">
        <f aca="false">IF(OR(L89="",M89="",K89=""),"",IF(L89="GANANCIA",(K89-F89)*M89,IF(L89="BRUTO",K89*M89,"")))</f>
        <v/>
      </c>
      <c r="O89" s="17" t="str">
        <f aca="false">IF(D89="","",D89)</f>
        <v/>
      </c>
      <c r="P89" s="18" t="str">
        <f aca="false">IF(I89="","",IF(COUNTIF(Q89:AN89,TRUE())&gt;=I89,"PAGADO",IF(COUNTIF(Q89:AN89,TRUE())&gt;0,"PARCIAL","VIGENTE")))</f>
        <v/>
      </c>
      <c r="Q89" s="19" t="str">
        <f aca="false">IF(OR(I89="",I89&lt;1,O89=""),"",O89+0)</f>
        <v/>
      </c>
      <c r="R89" s="19" t="str">
        <f aca="false">IF(OR(I89="",I89&lt;2,O89=""),"",O89+30)</f>
        <v/>
      </c>
      <c r="S89" s="19" t="str">
        <f aca="false">IF(OR(I89="",I89&lt;3,O89=""),"",O89+60)</f>
        <v/>
      </c>
      <c r="T89" s="19" t="str">
        <f aca="false">IF(OR(I89="",I89&lt;4,O89=""),"",O89+90)</f>
        <v/>
      </c>
      <c r="U89" s="19" t="str">
        <f aca="false">IF(OR(I89="",I89&lt;5,O89=""),"",O89+120)</f>
        <v/>
      </c>
      <c r="V89" s="19" t="str">
        <f aca="false">IF(OR(I89="",I89&lt;6,O89=""),"",O89+150)</f>
        <v/>
      </c>
      <c r="W89" s="19" t="str">
        <f aca="false">IF(OR(I89="",I89&lt;7,O89=""),"",O89+180)</f>
        <v/>
      </c>
      <c r="X89" s="19" t="str">
        <f aca="false">IF(OR(I89="",I89&lt;8,O89=""),"",O89+210)</f>
        <v/>
      </c>
      <c r="Y89" s="19" t="str">
        <f aca="false">IF(OR(I89="",I89&lt;9,O89=""),"",O89+240)</f>
        <v/>
      </c>
      <c r="Z89" s="19" t="str">
        <f aca="false">IF(OR(I89="",I89&lt;10,O89=""),"",O89+270)</f>
        <v/>
      </c>
      <c r="AA89" s="19" t="str">
        <f aca="false">IF(OR(I89="",I89&lt;11,O89=""),"",O89+300)</f>
        <v/>
      </c>
      <c r="AB89" s="19" t="str">
        <f aca="false">IF(OR(I89="",I89&lt;12,O89=""),"",O89+330)</f>
        <v/>
      </c>
      <c r="AC89" s="19" t="str">
        <f aca="false">IF(OR(I89="",I89&lt;13,O89=""),"",O89+360)</f>
        <v/>
      </c>
      <c r="AD89" s="19" t="str">
        <f aca="false">IF(OR(I89="",I89&lt;14,O89=""),"",O89+390)</f>
        <v/>
      </c>
      <c r="AE89" s="19" t="str">
        <f aca="false">IF(OR(I89="",I89&lt;15,O89=""),"",O89+420)</f>
        <v/>
      </c>
      <c r="AF89" s="19" t="str">
        <f aca="false">IF(OR(I89="",I89&lt;16,O89=""),"",O89+450)</f>
        <v/>
      </c>
      <c r="AG89" s="19" t="str">
        <f aca="false">IF(OR(I89="",I89&lt;17,O89=""),"",O89+480)</f>
        <v/>
      </c>
      <c r="AH89" s="19" t="str">
        <f aca="false">IF(OR(I89="",I89&lt;18,O89=""),"",O89+510)</f>
        <v/>
      </c>
      <c r="AI89" s="19" t="str">
        <f aca="false">IF(OR(I89="",I89&lt;19,O89=""),"",O89+540)</f>
        <v/>
      </c>
      <c r="AJ89" s="19" t="str">
        <f aca="false">IF(OR(I89="",I89&lt;20,O89=""),"",O89+570)</f>
        <v/>
      </c>
      <c r="AK89" s="19" t="str">
        <f aca="false">IF(OR(I89="",I89&lt;21,O89=""),"",O89+600)</f>
        <v/>
      </c>
      <c r="AL89" s="19" t="str">
        <f aca="false">IF(OR(I89="",I89&lt;22,O89=""),"",O89+630)</f>
        <v/>
      </c>
      <c r="AM89" s="19" t="str">
        <f aca="false">IF(OR(I89="",I89&lt;23,O89=""),"",O89+660)</f>
        <v/>
      </c>
      <c r="AN89" s="19" t="str">
        <f aca="false">IF(OR(I89="",I89&lt;24,O89=""),"",O89+690)</f>
        <v/>
      </c>
      <c r="AO89" s="15" t="str">
        <f aca="false">IF(J89="","",COUNTIF(Q89:AN89,TRUE())*J89)</f>
        <v/>
      </c>
      <c r="AP89" s="15" t="str">
        <f aca="false">IF(K89="","",K89-AO89)</f>
        <v/>
      </c>
      <c r="AQ89" s="15" t="str">
        <f aca="false">IF(K89="","",K89-F89-IF(N89="",0,N89))</f>
        <v/>
      </c>
    </row>
    <row r="90" customFormat="false" ht="15" hidden="false" customHeight="false" outlineLevel="0" collapsed="false">
      <c r="A90" s="4"/>
      <c r="B90" s="4"/>
      <c r="C90" s="4"/>
      <c r="D90" s="5"/>
      <c r="E90" s="5"/>
      <c r="F90" s="6"/>
      <c r="G90" s="4"/>
      <c r="H90" s="4"/>
      <c r="I90" s="4"/>
      <c r="J90" s="6"/>
      <c r="K90" s="7" t="str">
        <f aca="false">IF(OR(I90="",J90=""),"",I90*J90)</f>
        <v/>
      </c>
      <c r="L90" s="4"/>
      <c r="M90" s="8"/>
      <c r="N90" s="7" t="str">
        <f aca="false">IF(OR(L90="",M90="",K90=""),"",IF(L90="GANANCIA",(K90-F90)*M90,IF(L90="BRUTO",K90*M90,"")))</f>
        <v/>
      </c>
      <c r="O90" s="9" t="str">
        <f aca="false">IF(D90="","",D90)</f>
        <v/>
      </c>
      <c r="P90" s="10" t="str">
        <f aca="false">IF(I90="","",IF(COUNTIF(Q90:AN90,TRUE())&gt;=I90,"PAGADO",IF(COUNTIF(Q90:AN90,TRUE())&gt;0,"PARCIAL","VIGENTE")))</f>
        <v/>
      </c>
      <c r="Q90" s="11" t="str">
        <f aca="false">IF(OR(I90="",I90&lt;1,O90=""),"",O90+0)</f>
        <v/>
      </c>
      <c r="R90" s="11" t="str">
        <f aca="false">IF(OR(I90="",I90&lt;2,O90=""),"",O90+30)</f>
        <v/>
      </c>
      <c r="S90" s="11" t="str">
        <f aca="false">IF(OR(I90="",I90&lt;3,O90=""),"",O90+60)</f>
        <v/>
      </c>
      <c r="T90" s="11" t="str">
        <f aca="false">IF(OR(I90="",I90&lt;4,O90=""),"",O90+90)</f>
        <v/>
      </c>
      <c r="U90" s="11" t="str">
        <f aca="false">IF(OR(I90="",I90&lt;5,O90=""),"",O90+120)</f>
        <v/>
      </c>
      <c r="V90" s="11" t="str">
        <f aca="false">IF(OR(I90="",I90&lt;6,O90=""),"",O90+150)</f>
        <v/>
      </c>
      <c r="W90" s="11" t="str">
        <f aca="false">IF(OR(I90="",I90&lt;7,O90=""),"",O90+180)</f>
        <v/>
      </c>
      <c r="X90" s="11" t="str">
        <f aca="false">IF(OR(I90="",I90&lt;8,O90=""),"",O90+210)</f>
        <v/>
      </c>
      <c r="Y90" s="11" t="str">
        <f aca="false">IF(OR(I90="",I90&lt;9,O90=""),"",O90+240)</f>
        <v/>
      </c>
      <c r="Z90" s="11" t="str">
        <f aca="false">IF(OR(I90="",I90&lt;10,O90=""),"",O90+270)</f>
        <v/>
      </c>
      <c r="AA90" s="11" t="str">
        <f aca="false">IF(OR(I90="",I90&lt;11,O90=""),"",O90+300)</f>
        <v/>
      </c>
      <c r="AB90" s="11" t="str">
        <f aca="false">IF(OR(I90="",I90&lt;12,O90=""),"",O90+330)</f>
        <v/>
      </c>
      <c r="AC90" s="11" t="str">
        <f aca="false">IF(OR(I90="",I90&lt;13,O90=""),"",O90+360)</f>
        <v/>
      </c>
      <c r="AD90" s="11" t="str">
        <f aca="false">IF(OR(I90="",I90&lt;14,O90=""),"",O90+390)</f>
        <v/>
      </c>
      <c r="AE90" s="11" t="str">
        <f aca="false">IF(OR(I90="",I90&lt;15,O90=""),"",O90+420)</f>
        <v/>
      </c>
      <c r="AF90" s="11" t="str">
        <f aca="false">IF(OR(I90="",I90&lt;16,O90=""),"",O90+450)</f>
        <v/>
      </c>
      <c r="AG90" s="11" t="str">
        <f aca="false">IF(OR(I90="",I90&lt;17,O90=""),"",O90+480)</f>
        <v/>
      </c>
      <c r="AH90" s="11" t="str">
        <f aca="false">IF(OR(I90="",I90&lt;18,O90=""),"",O90+510)</f>
        <v/>
      </c>
      <c r="AI90" s="11" t="str">
        <f aca="false">IF(OR(I90="",I90&lt;19,O90=""),"",O90+540)</f>
        <v/>
      </c>
      <c r="AJ90" s="11" t="str">
        <f aca="false">IF(OR(I90="",I90&lt;20,O90=""),"",O90+570)</f>
        <v/>
      </c>
      <c r="AK90" s="11" t="str">
        <f aca="false">IF(OR(I90="",I90&lt;21,O90=""),"",O90+600)</f>
        <v/>
      </c>
      <c r="AL90" s="11" t="str">
        <f aca="false">IF(OR(I90="",I90&lt;22,O90=""),"",O90+630)</f>
        <v/>
      </c>
      <c r="AM90" s="11" t="str">
        <f aca="false">IF(OR(I90="",I90&lt;23,O90=""),"",O90+660)</f>
        <v/>
      </c>
      <c r="AN90" s="11" t="str">
        <f aca="false">IF(OR(I90="",I90&lt;24,O90=""),"",O90+690)</f>
        <v/>
      </c>
      <c r="AO90" s="7" t="str">
        <f aca="false">IF(J90="","",COUNTIF(Q90:AN90,TRUE())*J90)</f>
        <v/>
      </c>
      <c r="AP90" s="7" t="str">
        <f aca="false">IF(K90="","",K90-AO90)</f>
        <v/>
      </c>
      <c r="AQ90" s="7" t="str">
        <f aca="false">IF(K90="","",K90-F90-IF(N90="",0,N90))</f>
        <v/>
      </c>
    </row>
    <row r="91" customFormat="false" ht="15" hidden="false" customHeight="false" outlineLevel="0" collapsed="false">
      <c r="A91" s="12"/>
      <c r="B91" s="12"/>
      <c r="C91" s="12"/>
      <c r="D91" s="13"/>
      <c r="E91" s="13"/>
      <c r="F91" s="14"/>
      <c r="G91" s="12"/>
      <c r="H91" s="12"/>
      <c r="I91" s="12"/>
      <c r="J91" s="14"/>
      <c r="K91" s="15" t="str">
        <f aca="false">IF(OR(I91="",J91=""),"",I91*J91)</f>
        <v/>
      </c>
      <c r="L91" s="12"/>
      <c r="M91" s="16"/>
      <c r="N91" s="15" t="str">
        <f aca="false">IF(OR(L91="",M91="",K91=""),"",IF(L91="GANANCIA",(K91-F91)*M91,IF(L91="BRUTO",K91*M91,"")))</f>
        <v/>
      </c>
      <c r="O91" s="17" t="str">
        <f aca="false">IF(D91="","",D91)</f>
        <v/>
      </c>
      <c r="P91" s="18" t="str">
        <f aca="false">IF(I91="","",IF(COUNTIF(Q91:AN91,TRUE())&gt;=I91,"PAGADO",IF(COUNTIF(Q91:AN91,TRUE())&gt;0,"PARCIAL","VIGENTE")))</f>
        <v/>
      </c>
      <c r="Q91" s="19" t="str">
        <f aca="false">IF(OR(I91="",I91&lt;1,O91=""),"",O91+0)</f>
        <v/>
      </c>
      <c r="R91" s="19" t="str">
        <f aca="false">IF(OR(I91="",I91&lt;2,O91=""),"",O91+30)</f>
        <v/>
      </c>
      <c r="S91" s="19" t="str">
        <f aca="false">IF(OR(I91="",I91&lt;3,O91=""),"",O91+60)</f>
        <v/>
      </c>
      <c r="T91" s="19" t="str">
        <f aca="false">IF(OR(I91="",I91&lt;4,O91=""),"",O91+90)</f>
        <v/>
      </c>
      <c r="U91" s="19" t="str">
        <f aca="false">IF(OR(I91="",I91&lt;5,O91=""),"",O91+120)</f>
        <v/>
      </c>
      <c r="V91" s="19" t="str">
        <f aca="false">IF(OR(I91="",I91&lt;6,O91=""),"",O91+150)</f>
        <v/>
      </c>
      <c r="W91" s="19" t="str">
        <f aca="false">IF(OR(I91="",I91&lt;7,O91=""),"",O91+180)</f>
        <v/>
      </c>
      <c r="X91" s="19" t="str">
        <f aca="false">IF(OR(I91="",I91&lt;8,O91=""),"",O91+210)</f>
        <v/>
      </c>
      <c r="Y91" s="19" t="str">
        <f aca="false">IF(OR(I91="",I91&lt;9,O91=""),"",O91+240)</f>
        <v/>
      </c>
      <c r="Z91" s="19" t="str">
        <f aca="false">IF(OR(I91="",I91&lt;10,O91=""),"",O91+270)</f>
        <v/>
      </c>
      <c r="AA91" s="19" t="str">
        <f aca="false">IF(OR(I91="",I91&lt;11,O91=""),"",O91+300)</f>
        <v/>
      </c>
      <c r="AB91" s="19" t="str">
        <f aca="false">IF(OR(I91="",I91&lt;12,O91=""),"",O91+330)</f>
        <v/>
      </c>
      <c r="AC91" s="19" t="str">
        <f aca="false">IF(OR(I91="",I91&lt;13,O91=""),"",O91+360)</f>
        <v/>
      </c>
      <c r="AD91" s="19" t="str">
        <f aca="false">IF(OR(I91="",I91&lt;14,O91=""),"",O91+390)</f>
        <v/>
      </c>
      <c r="AE91" s="19" t="str">
        <f aca="false">IF(OR(I91="",I91&lt;15,O91=""),"",O91+420)</f>
        <v/>
      </c>
      <c r="AF91" s="19" t="str">
        <f aca="false">IF(OR(I91="",I91&lt;16,O91=""),"",O91+450)</f>
        <v/>
      </c>
      <c r="AG91" s="19" t="str">
        <f aca="false">IF(OR(I91="",I91&lt;17,O91=""),"",O91+480)</f>
        <v/>
      </c>
      <c r="AH91" s="19" t="str">
        <f aca="false">IF(OR(I91="",I91&lt;18,O91=""),"",O91+510)</f>
        <v/>
      </c>
      <c r="AI91" s="19" t="str">
        <f aca="false">IF(OR(I91="",I91&lt;19,O91=""),"",O91+540)</f>
        <v/>
      </c>
      <c r="AJ91" s="19" t="str">
        <f aca="false">IF(OR(I91="",I91&lt;20,O91=""),"",O91+570)</f>
        <v/>
      </c>
      <c r="AK91" s="19" t="str">
        <f aca="false">IF(OR(I91="",I91&lt;21,O91=""),"",O91+600)</f>
        <v/>
      </c>
      <c r="AL91" s="19" t="str">
        <f aca="false">IF(OR(I91="",I91&lt;22,O91=""),"",O91+630)</f>
        <v/>
      </c>
      <c r="AM91" s="19" t="str">
        <f aca="false">IF(OR(I91="",I91&lt;23,O91=""),"",O91+660)</f>
        <v/>
      </c>
      <c r="AN91" s="19" t="str">
        <f aca="false">IF(OR(I91="",I91&lt;24,O91=""),"",O91+690)</f>
        <v/>
      </c>
      <c r="AO91" s="15" t="str">
        <f aca="false">IF(J91="","",COUNTIF(Q91:AN91,TRUE())*J91)</f>
        <v/>
      </c>
      <c r="AP91" s="15" t="str">
        <f aca="false">IF(K91="","",K91-AO91)</f>
        <v/>
      </c>
      <c r="AQ91" s="15" t="str">
        <f aca="false">IF(K91="","",K91-F91-IF(N91="",0,N91))</f>
        <v/>
      </c>
    </row>
    <row r="92" customFormat="false" ht="15" hidden="false" customHeight="false" outlineLevel="0" collapsed="false">
      <c r="A92" s="4"/>
      <c r="B92" s="4"/>
      <c r="C92" s="4"/>
      <c r="D92" s="5"/>
      <c r="E92" s="5"/>
      <c r="F92" s="6"/>
      <c r="G92" s="4"/>
      <c r="H92" s="4"/>
      <c r="I92" s="4"/>
      <c r="J92" s="6"/>
      <c r="K92" s="7" t="str">
        <f aca="false">IF(OR(I92="",J92=""),"",I92*J92)</f>
        <v/>
      </c>
      <c r="L92" s="4"/>
      <c r="M92" s="8"/>
      <c r="N92" s="7" t="str">
        <f aca="false">IF(OR(L92="",M92="",K92=""),"",IF(L92="GANANCIA",(K92-F92)*M92,IF(L92="BRUTO",K92*M92,"")))</f>
        <v/>
      </c>
      <c r="O92" s="9" t="str">
        <f aca="false">IF(D92="","",D92)</f>
        <v/>
      </c>
      <c r="P92" s="10" t="str">
        <f aca="false">IF(I92="","",IF(COUNTIF(Q92:AN92,TRUE())&gt;=I92,"PAGADO",IF(COUNTIF(Q92:AN92,TRUE())&gt;0,"PARCIAL","VIGENTE")))</f>
        <v/>
      </c>
      <c r="Q92" s="11" t="str">
        <f aca="false">IF(OR(I92="",I92&lt;1,O92=""),"",O92+0)</f>
        <v/>
      </c>
      <c r="R92" s="11" t="str">
        <f aca="false">IF(OR(I92="",I92&lt;2,O92=""),"",O92+30)</f>
        <v/>
      </c>
      <c r="S92" s="11" t="str">
        <f aca="false">IF(OR(I92="",I92&lt;3,O92=""),"",O92+60)</f>
        <v/>
      </c>
      <c r="T92" s="11" t="str">
        <f aca="false">IF(OR(I92="",I92&lt;4,O92=""),"",O92+90)</f>
        <v/>
      </c>
      <c r="U92" s="11" t="str">
        <f aca="false">IF(OR(I92="",I92&lt;5,O92=""),"",O92+120)</f>
        <v/>
      </c>
      <c r="V92" s="11" t="str">
        <f aca="false">IF(OR(I92="",I92&lt;6,O92=""),"",O92+150)</f>
        <v/>
      </c>
      <c r="W92" s="11" t="str">
        <f aca="false">IF(OR(I92="",I92&lt;7,O92=""),"",O92+180)</f>
        <v/>
      </c>
      <c r="X92" s="11" t="str">
        <f aca="false">IF(OR(I92="",I92&lt;8,O92=""),"",O92+210)</f>
        <v/>
      </c>
      <c r="Y92" s="11" t="str">
        <f aca="false">IF(OR(I92="",I92&lt;9,O92=""),"",O92+240)</f>
        <v/>
      </c>
      <c r="Z92" s="11" t="str">
        <f aca="false">IF(OR(I92="",I92&lt;10,O92=""),"",O92+270)</f>
        <v/>
      </c>
      <c r="AA92" s="11" t="str">
        <f aca="false">IF(OR(I92="",I92&lt;11,O92=""),"",O92+300)</f>
        <v/>
      </c>
      <c r="AB92" s="11" t="str">
        <f aca="false">IF(OR(I92="",I92&lt;12,O92=""),"",O92+330)</f>
        <v/>
      </c>
      <c r="AC92" s="11" t="str">
        <f aca="false">IF(OR(I92="",I92&lt;13,O92=""),"",O92+360)</f>
        <v/>
      </c>
      <c r="AD92" s="11" t="str">
        <f aca="false">IF(OR(I92="",I92&lt;14,O92=""),"",O92+390)</f>
        <v/>
      </c>
      <c r="AE92" s="11" t="str">
        <f aca="false">IF(OR(I92="",I92&lt;15,O92=""),"",O92+420)</f>
        <v/>
      </c>
      <c r="AF92" s="11" t="str">
        <f aca="false">IF(OR(I92="",I92&lt;16,O92=""),"",O92+450)</f>
        <v/>
      </c>
      <c r="AG92" s="11" t="str">
        <f aca="false">IF(OR(I92="",I92&lt;17,O92=""),"",O92+480)</f>
        <v/>
      </c>
      <c r="AH92" s="11" t="str">
        <f aca="false">IF(OR(I92="",I92&lt;18,O92=""),"",O92+510)</f>
        <v/>
      </c>
      <c r="AI92" s="11" t="str">
        <f aca="false">IF(OR(I92="",I92&lt;19,O92=""),"",O92+540)</f>
        <v/>
      </c>
      <c r="AJ92" s="11" t="str">
        <f aca="false">IF(OR(I92="",I92&lt;20,O92=""),"",O92+570)</f>
        <v/>
      </c>
      <c r="AK92" s="11" t="str">
        <f aca="false">IF(OR(I92="",I92&lt;21,O92=""),"",O92+600)</f>
        <v/>
      </c>
      <c r="AL92" s="11" t="str">
        <f aca="false">IF(OR(I92="",I92&lt;22,O92=""),"",O92+630)</f>
        <v/>
      </c>
      <c r="AM92" s="11" t="str">
        <f aca="false">IF(OR(I92="",I92&lt;23,O92=""),"",O92+660)</f>
        <v/>
      </c>
      <c r="AN92" s="11" t="str">
        <f aca="false">IF(OR(I92="",I92&lt;24,O92=""),"",O92+690)</f>
        <v/>
      </c>
      <c r="AO92" s="7" t="str">
        <f aca="false">IF(J92="","",COUNTIF(Q92:AN92,TRUE())*J92)</f>
        <v/>
      </c>
      <c r="AP92" s="7" t="str">
        <f aca="false">IF(K92="","",K92-AO92)</f>
        <v/>
      </c>
      <c r="AQ92" s="7" t="str">
        <f aca="false">IF(K92="","",K92-F92-IF(N92="",0,N92))</f>
        <v/>
      </c>
    </row>
    <row r="93" customFormat="false" ht="15" hidden="false" customHeight="false" outlineLevel="0" collapsed="false">
      <c r="A93" s="12"/>
      <c r="B93" s="12"/>
      <c r="C93" s="12"/>
      <c r="D93" s="13"/>
      <c r="E93" s="13"/>
      <c r="F93" s="14"/>
      <c r="G93" s="12"/>
      <c r="H93" s="12"/>
      <c r="I93" s="12"/>
      <c r="J93" s="14"/>
      <c r="K93" s="15" t="str">
        <f aca="false">IF(OR(I93="",J93=""),"",I93*J93)</f>
        <v/>
      </c>
      <c r="L93" s="12"/>
      <c r="M93" s="16"/>
      <c r="N93" s="15" t="str">
        <f aca="false">IF(OR(L93="",M93="",K93=""),"",IF(L93="GANANCIA",(K93-F93)*M93,IF(L93="BRUTO",K93*M93,"")))</f>
        <v/>
      </c>
      <c r="O93" s="17" t="str">
        <f aca="false">IF(D93="","",D93)</f>
        <v/>
      </c>
      <c r="P93" s="18" t="str">
        <f aca="false">IF(I93="","",IF(COUNTIF(Q93:AN93,TRUE())&gt;=I93,"PAGADO",IF(COUNTIF(Q93:AN93,TRUE())&gt;0,"PARCIAL","VIGENTE")))</f>
        <v/>
      </c>
      <c r="Q93" s="19" t="str">
        <f aca="false">IF(OR(I93="",I93&lt;1,O93=""),"",O93+0)</f>
        <v/>
      </c>
      <c r="R93" s="19" t="str">
        <f aca="false">IF(OR(I93="",I93&lt;2,O93=""),"",O93+30)</f>
        <v/>
      </c>
      <c r="S93" s="19" t="str">
        <f aca="false">IF(OR(I93="",I93&lt;3,O93=""),"",O93+60)</f>
        <v/>
      </c>
      <c r="T93" s="19" t="str">
        <f aca="false">IF(OR(I93="",I93&lt;4,O93=""),"",O93+90)</f>
        <v/>
      </c>
      <c r="U93" s="19" t="str">
        <f aca="false">IF(OR(I93="",I93&lt;5,O93=""),"",O93+120)</f>
        <v/>
      </c>
      <c r="V93" s="19" t="str">
        <f aca="false">IF(OR(I93="",I93&lt;6,O93=""),"",O93+150)</f>
        <v/>
      </c>
      <c r="W93" s="19" t="str">
        <f aca="false">IF(OR(I93="",I93&lt;7,O93=""),"",O93+180)</f>
        <v/>
      </c>
      <c r="X93" s="19" t="str">
        <f aca="false">IF(OR(I93="",I93&lt;8,O93=""),"",O93+210)</f>
        <v/>
      </c>
      <c r="Y93" s="19" t="str">
        <f aca="false">IF(OR(I93="",I93&lt;9,O93=""),"",O93+240)</f>
        <v/>
      </c>
      <c r="Z93" s="19" t="str">
        <f aca="false">IF(OR(I93="",I93&lt;10,O93=""),"",O93+270)</f>
        <v/>
      </c>
      <c r="AA93" s="19" t="str">
        <f aca="false">IF(OR(I93="",I93&lt;11,O93=""),"",O93+300)</f>
        <v/>
      </c>
      <c r="AB93" s="19" t="str">
        <f aca="false">IF(OR(I93="",I93&lt;12,O93=""),"",O93+330)</f>
        <v/>
      </c>
      <c r="AC93" s="19" t="str">
        <f aca="false">IF(OR(I93="",I93&lt;13,O93=""),"",O93+360)</f>
        <v/>
      </c>
      <c r="AD93" s="19" t="str">
        <f aca="false">IF(OR(I93="",I93&lt;14,O93=""),"",O93+390)</f>
        <v/>
      </c>
      <c r="AE93" s="19" t="str">
        <f aca="false">IF(OR(I93="",I93&lt;15,O93=""),"",O93+420)</f>
        <v/>
      </c>
      <c r="AF93" s="19" t="str">
        <f aca="false">IF(OR(I93="",I93&lt;16,O93=""),"",O93+450)</f>
        <v/>
      </c>
      <c r="AG93" s="19" t="str">
        <f aca="false">IF(OR(I93="",I93&lt;17,O93=""),"",O93+480)</f>
        <v/>
      </c>
      <c r="AH93" s="19" t="str">
        <f aca="false">IF(OR(I93="",I93&lt;18,O93=""),"",O93+510)</f>
        <v/>
      </c>
      <c r="AI93" s="19" t="str">
        <f aca="false">IF(OR(I93="",I93&lt;19,O93=""),"",O93+540)</f>
        <v/>
      </c>
      <c r="AJ93" s="19" t="str">
        <f aca="false">IF(OR(I93="",I93&lt;20,O93=""),"",O93+570)</f>
        <v/>
      </c>
      <c r="AK93" s="19" t="str">
        <f aca="false">IF(OR(I93="",I93&lt;21,O93=""),"",O93+600)</f>
        <v/>
      </c>
      <c r="AL93" s="19" t="str">
        <f aca="false">IF(OR(I93="",I93&lt;22,O93=""),"",O93+630)</f>
        <v/>
      </c>
      <c r="AM93" s="19" t="str">
        <f aca="false">IF(OR(I93="",I93&lt;23,O93=""),"",O93+660)</f>
        <v/>
      </c>
      <c r="AN93" s="19" t="str">
        <f aca="false">IF(OR(I93="",I93&lt;24,O93=""),"",O93+690)</f>
        <v/>
      </c>
      <c r="AO93" s="15" t="str">
        <f aca="false">IF(J93="","",COUNTIF(Q93:AN93,TRUE())*J93)</f>
        <v/>
      </c>
      <c r="AP93" s="15" t="str">
        <f aca="false">IF(K93="","",K93-AO93)</f>
        <v/>
      </c>
      <c r="AQ93" s="15" t="str">
        <f aca="false">IF(K93="","",K93-F93-IF(N93="",0,N93))</f>
        <v/>
      </c>
    </row>
    <row r="94" customFormat="false" ht="15" hidden="false" customHeight="false" outlineLevel="0" collapsed="false">
      <c r="A94" s="4"/>
      <c r="B94" s="4"/>
      <c r="C94" s="4"/>
      <c r="D94" s="5"/>
      <c r="E94" s="5"/>
      <c r="F94" s="6"/>
      <c r="G94" s="4"/>
      <c r="H94" s="4"/>
      <c r="I94" s="4"/>
      <c r="J94" s="6"/>
      <c r="K94" s="7" t="str">
        <f aca="false">IF(OR(I94="",J94=""),"",I94*J94)</f>
        <v/>
      </c>
      <c r="L94" s="4"/>
      <c r="M94" s="8"/>
      <c r="N94" s="7" t="str">
        <f aca="false">IF(OR(L94="",M94="",K94=""),"",IF(L94="GANANCIA",(K94-F94)*M94,IF(L94="BRUTO",K94*M94,"")))</f>
        <v/>
      </c>
      <c r="O94" s="9" t="str">
        <f aca="false">IF(D94="","",D94)</f>
        <v/>
      </c>
      <c r="P94" s="10" t="str">
        <f aca="false">IF(I94="","",IF(COUNTIF(Q94:AN94,TRUE())&gt;=I94,"PAGADO",IF(COUNTIF(Q94:AN94,TRUE())&gt;0,"PARCIAL","VIGENTE")))</f>
        <v/>
      </c>
      <c r="Q94" s="11" t="str">
        <f aca="false">IF(OR(I94="",I94&lt;1,O94=""),"",O94+0)</f>
        <v/>
      </c>
      <c r="R94" s="11" t="str">
        <f aca="false">IF(OR(I94="",I94&lt;2,O94=""),"",O94+30)</f>
        <v/>
      </c>
      <c r="S94" s="11" t="str">
        <f aca="false">IF(OR(I94="",I94&lt;3,O94=""),"",O94+60)</f>
        <v/>
      </c>
      <c r="T94" s="11" t="str">
        <f aca="false">IF(OR(I94="",I94&lt;4,O94=""),"",O94+90)</f>
        <v/>
      </c>
      <c r="U94" s="11" t="str">
        <f aca="false">IF(OR(I94="",I94&lt;5,O94=""),"",O94+120)</f>
        <v/>
      </c>
      <c r="V94" s="11" t="str">
        <f aca="false">IF(OR(I94="",I94&lt;6,O94=""),"",O94+150)</f>
        <v/>
      </c>
      <c r="W94" s="11" t="str">
        <f aca="false">IF(OR(I94="",I94&lt;7,O94=""),"",O94+180)</f>
        <v/>
      </c>
      <c r="X94" s="11" t="str">
        <f aca="false">IF(OR(I94="",I94&lt;8,O94=""),"",O94+210)</f>
        <v/>
      </c>
      <c r="Y94" s="11" t="str">
        <f aca="false">IF(OR(I94="",I94&lt;9,O94=""),"",O94+240)</f>
        <v/>
      </c>
      <c r="Z94" s="11" t="str">
        <f aca="false">IF(OR(I94="",I94&lt;10,O94=""),"",O94+270)</f>
        <v/>
      </c>
      <c r="AA94" s="11" t="str">
        <f aca="false">IF(OR(I94="",I94&lt;11,O94=""),"",O94+300)</f>
        <v/>
      </c>
      <c r="AB94" s="11" t="str">
        <f aca="false">IF(OR(I94="",I94&lt;12,O94=""),"",O94+330)</f>
        <v/>
      </c>
      <c r="AC94" s="11" t="str">
        <f aca="false">IF(OR(I94="",I94&lt;13,O94=""),"",O94+360)</f>
        <v/>
      </c>
      <c r="AD94" s="11" t="str">
        <f aca="false">IF(OR(I94="",I94&lt;14,O94=""),"",O94+390)</f>
        <v/>
      </c>
      <c r="AE94" s="11" t="str">
        <f aca="false">IF(OR(I94="",I94&lt;15,O94=""),"",O94+420)</f>
        <v/>
      </c>
      <c r="AF94" s="11" t="str">
        <f aca="false">IF(OR(I94="",I94&lt;16,O94=""),"",O94+450)</f>
        <v/>
      </c>
      <c r="AG94" s="11" t="str">
        <f aca="false">IF(OR(I94="",I94&lt;17,O94=""),"",O94+480)</f>
        <v/>
      </c>
      <c r="AH94" s="11" t="str">
        <f aca="false">IF(OR(I94="",I94&lt;18,O94=""),"",O94+510)</f>
        <v/>
      </c>
      <c r="AI94" s="11" t="str">
        <f aca="false">IF(OR(I94="",I94&lt;19,O94=""),"",O94+540)</f>
        <v/>
      </c>
      <c r="AJ94" s="11" t="str">
        <f aca="false">IF(OR(I94="",I94&lt;20,O94=""),"",O94+570)</f>
        <v/>
      </c>
      <c r="AK94" s="11" t="str">
        <f aca="false">IF(OR(I94="",I94&lt;21,O94=""),"",O94+600)</f>
        <v/>
      </c>
      <c r="AL94" s="11" t="str">
        <f aca="false">IF(OR(I94="",I94&lt;22,O94=""),"",O94+630)</f>
        <v/>
      </c>
      <c r="AM94" s="11" t="str">
        <f aca="false">IF(OR(I94="",I94&lt;23,O94=""),"",O94+660)</f>
        <v/>
      </c>
      <c r="AN94" s="11" t="str">
        <f aca="false">IF(OR(I94="",I94&lt;24,O94=""),"",O94+690)</f>
        <v/>
      </c>
      <c r="AO94" s="7" t="str">
        <f aca="false">IF(J94="","",COUNTIF(Q94:AN94,TRUE())*J94)</f>
        <v/>
      </c>
      <c r="AP94" s="7" t="str">
        <f aca="false">IF(K94="","",K94-AO94)</f>
        <v/>
      </c>
      <c r="AQ94" s="7" t="str">
        <f aca="false">IF(K94="","",K94-F94-IF(N94="",0,N94))</f>
        <v/>
      </c>
    </row>
    <row r="95" customFormat="false" ht="15" hidden="false" customHeight="false" outlineLevel="0" collapsed="false">
      <c r="A95" s="12"/>
      <c r="B95" s="12"/>
      <c r="C95" s="12"/>
      <c r="D95" s="13"/>
      <c r="E95" s="13"/>
      <c r="F95" s="14"/>
      <c r="G95" s="12"/>
      <c r="H95" s="12"/>
      <c r="I95" s="12"/>
      <c r="J95" s="14"/>
      <c r="K95" s="15" t="str">
        <f aca="false">IF(OR(I95="",J95=""),"",I95*J95)</f>
        <v/>
      </c>
      <c r="L95" s="12"/>
      <c r="M95" s="16"/>
      <c r="N95" s="15" t="str">
        <f aca="false">IF(OR(L95="",M95="",K95=""),"",IF(L95="GANANCIA",(K95-F95)*M95,IF(L95="BRUTO",K95*M95,"")))</f>
        <v/>
      </c>
      <c r="O95" s="17" t="str">
        <f aca="false">IF(D95="","",D95)</f>
        <v/>
      </c>
      <c r="P95" s="18" t="str">
        <f aca="false">IF(I95="","",IF(COUNTIF(Q95:AN95,TRUE())&gt;=I95,"PAGADO",IF(COUNTIF(Q95:AN95,TRUE())&gt;0,"PARCIAL","VIGENTE")))</f>
        <v/>
      </c>
      <c r="Q95" s="19" t="str">
        <f aca="false">IF(OR(I95="",I95&lt;1,O95=""),"",O95+0)</f>
        <v/>
      </c>
      <c r="R95" s="19" t="str">
        <f aca="false">IF(OR(I95="",I95&lt;2,O95=""),"",O95+30)</f>
        <v/>
      </c>
      <c r="S95" s="19" t="str">
        <f aca="false">IF(OR(I95="",I95&lt;3,O95=""),"",O95+60)</f>
        <v/>
      </c>
      <c r="T95" s="19" t="str">
        <f aca="false">IF(OR(I95="",I95&lt;4,O95=""),"",O95+90)</f>
        <v/>
      </c>
      <c r="U95" s="19" t="str">
        <f aca="false">IF(OR(I95="",I95&lt;5,O95=""),"",O95+120)</f>
        <v/>
      </c>
      <c r="V95" s="19" t="str">
        <f aca="false">IF(OR(I95="",I95&lt;6,O95=""),"",O95+150)</f>
        <v/>
      </c>
      <c r="W95" s="19" t="str">
        <f aca="false">IF(OR(I95="",I95&lt;7,O95=""),"",O95+180)</f>
        <v/>
      </c>
      <c r="X95" s="19" t="str">
        <f aca="false">IF(OR(I95="",I95&lt;8,O95=""),"",O95+210)</f>
        <v/>
      </c>
      <c r="Y95" s="19" t="str">
        <f aca="false">IF(OR(I95="",I95&lt;9,O95=""),"",O95+240)</f>
        <v/>
      </c>
      <c r="Z95" s="19" t="str">
        <f aca="false">IF(OR(I95="",I95&lt;10,O95=""),"",O95+270)</f>
        <v/>
      </c>
      <c r="AA95" s="19" t="str">
        <f aca="false">IF(OR(I95="",I95&lt;11,O95=""),"",O95+300)</f>
        <v/>
      </c>
      <c r="AB95" s="19" t="str">
        <f aca="false">IF(OR(I95="",I95&lt;12,O95=""),"",O95+330)</f>
        <v/>
      </c>
      <c r="AC95" s="19" t="str">
        <f aca="false">IF(OR(I95="",I95&lt;13,O95=""),"",O95+360)</f>
        <v/>
      </c>
      <c r="AD95" s="19" t="str">
        <f aca="false">IF(OR(I95="",I95&lt;14,O95=""),"",O95+390)</f>
        <v/>
      </c>
      <c r="AE95" s="19" t="str">
        <f aca="false">IF(OR(I95="",I95&lt;15,O95=""),"",O95+420)</f>
        <v/>
      </c>
      <c r="AF95" s="19" t="str">
        <f aca="false">IF(OR(I95="",I95&lt;16,O95=""),"",O95+450)</f>
        <v/>
      </c>
      <c r="AG95" s="19" t="str">
        <f aca="false">IF(OR(I95="",I95&lt;17,O95=""),"",O95+480)</f>
        <v/>
      </c>
      <c r="AH95" s="19" t="str">
        <f aca="false">IF(OR(I95="",I95&lt;18,O95=""),"",O95+510)</f>
        <v/>
      </c>
      <c r="AI95" s="19" t="str">
        <f aca="false">IF(OR(I95="",I95&lt;19,O95=""),"",O95+540)</f>
        <v/>
      </c>
      <c r="AJ95" s="19" t="str">
        <f aca="false">IF(OR(I95="",I95&lt;20,O95=""),"",O95+570)</f>
        <v/>
      </c>
      <c r="AK95" s="19" t="str">
        <f aca="false">IF(OR(I95="",I95&lt;21,O95=""),"",O95+600)</f>
        <v/>
      </c>
      <c r="AL95" s="19" t="str">
        <f aca="false">IF(OR(I95="",I95&lt;22,O95=""),"",O95+630)</f>
        <v/>
      </c>
      <c r="AM95" s="19" t="str">
        <f aca="false">IF(OR(I95="",I95&lt;23,O95=""),"",O95+660)</f>
        <v/>
      </c>
      <c r="AN95" s="19" t="str">
        <f aca="false">IF(OR(I95="",I95&lt;24,O95=""),"",O95+690)</f>
        <v/>
      </c>
      <c r="AO95" s="15" t="str">
        <f aca="false">IF(J95="","",COUNTIF(Q95:AN95,TRUE())*J95)</f>
        <v/>
      </c>
      <c r="AP95" s="15" t="str">
        <f aca="false">IF(K95="","",K95-AO95)</f>
        <v/>
      </c>
      <c r="AQ95" s="15" t="str">
        <f aca="false">IF(K95="","",K95-F95-IF(N95="",0,N95))</f>
        <v/>
      </c>
    </row>
    <row r="96" customFormat="false" ht="15" hidden="false" customHeight="false" outlineLevel="0" collapsed="false">
      <c r="A96" s="4"/>
      <c r="B96" s="4"/>
      <c r="C96" s="4"/>
      <c r="D96" s="5"/>
      <c r="E96" s="5"/>
      <c r="F96" s="6"/>
      <c r="G96" s="4"/>
      <c r="H96" s="4"/>
      <c r="I96" s="4"/>
      <c r="J96" s="6"/>
      <c r="K96" s="7" t="str">
        <f aca="false">IF(OR(I96="",J96=""),"",I96*J96)</f>
        <v/>
      </c>
      <c r="L96" s="4"/>
      <c r="M96" s="8"/>
      <c r="N96" s="7" t="str">
        <f aca="false">IF(OR(L96="",M96="",K96=""),"",IF(L96="GANANCIA",(K96-F96)*M96,IF(L96="BRUTO",K96*M96,"")))</f>
        <v/>
      </c>
      <c r="O96" s="9" t="str">
        <f aca="false">IF(D96="","",D96)</f>
        <v/>
      </c>
      <c r="P96" s="10" t="str">
        <f aca="false">IF(I96="","",IF(COUNTIF(Q96:AN96,TRUE())&gt;=I96,"PAGADO",IF(COUNTIF(Q96:AN96,TRUE())&gt;0,"PARCIAL","VIGENTE")))</f>
        <v/>
      </c>
      <c r="Q96" s="11" t="str">
        <f aca="false">IF(OR(I96="",I96&lt;1,O96=""),"",O96+0)</f>
        <v/>
      </c>
      <c r="R96" s="11" t="str">
        <f aca="false">IF(OR(I96="",I96&lt;2,O96=""),"",O96+30)</f>
        <v/>
      </c>
      <c r="S96" s="11" t="str">
        <f aca="false">IF(OR(I96="",I96&lt;3,O96=""),"",O96+60)</f>
        <v/>
      </c>
      <c r="T96" s="11" t="str">
        <f aca="false">IF(OR(I96="",I96&lt;4,O96=""),"",O96+90)</f>
        <v/>
      </c>
      <c r="U96" s="11" t="str">
        <f aca="false">IF(OR(I96="",I96&lt;5,O96=""),"",O96+120)</f>
        <v/>
      </c>
      <c r="V96" s="11" t="str">
        <f aca="false">IF(OR(I96="",I96&lt;6,O96=""),"",O96+150)</f>
        <v/>
      </c>
      <c r="W96" s="11" t="str">
        <f aca="false">IF(OR(I96="",I96&lt;7,O96=""),"",O96+180)</f>
        <v/>
      </c>
      <c r="X96" s="11" t="str">
        <f aca="false">IF(OR(I96="",I96&lt;8,O96=""),"",O96+210)</f>
        <v/>
      </c>
      <c r="Y96" s="11" t="str">
        <f aca="false">IF(OR(I96="",I96&lt;9,O96=""),"",O96+240)</f>
        <v/>
      </c>
      <c r="Z96" s="11" t="str">
        <f aca="false">IF(OR(I96="",I96&lt;10,O96=""),"",O96+270)</f>
        <v/>
      </c>
      <c r="AA96" s="11" t="str">
        <f aca="false">IF(OR(I96="",I96&lt;11,O96=""),"",O96+300)</f>
        <v/>
      </c>
      <c r="AB96" s="11" t="str">
        <f aca="false">IF(OR(I96="",I96&lt;12,O96=""),"",O96+330)</f>
        <v/>
      </c>
      <c r="AC96" s="11" t="str">
        <f aca="false">IF(OR(I96="",I96&lt;13,O96=""),"",O96+360)</f>
        <v/>
      </c>
      <c r="AD96" s="11" t="str">
        <f aca="false">IF(OR(I96="",I96&lt;14,O96=""),"",O96+390)</f>
        <v/>
      </c>
      <c r="AE96" s="11" t="str">
        <f aca="false">IF(OR(I96="",I96&lt;15,O96=""),"",O96+420)</f>
        <v/>
      </c>
      <c r="AF96" s="11" t="str">
        <f aca="false">IF(OR(I96="",I96&lt;16,O96=""),"",O96+450)</f>
        <v/>
      </c>
      <c r="AG96" s="11" t="str">
        <f aca="false">IF(OR(I96="",I96&lt;17,O96=""),"",O96+480)</f>
        <v/>
      </c>
      <c r="AH96" s="11" t="str">
        <f aca="false">IF(OR(I96="",I96&lt;18,O96=""),"",O96+510)</f>
        <v/>
      </c>
      <c r="AI96" s="11" t="str">
        <f aca="false">IF(OR(I96="",I96&lt;19,O96=""),"",O96+540)</f>
        <v/>
      </c>
      <c r="AJ96" s="11" t="str">
        <f aca="false">IF(OR(I96="",I96&lt;20,O96=""),"",O96+570)</f>
        <v/>
      </c>
      <c r="AK96" s="11" t="str">
        <f aca="false">IF(OR(I96="",I96&lt;21,O96=""),"",O96+600)</f>
        <v/>
      </c>
      <c r="AL96" s="11" t="str">
        <f aca="false">IF(OR(I96="",I96&lt;22,O96=""),"",O96+630)</f>
        <v/>
      </c>
      <c r="AM96" s="11" t="str">
        <f aca="false">IF(OR(I96="",I96&lt;23,O96=""),"",O96+660)</f>
        <v/>
      </c>
      <c r="AN96" s="11" t="str">
        <f aca="false">IF(OR(I96="",I96&lt;24,O96=""),"",O96+690)</f>
        <v/>
      </c>
      <c r="AO96" s="7" t="str">
        <f aca="false">IF(J96="","",COUNTIF(Q96:AN96,TRUE())*J96)</f>
        <v/>
      </c>
      <c r="AP96" s="7" t="str">
        <f aca="false">IF(K96="","",K96-AO96)</f>
        <v/>
      </c>
      <c r="AQ96" s="7" t="str">
        <f aca="false">IF(K96="","",K96-F96-IF(N96="",0,N96))</f>
        <v/>
      </c>
    </row>
    <row r="97" customFormat="false" ht="15" hidden="false" customHeight="false" outlineLevel="0" collapsed="false">
      <c r="A97" s="12"/>
      <c r="B97" s="12"/>
      <c r="C97" s="12"/>
      <c r="D97" s="13"/>
      <c r="E97" s="13"/>
      <c r="F97" s="14"/>
      <c r="G97" s="12"/>
      <c r="H97" s="12"/>
      <c r="I97" s="12"/>
      <c r="J97" s="14"/>
      <c r="K97" s="15" t="str">
        <f aca="false">IF(OR(I97="",J97=""),"",I97*J97)</f>
        <v/>
      </c>
      <c r="L97" s="12"/>
      <c r="M97" s="16"/>
      <c r="N97" s="15" t="str">
        <f aca="false">IF(OR(L97="",M97="",K97=""),"",IF(L97="GANANCIA",(K97-F97)*M97,IF(L97="BRUTO",K97*M97,"")))</f>
        <v/>
      </c>
      <c r="O97" s="17" t="str">
        <f aca="false">IF(D97="","",D97)</f>
        <v/>
      </c>
      <c r="P97" s="18" t="str">
        <f aca="false">IF(I97="","",IF(COUNTIF(Q97:AN97,TRUE())&gt;=I97,"PAGADO",IF(COUNTIF(Q97:AN97,TRUE())&gt;0,"PARCIAL","VIGENTE")))</f>
        <v/>
      </c>
      <c r="Q97" s="19" t="str">
        <f aca="false">IF(OR(I97="",I97&lt;1,O97=""),"",O97+0)</f>
        <v/>
      </c>
      <c r="R97" s="19" t="str">
        <f aca="false">IF(OR(I97="",I97&lt;2,O97=""),"",O97+30)</f>
        <v/>
      </c>
      <c r="S97" s="19" t="str">
        <f aca="false">IF(OR(I97="",I97&lt;3,O97=""),"",O97+60)</f>
        <v/>
      </c>
      <c r="T97" s="19" t="str">
        <f aca="false">IF(OR(I97="",I97&lt;4,O97=""),"",O97+90)</f>
        <v/>
      </c>
      <c r="U97" s="19" t="str">
        <f aca="false">IF(OR(I97="",I97&lt;5,O97=""),"",O97+120)</f>
        <v/>
      </c>
      <c r="V97" s="19" t="str">
        <f aca="false">IF(OR(I97="",I97&lt;6,O97=""),"",O97+150)</f>
        <v/>
      </c>
      <c r="W97" s="19" t="str">
        <f aca="false">IF(OR(I97="",I97&lt;7,O97=""),"",O97+180)</f>
        <v/>
      </c>
      <c r="X97" s="19" t="str">
        <f aca="false">IF(OR(I97="",I97&lt;8,O97=""),"",O97+210)</f>
        <v/>
      </c>
      <c r="Y97" s="19" t="str">
        <f aca="false">IF(OR(I97="",I97&lt;9,O97=""),"",O97+240)</f>
        <v/>
      </c>
      <c r="Z97" s="19" t="str">
        <f aca="false">IF(OR(I97="",I97&lt;10,O97=""),"",O97+270)</f>
        <v/>
      </c>
      <c r="AA97" s="19" t="str">
        <f aca="false">IF(OR(I97="",I97&lt;11,O97=""),"",O97+300)</f>
        <v/>
      </c>
      <c r="AB97" s="19" t="str">
        <f aca="false">IF(OR(I97="",I97&lt;12,O97=""),"",O97+330)</f>
        <v/>
      </c>
      <c r="AC97" s="19" t="str">
        <f aca="false">IF(OR(I97="",I97&lt;13,O97=""),"",O97+360)</f>
        <v/>
      </c>
      <c r="AD97" s="19" t="str">
        <f aca="false">IF(OR(I97="",I97&lt;14,O97=""),"",O97+390)</f>
        <v/>
      </c>
      <c r="AE97" s="19" t="str">
        <f aca="false">IF(OR(I97="",I97&lt;15,O97=""),"",O97+420)</f>
        <v/>
      </c>
      <c r="AF97" s="19" t="str">
        <f aca="false">IF(OR(I97="",I97&lt;16,O97=""),"",O97+450)</f>
        <v/>
      </c>
      <c r="AG97" s="19" t="str">
        <f aca="false">IF(OR(I97="",I97&lt;17,O97=""),"",O97+480)</f>
        <v/>
      </c>
      <c r="AH97" s="19" t="str">
        <f aca="false">IF(OR(I97="",I97&lt;18,O97=""),"",O97+510)</f>
        <v/>
      </c>
      <c r="AI97" s="19" t="str">
        <f aca="false">IF(OR(I97="",I97&lt;19,O97=""),"",O97+540)</f>
        <v/>
      </c>
      <c r="AJ97" s="19" t="str">
        <f aca="false">IF(OR(I97="",I97&lt;20,O97=""),"",O97+570)</f>
        <v/>
      </c>
      <c r="AK97" s="19" t="str">
        <f aca="false">IF(OR(I97="",I97&lt;21,O97=""),"",O97+600)</f>
        <v/>
      </c>
      <c r="AL97" s="19" t="str">
        <f aca="false">IF(OR(I97="",I97&lt;22,O97=""),"",O97+630)</f>
        <v/>
      </c>
      <c r="AM97" s="19" t="str">
        <f aca="false">IF(OR(I97="",I97&lt;23,O97=""),"",O97+660)</f>
        <v/>
      </c>
      <c r="AN97" s="19" t="str">
        <f aca="false">IF(OR(I97="",I97&lt;24,O97=""),"",O97+690)</f>
        <v/>
      </c>
      <c r="AO97" s="15" t="str">
        <f aca="false">IF(J97="","",COUNTIF(Q97:AN97,TRUE())*J97)</f>
        <v/>
      </c>
      <c r="AP97" s="15" t="str">
        <f aca="false">IF(K97="","",K97-AO97)</f>
        <v/>
      </c>
      <c r="AQ97" s="15" t="str">
        <f aca="false">IF(K97="","",K97-F97-IF(N97="",0,N97))</f>
        <v/>
      </c>
    </row>
    <row r="98" customFormat="false" ht="15" hidden="false" customHeight="false" outlineLevel="0" collapsed="false">
      <c r="A98" s="4"/>
      <c r="B98" s="4"/>
      <c r="C98" s="4"/>
      <c r="D98" s="5"/>
      <c r="E98" s="5"/>
      <c r="F98" s="6"/>
      <c r="G98" s="4"/>
      <c r="H98" s="4"/>
      <c r="I98" s="4"/>
      <c r="J98" s="6"/>
      <c r="K98" s="7" t="str">
        <f aca="false">IF(OR(I98="",J98=""),"",I98*J98)</f>
        <v/>
      </c>
      <c r="L98" s="4"/>
      <c r="M98" s="8"/>
      <c r="N98" s="7" t="str">
        <f aca="false">IF(OR(L98="",M98="",K98=""),"",IF(L98="GANANCIA",(K98-F98)*M98,IF(L98="BRUTO",K98*M98,"")))</f>
        <v/>
      </c>
      <c r="O98" s="9" t="str">
        <f aca="false">IF(D98="","",D98)</f>
        <v/>
      </c>
      <c r="P98" s="10" t="str">
        <f aca="false">IF(I98="","",IF(COUNTIF(Q98:AN98,TRUE())&gt;=I98,"PAGADO",IF(COUNTIF(Q98:AN98,TRUE())&gt;0,"PARCIAL","VIGENTE")))</f>
        <v/>
      </c>
      <c r="Q98" s="11" t="str">
        <f aca="false">IF(OR(I98="",I98&lt;1,O98=""),"",O98+0)</f>
        <v/>
      </c>
      <c r="R98" s="11" t="str">
        <f aca="false">IF(OR(I98="",I98&lt;2,O98=""),"",O98+30)</f>
        <v/>
      </c>
      <c r="S98" s="11" t="str">
        <f aca="false">IF(OR(I98="",I98&lt;3,O98=""),"",O98+60)</f>
        <v/>
      </c>
      <c r="T98" s="11" t="str">
        <f aca="false">IF(OR(I98="",I98&lt;4,O98=""),"",O98+90)</f>
        <v/>
      </c>
      <c r="U98" s="11" t="str">
        <f aca="false">IF(OR(I98="",I98&lt;5,O98=""),"",O98+120)</f>
        <v/>
      </c>
      <c r="V98" s="11" t="str">
        <f aca="false">IF(OR(I98="",I98&lt;6,O98=""),"",O98+150)</f>
        <v/>
      </c>
      <c r="W98" s="11" t="str">
        <f aca="false">IF(OR(I98="",I98&lt;7,O98=""),"",O98+180)</f>
        <v/>
      </c>
      <c r="X98" s="11" t="str">
        <f aca="false">IF(OR(I98="",I98&lt;8,O98=""),"",O98+210)</f>
        <v/>
      </c>
      <c r="Y98" s="11" t="str">
        <f aca="false">IF(OR(I98="",I98&lt;9,O98=""),"",O98+240)</f>
        <v/>
      </c>
      <c r="Z98" s="11" t="str">
        <f aca="false">IF(OR(I98="",I98&lt;10,O98=""),"",O98+270)</f>
        <v/>
      </c>
      <c r="AA98" s="11" t="str">
        <f aca="false">IF(OR(I98="",I98&lt;11,O98=""),"",O98+300)</f>
        <v/>
      </c>
      <c r="AB98" s="11" t="str">
        <f aca="false">IF(OR(I98="",I98&lt;12,O98=""),"",O98+330)</f>
        <v/>
      </c>
      <c r="AC98" s="11" t="str">
        <f aca="false">IF(OR(I98="",I98&lt;13,O98=""),"",O98+360)</f>
        <v/>
      </c>
      <c r="AD98" s="11" t="str">
        <f aca="false">IF(OR(I98="",I98&lt;14,O98=""),"",O98+390)</f>
        <v/>
      </c>
      <c r="AE98" s="11" t="str">
        <f aca="false">IF(OR(I98="",I98&lt;15,O98=""),"",O98+420)</f>
        <v/>
      </c>
      <c r="AF98" s="11" t="str">
        <f aca="false">IF(OR(I98="",I98&lt;16,O98=""),"",O98+450)</f>
        <v/>
      </c>
      <c r="AG98" s="11" t="str">
        <f aca="false">IF(OR(I98="",I98&lt;17,O98=""),"",O98+480)</f>
        <v/>
      </c>
      <c r="AH98" s="11" t="str">
        <f aca="false">IF(OR(I98="",I98&lt;18,O98=""),"",O98+510)</f>
        <v/>
      </c>
      <c r="AI98" s="11" t="str">
        <f aca="false">IF(OR(I98="",I98&lt;19,O98=""),"",O98+540)</f>
        <v/>
      </c>
      <c r="AJ98" s="11" t="str">
        <f aca="false">IF(OR(I98="",I98&lt;20,O98=""),"",O98+570)</f>
        <v/>
      </c>
      <c r="AK98" s="11" t="str">
        <f aca="false">IF(OR(I98="",I98&lt;21,O98=""),"",O98+600)</f>
        <v/>
      </c>
      <c r="AL98" s="11" t="str">
        <f aca="false">IF(OR(I98="",I98&lt;22,O98=""),"",O98+630)</f>
        <v/>
      </c>
      <c r="AM98" s="11" t="str">
        <f aca="false">IF(OR(I98="",I98&lt;23,O98=""),"",O98+660)</f>
        <v/>
      </c>
      <c r="AN98" s="11" t="str">
        <f aca="false">IF(OR(I98="",I98&lt;24,O98=""),"",O98+690)</f>
        <v/>
      </c>
      <c r="AO98" s="7" t="str">
        <f aca="false">IF(J98="","",COUNTIF(Q98:AN98,TRUE())*J98)</f>
        <v/>
      </c>
      <c r="AP98" s="7" t="str">
        <f aca="false">IF(K98="","",K98-AO98)</f>
        <v/>
      </c>
      <c r="AQ98" s="7" t="str">
        <f aca="false">IF(K98="","",K98-F98-IF(N98="",0,N98))</f>
        <v/>
      </c>
    </row>
    <row r="99" customFormat="false" ht="15" hidden="false" customHeight="false" outlineLevel="0" collapsed="false">
      <c r="A99" s="12"/>
      <c r="B99" s="12"/>
      <c r="C99" s="12"/>
      <c r="D99" s="13"/>
      <c r="E99" s="13"/>
      <c r="F99" s="14"/>
      <c r="G99" s="12"/>
      <c r="H99" s="12"/>
      <c r="I99" s="12"/>
      <c r="J99" s="14"/>
      <c r="K99" s="15" t="str">
        <f aca="false">IF(OR(I99="",J99=""),"",I99*J99)</f>
        <v/>
      </c>
      <c r="L99" s="12"/>
      <c r="M99" s="16"/>
      <c r="N99" s="15" t="str">
        <f aca="false">IF(OR(L99="",M99="",K99=""),"",IF(L99="GANANCIA",(K99-F99)*M99,IF(L99="BRUTO",K99*M99,"")))</f>
        <v/>
      </c>
      <c r="O99" s="17" t="str">
        <f aca="false">IF(D99="","",D99)</f>
        <v/>
      </c>
      <c r="P99" s="18" t="str">
        <f aca="false">IF(I99="","",IF(COUNTIF(Q99:AN99,TRUE())&gt;=I99,"PAGADO",IF(COUNTIF(Q99:AN99,TRUE())&gt;0,"PARCIAL","VIGENTE")))</f>
        <v/>
      </c>
      <c r="Q99" s="19" t="str">
        <f aca="false">IF(OR(I99="",I99&lt;1,O99=""),"",O99+0)</f>
        <v/>
      </c>
      <c r="R99" s="19" t="str">
        <f aca="false">IF(OR(I99="",I99&lt;2,O99=""),"",O99+30)</f>
        <v/>
      </c>
      <c r="S99" s="19" t="str">
        <f aca="false">IF(OR(I99="",I99&lt;3,O99=""),"",O99+60)</f>
        <v/>
      </c>
      <c r="T99" s="19" t="str">
        <f aca="false">IF(OR(I99="",I99&lt;4,O99=""),"",O99+90)</f>
        <v/>
      </c>
      <c r="U99" s="19" t="str">
        <f aca="false">IF(OR(I99="",I99&lt;5,O99=""),"",O99+120)</f>
        <v/>
      </c>
      <c r="V99" s="19" t="str">
        <f aca="false">IF(OR(I99="",I99&lt;6,O99=""),"",O99+150)</f>
        <v/>
      </c>
      <c r="W99" s="19" t="str">
        <f aca="false">IF(OR(I99="",I99&lt;7,O99=""),"",O99+180)</f>
        <v/>
      </c>
      <c r="X99" s="19" t="str">
        <f aca="false">IF(OR(I99="",I99&lt;8,O99=""),"",O99+210)</f>
        <v/>
      </c>
      <c r="Y99" s="19" t="str">
        <f aca="false">IF(OR(I99="",I99&lt;9,O99=""),"",O99+240)</f>
        <v/>
      </c>
      <c r="Z99" s="19" t="str">
        <f aca="false">IF(OR(I99="",I99&lt;10,O99=""),"",O99+270)</f>
        <v/>
      </c>
      <c r="AA99" s="19" t="str">
        <f aca="false">IF(OR(I99="",I99&lt;11,O99=""),"",O99+300)</f>
        <v/>
      </c>
      <c r="AB99" s="19" t="str">
        <f aca="false">IF(OR(I99="",I99&lt;12,O99=""),"",O99+330)</f>
        <v/>
      </c>
      <c r="AC99" s="19" t="str">
        <f aca="false">IF(OR(I99="",I99&lt;13,O99=""),"",O99+360)</f>
        <v/>
      </c>
      <c r="AD99" s="19" t="str">
        <f aca="false">IF(OR(I99="",I99&lt;14,O99=""),"",O99+390)</f>
        <v/>
      </c>
      <c r="AE99" s="19" t="str">
        <f aca="false">IF(OR(I99="",I99&lt;15,O99=""),"",O99+420)</f>
        <v/>
      </c>
      <c r="AF99" s="19" t="str">
        <f aca="false">IF(OR(I99="",I99&lt;16,O99=""),"",O99+450)</f>
        <v/>
      </c>
      <c r="AG99" s="19" t="str">
        <f aca="false">IF(OR(I99="",I99&lt;17,O99=""),"",O99+480)</f>
        <v/>
      </c>
      <c r="AH99" s="19" t="str">
        <f aca="false">IF(OR(I99="",I99&lt;18,O99=""),"",O99+510)</f>
        <v/>
      </c>
      <c r="AI99" s="19" t="str">
        <f aca="false">IF(OR(I99="",I99&lt;19,O99=""),"",O99+540)</f>
        <v/>
      </c>
      <c r="AJ99" s="19" t="str">
        <f aca="false">IF(OR(I99="",I99&lt;20,O99=""),"",O99+570)</f>
        <v/>
      </c>
      <c r="AK99" s="19" t="str">
        <f aca="false">IF(OR(I99="",I99&lt;21,O99=""),"",O99+600)</f>
        <v/>
      </c>
      <c r="AL99" s="19" t="str">
        <f aca="false">IF(OR(I99="",I99&lt;22,O99=""),"",O99+630)</f>
        <v/>
      </c>
      <c r="AM99" s="19" t="str">
        <f aca="false">IF(OR(I99="",I99&lt;23,O99=""),"",O99+660)</f>
        <v/>
      </c>
      <c r="AN99" s="19" t="str">
        <f aca="false">IF(OR(I99="",I99&lt;24,O99=""),"",O99+690)</f>
        <v/>
      </c>
      <c r="AO99" s="15" t="str">
        <f aca="false">IF(J99="","",COUNTIF(Q99:AN99,TRUE())*J99)</f>
        <v/>
      </c>
      <c r="AP99" s="15" t="str">
        <f aca="false">IF(K99="","",K99-AO99)</f>
        <v/>
      </c>
      <c r="AQ99" s="15" t="str">
        <f aca="false">IF(K99="","",K99-F99-IF(N99="",0,N99))</f>
        <v/>
      </c>
    </row>
    <row r="100" customFormat="false" ht="15" hidden="false" customHeight="false" outlineLevel="0" collapsed="false">
      <c r="A100" s="4"/>
      <c r="B100" s="4"/>
      <c r="C100" s="4"/>
      <c r="D100" s="5"/>
      <c r="E100" s="5"/>
      <c r="F100" s="6"/>
      <c r="G100" s="4"/>
      <c r="H100" s="4"/>
      <c r="I100" s="4"/>
      <c r="J100" s="6"/>
      <c r="K100" s="7" t="str">
        <f aca="false">IF(OR(I100="",J100=""),"",I100*J100)</f>
        <v/>
      </c>
      <c r="L100" s="4"/>
      <c r="M100" s="8"/>
      <c r="N100" s="7" t="str">
        <f aca="false">IF(OR(L100="",M100="",K100=""),"",IF(L100="GANANCIA",(K100-F100)*M100,IF(L100="BRUTO",K100*M100,"")))</f>
        <v/>
      </c>
      <c r="O100" s="9" t="str">
        <f aca="false">IF(D100="","",D100)</f>
        <v/>
      </c>
      <c r="P100" s="10" t="str">
        <f aca="false">IF(I100="","",IF(COUNTIF(Q100:AN100,TRUE())&gt;=I100,"PAGADO",IF(COUNTIF(Q100:AN100,TRUE())&gt;0,"PARCIAL","VIGENTE")))</f>
        <v/>
      </c>
      <c r="Q100" s="11" t="str">
        <f aca="false">IF(OR(I100="",I100&lt;1,O100=""),"",O100+0)</f>
        <v/>
      </c>
      <c r="R100" s="11" t="str">
        <f aca="false">IF(OR(I100="",I100&lt;2,O100=""),"",O100+30)</f>
        <v/>
      </c>
      <c r="S100" s="11" t="str">
        <f aca="false">IF(OR(I100="",I100&lt;3,O100=""),"",O100+60)</f>
        <v/>
      </c>
      <c r="T100" s="11" t="str">
        <f aca="false">IF(OR(I100="",I100&lt;4,O100=""),"",O100+90)</f>
        <v/>
      </c>
      <c r="U100" s="11" t="str">
        <f aca="false">IF(OR(I100="",I100&lt;5,O100=""),"",O100+120)</f>
        <v/>
      </c>
      <c r="V100" s="11" t="str">
        <f aca="false">IF(OR(I100="",I100&lt;6,O100=""),"",O100+150)</f>
        <v/>
      </c>
      <c r="W100" s="11" t="str">
        <f aca="false">IF(OR(I100="",I100&lt;7,O100=""),"",O100+180)</f>
        <v/>
      </c>
      <c r="X100" s="11" t="str">
        <f aca="false">IF(OR(I100="",I100&lt;8,O100=""),"",O100+210)</f>
        <v/>
      </c>
      <c r="Y100" s="11" t="str">
        <f aca="false">IF(OR(I100="",I100&lt;9,O100=""),"",O100+240)</f>
        <v/>
      </c>
      <c r="Z100" s="11" t="str">
        <f aca="false">IF(OR(I100="",I100&lt;10,O100=""),"",O100+270)</f>
        <v/>
      </c>
      <c r="AA100" s="11" t="str">
        <f aca="false">IF(OR(I100="",I100&lt;11,O100=""),"",O100+300)</f>
        <v/>
      </c>
      <c r="AB100" s="11" t="str">
        <f aca="false">IF(OR(I100="",I100&lt;12,O100=""),"",O100+330)</f>
        <v/>
      </c>
      <c r="AC100" s="11" t="str">
        <f aca="false">IF(OR(I100="",I100&lt;13,O100=""),"",O100+360)</f>
        <v/>
      </c>
      <c r="AD100" s="11" t="str">
        <f aca="false">IF(OR(I100="",I100&lt;14,O100=""),"",O100+390)</f>
        <v/>
      </c>
      <c r="AE100" s="11" t="str">
        <f aca="false">IF(OR(I100="",I100&lt;15,O100=""),"",O100+420)</f>
        <v/>
      </c>
      <c r="AF100" s="11" t="str">
        <f aca="false">IF(OR(I100="",I100&lt;16,O100=""),"",O100+450)</f>
        <v/>
      </c>
      <c r="AG100" s="11" t="str">
        <f aca="false">IF(OR(I100="",I100&lt;17,O100=""),"",O100+480)</f>
        <v/>
      </c>
      <c r="AH100" s="11" t="str">
        <f aca="false">IF(OR(I100="",I100&lt;18,O100=""),"",O100+510)</f>
        <v/>
      </c>
      <c r="AI100" s="11" t="str">
        <f aca="false">IF(OR(I100="",I100&lt;19,O100=""),"",O100+540)</f>
        <v/>
      </c>
      <c r="AJ100" s="11" t="str">
        <f aca="false">IF(OR(I100="",I100&lt;20,O100=""),"",O100+570)</f>
        <v/>
      </c>
      <c r="AK100" s="11" t="str">
        <f aca="false">IF(OR(I100="",I100&lt;21,O100=""),"",O100+600)</f>
        <v/>
      </c>
      <c r="AL100" s="11" t="str">
        <f aca="false">IF(OR(I100="",I100&lt;22,O100=""),"",O100+630)</f>
        <v/>
      </c>
      <c r="AM100" s="11" t="str">
        <f aca="false">IF(OR(I100="",I100&lt;23,O100=""),"",O100+660)</f>
        <v/>
      </c>
      <c r="AN100" s="11" t="str">
        <f aca="false">IF(OR(I100="",I100&lt;24,O100=""),"",O100+690)</f>
        <v/>
      </c>
      <c r="AO100" s="7" t="str">
        <f aca="false">IF(J100="","",COUNTIF(Q100:AN100,TRUE())*J100)</f>
        <v/>
      </c>
      <c r="AP100" s="7" t="str">
        <f aca="false">IF(K100="","",K100-AO100)</f>
        <v/>
      </c>
      <c r="AQ100" s="7" t="str">
        <f aca="false">IF(K100="","",K100-F100-IF(N100="",0,N100))</f>
        <v/>
      </c>
    </row>
    <row r="101" customFormat="false" ht="15" hidden="false" customHeight="false" outlineLevel="0" collapsed="false">
      <c r="A101" s="12"/>
      <c r="B101" s="12"/>
      <c r="C101" s="12"/>
      <c r="D101" s="13"/>
      <c r="E101" s="13"/>
      <c r="F101" s="14"/>
      <c r="G101" s="12"/>
      <c r="H101" s="12"/>
      <c r="I101" s="12"/>
      <c r="J101" s="14"/>
      <c r="K101" s="15" t="str">
        <f aca="false">IF(OR(I101="",J101=""),"",I101*J101)</f>
        <v/>
      </c>
      <c r="L101" s="12"/>
      <c r="M101" s="16"/>
      <c r="N101" s="15" t="str">
        <f aca="false">IF(OR(L101="",M101="",K101=""),"",IF(L101="GANANCIA",(K101-F101)*M101,IF(L101="BRUTO",K101*M101,"")))</f>
        <v/>
      </c>
      <c r="O101" s="17" t="str">
        <f aca="false">IF(D101="","",D101)</f>
        <v/>
      </c>
      <c r="P101" s="18" t="str">
        <f aca="false">IF(I101="","",IF(COUNTIF(Q101:AN101,TRUE())&gt;=I101,"PAGADO",IF(COUNTIF(Q101:AN101,TRUE())&gt;0,"PARCIAL","VIGENTE")))</f>
        <v/>
      </c>
      <c r="Q101" s="19" t="str">
        <f aca="false">IF(OR(I101="",I101&lt;1,O101=""),"",O101+0)</f>
        <v/>
      </c>
      <c r="R101" s="19" t="str">
        <f aca="false">IF(OR(I101="",I101&lt;2,O101=""),"",O101+30)</f>
        <v/>
      </c>
      <c r="S101" s="19" t="str">
        <f aca="false">IF(OR(I101="",I101&lt;3,O101=""),"",O101+60)</f>
        <v/>
      </c>
      <c r="T101" s="19" t="str">
        <f aca="false">IF(OR(I101="",I101&lt;4,O101=""),"",O101+90)</f>
        <v/>
      </c>
      <c r="U101" s="19" t="str">
        <f aca="false">IF(OR(I101="",I101&lt;5,O101=""),"",O101+120)</f>
        <v/>
      </c>
      <c r="V101" s="19" t="str">
        <f aca="false">IF(OR(I101="",I101&lt;6,O101=""),"",O101+150)</f>
        <v/>
      </c>
      <c r="W101" s="19" t="str">
        <f aca="false">IF(OR(I101="",I101&lt;7,O101=""),"",O101+180)</f>
        <v/>
      </c>
      <c r="X101" s="19" t="str">
        <f aca="false">IF(OR(I101="",I101&lt;8,O101=""),"",O101+210)</f>
        <v/>
      </c>
      <c r="Y101" s="19" t="str">
        <f aca="false">IF(OR(I101="",I101&lt;9,O101=""),"",O101+240)</f>
        <v/>
      </c>
      <c r="Z101" s="19" t="str">
        <f aca="false">IF(OR(I101="",I101&lt;10,O101=""),"",O101+270)</f>
        <v/>
      </c>
      <c r="AA101" s="19" t="str">
        <f aca="false">IF(OR(I101="",I101&lt;11,O101=""),"",O101+300)</f>
        <v/>
      </c>
      <c r="AB101" s="19" t="str">
        <f aca="false">IF(OR(I101="",I101&lt;12,O101=""),"",O101+330)</f>
        <v/>
      </c>
      <c r="AC101" s="19" t="str">
        <f aca="false">IF(OR(I101="",I101&lt;13,O101=""),"",O101+360)</f>
        <v/>
      </c>
      <c r="AD101" s="19" t="str">
        <f aca="false">IF(OR(I101="",I101&lt;14,O101=""),"",O101+390)</f>
        <v/>
      </c>
      <c r="AE101" s="19" t="str">
        <f aca="false">IF(OR(I101="",I101&lt;15,O101=""),"",O101+420)</f>
        <v/>
      </c>
      <c r="AF101" s="19" t="str">
        <f aca="false">IF(OR(I101="",I101&lt;16,O101=""),"",O101+450)</f>
        <v/>
      </c>
      <c r="AG101" s="19" t="str">
        <f aca="false">IF(OR(I101="",I101&lt;17,O101=""),"",O101+480)</f>
        <v/>
      </c>
      <c r="AH101" s="19" t="str">
        <f aca="false">IF(OR(I101="",I101&lt;18,O101=""),"",O101+510)</f>
        <v/>
      </c>
      <c r="AI101" s="19" t="str">
        <f aca="false">IF(OR(I101="",I101&lt;19,O101=""),"",O101+540)</f>
        <v/>
      </c>
      <c r="AJ101" s="19" t="str">
        <f aca="false">IF(OR(I101="",I101&lt;20,O101=""),"",O101+570)</f>
        <v/>
      </c>
      <c r="AK101" s="19" t="str">
        <f aca="false">IF(OR(I101="",I101&lt;21,O101=""),"",O101+600)</f>
        <v/>
      </c>
      <c r="AL101" s="19" t="str">
        <f aca="false">IF(OR(I101="",I101&lt;22,O101=""),"",O101+630)</f>
        <v/>
      </c>
      <c r="AM101" s="19" t="str">
        <f aca="false">IF(OR(I101="",I101&lt;23,O101=""),"",O101+660)</f>
        <v/>
      </c>
      <c r="AN101" s="19" t="str">
        <f aca="false">IF(OR(I101="",I101&lt;24,O101=""),"",O101+690)</f>
        <v/>
      </c>
      <c r="AO101" s="15" t="str">
        <f aca="false">IF(J101="","",COUNTIF(Q101:AN101,TRUE())*J101)</f>
        <v/>
      </c>
      <c r="AP101" s="15" t="str">
        <f aca="false">IF(K101="","",K101-AO101)</f>
        <v/>
      </c>
      <c r="AQ101" s="15" t="str">
        <f aca="false">IF(K101="","",K101-F101-IF(N101="",0,N101))</f>
        <v/>
      </c>
    </row>
    <row r="102" customFormat="false" ht="15" hidden="false" customHeight="false" outlineLevel="0" collapsed="false">
      <c r="A102" s="4"/>
      <c r="B102" s="4"/>
      <c r="C102" s="4"/>
      <c r="D102" s="5"/>
      <c r="E102" s="5"/>
      <c r="F102" s="6"/>
      <c r="G102" s="4"/>
      <c r="H102" s="4"/>
      <c r="I102" s="4"/>
      <c r="J102" s="6"/>
      <c r="K102" s="7" t="str">
        <f aca="false">IF(OR(I102="",J102=""),"",I102*J102)</f>
        <v/>
      </c>
      <c r="L102" s="4"/>
      <c r="M102" s="8"/>
      <c r="N102" s="7" t="str">
        <f aca="false">IF(OR(L102="",M102="",K102=""),"",IF(L102="GANANCIA",(K102-F102)*M102,IF(L102="BRUTO",K102*M102,"")))</f>
        <v/>
      </c>
      <c r="O102" s="9" t="str">
        <f aca="false">IF(D102="","",D102)</f>
        <v/>
      </c>
      <c r="P102" s="10" t="str">
        <f aca="false">IF(I102="","",IF(COUNTIF(Q102:AN102,TRUE())&gt;=I102,"PAGADO",IF(COUNTIF(Q102:AN102,TRUE())&gt;0,"PARCIAL","VIGENTE")))</f>
        <v/>
      </c>
      <c r="Q102" s="11" t="str">
        <f aca="false">IF(OR(I102="",I102&lt;1,O102=""),"",O102+0)</f>
        <v/>
      </c>
      <c r="R102" s="11" t="str">
        <f aca="false">IF(OR(I102="",I102&lt;2,O102=""),"",O102+30)</f>
        <v/>
      </c>
      <c r="S102" s="11" t="str">
        <f aca="false">IF(OR(I102="",I102&lt;3,O102=""),"",O102+60)</f>
        <v/>
      </c>
      <c r="T102" s="11" t="str">
        <f aca="false">IF(OR(I102="",I102&lt;4,O102=""),"",O102+90)</f>
        <v/>
      </c>
      <c r="U102" s="11" t="str">
        <f aca="false">IF(OR(I102="",I102&lt;5,O102=""),"",O102+120)</f>
        <v/>
      </c>
      <c r="V102" s="11" t="str">
        <f aca="false">IF(OR(I102="",I102&lt;6,O102=""),"",O102+150)</f>
        <v/>
      </c>
      <c r="W102" s="11" t="str">
        <f aca="false">IF(OR(I102="",I102&lt;7,O102=""),"",O102+180)</f>
        <v/>
      </c>
      <c r="X102" s="11" t="str">
        <f aca="false">IF(OR(I102="",I102&lt;8,O102=""),"",O102+210)</f>
        <v/>
      </c>
      <c r="Y102" s="11" t="str">
        <f aca="false">IF(OR(I102="",I102&lt;9,O102=""),"",O102+240)</f>
        <v/>
      </c>
      <c r="Z102" s="11" t="str">
        <f aca="false">IF(OR(I102="",I102&lt;10,O102=""),"",O102+270)</f>
        <v/>
      </c>
      <c r="AA102" s="11" t="str">
        <f aca="false">IF(OR(I102="",I102&lt;11,O102=""),"",O102+300)</f>
        <v/>
      </c>
      <c r="AB102" s="11" t="str">
        <f aca="false">IF(OR(I102="",I102&lt;12,O102=""),"",O102+330)</f>
        <v/>
      </c>
      <c r="AC102" s="11" t="str">
        <f aca="false">IF(OR(I102="",I102&lt;13,O102=""),"",O102+360)</f>
        <v/>
      </c>
      <c r="AD102" s="11" t="str">
        <f aca="false">IF(OR(I102="",I102&lt;14,O102=""),"",O102+390)</f>
        <v/>
      </c>
      <c r="AE102" s="11" t="str">
        <f aca="false">IF(OR(I102="",I102&lt;15,O102=""),"",O102+420)</f>
        <v/>
      </c>
      <c r="AF102" s="11" t="str">
        <f aca="false">IF(OR(I102="",I102&lt;16,O102=""),"",O102+450)</f>
        <v/>
      </c>
      <c r="AG102" s="11" t="str">
        <f aca="false">IF(OR(I102="",I102&lt;17,O102=""),"",O102+480)</f>
        <v/>
      </c>
      <c r="AH102" s="11" t="str">
        <f aca="false">IF(OR(I102="",I102&lt;18,O102=""),"",O102+510)</f>
        <v/>
      </c>
      <c r="AI102" s="11" t="str">
        <f aca="false">IF(OR(I102="",I102&lt;19,O102=""),"",O102+540)</f>
        <v/>
      </c>
      <c r="AJ102" s="11" t="str">
        <f aca="false">IF(OR(I102="",I102&lt;20,O102=""),"",O102+570)</f>
        <v/>
      </c>
      <c r="AK102" s="11" t="str">
        <f aca="false">IF(OR(I102="",I102&lt;21,O102=""),"",O102+600)</f>
        <v/>
      </c>
      <c r="AL102" s="11" t="str">
        <f aca="false">IF(OR(I102="",I102&lt;22,O102=""),"",O102+630)</f>
        <v/>
      </c>
      <c r="AM102" s="11" t="str">
        <f aca="false">IF(OR(I102="",I102&lt;23,O102=""),"",O102+660)</f>
        <v/>
      </c>
      <c r="AN102" s="11" t="str">
        <f aca="false">IF(OR(I102="",I102&lt;24,O102=""),"",O102+690)</f>
        <v/>
      </c>
      <c r="AO102" s="7" t="str">
        <f aca="false">IF(J102="","",COUNTIF(Q102:AN102,TRUE())*J102)</f>
        <v/>
      </c>
      <c r="AP102" s="7" t="str">
        <f aca="false">IF(K102="","",K102-AO102)</f>
        <v/>
      </c>
      <c r="AQ102" s="7" t="str">
        <f aca="false">IF(K102="","",K102-F102-IF(N102="",0,N102))</f>
        <v/>
      </c>
    </row>
    <row r="103" customFormat="false" ht="15" hidden="false" customHeight="false" outlineLevel="0" collapsed="false">
      <c r="A103" s="12"/>
      <c r="B103" s="12"/>
      <c r="C103" s="12"/>
      <c r="D103" s="13"/>
      <c r="E103" s="13"/>
      <c r="F103" s="14"/>
      <c r="G103" s="12"/>
      <c r="H103" s="12"/>
      <c r="I103" s="12"/>
      <c r="J103" s="14"/>
      <c r="K103" s="15" t="str">
        <f aca="false">IF(OR(I103="",J103=""),"",I103*J103)</f>
        <v/>
      </c>
      <c r="L103" s="12"/>
      <c r="M103" s="16"/>
      <c r="N103" s="15" t="str">
        <f aca="false">IF(OR(L103="",M103="",K103=""),"",IF(L103="GANANCIA",(K103-F103)*M103,IF(L103="BRUTO",K103*M103,"")))</f>
        <v/>
      </c>
      <c r="O103" s="17" t="str">
        <f aca="false">IF(D103="","",D103)</f>
        <v/>
      </c>
      <c r="P103" s="18" t="str">
        <f aca="false">IF(I103="","",IF(COUNTIF(Q103:AN103,TRUE())&gt;=I103,"PAGADO",IF(COUNTIF(Q103:AN103,TRUE())&gt;0,"PARCIAL","VIGENTE")))</f>
        <v/>
      </c>
      <c r="Q103" s="19" t="str">
        <f aca="false">IF(OR(I103="",I103&lt;1,O103=""),"",O103+0)</f>
        <v/>
      </c>
      <c r="R103" s="19" t="str">
        <f aca="false">IF(OR(I103="",I103&lt;2,O103=""),"",O103+30)</f>
        <v/>
      </c>
      <c r="S103" s="19" t="str">
        <f aca="false">IF(OR(I103="",I103&lt;3,O103=""),"",O103+60)</f>
        <v/>
      </c>
      <c r="T103" s="19" t="str">
        <f aca="false">IF(OR(I103="",I103&lt;4,O103=""),"",O103+90)</f>
        <v/>
      </c>
      <c r="U103" s="19" t="str">
        <f aca="false">IF(OR(I103="",I103&lt;5,O103=""),"",O103+120)</f>
        <v/>
      </c>
      <c r="V103" s="19" t="str">
        <f aca="false">IF(OR(I103="",I103&lt;6,O103=""),"",O103+150)</f>
        <v/>
      </c>
      <c r="W103" s="19" t="str">
        <f aca="false">IF(OR(I103="",I103&lt;7,O103=""),"",O103+180)</f>
        <v/>
      </c>
      <c r="X103" s="19" t="str">
        <f aca="false">IF(OR(I103="",I103&lt;8,O103=""),"",O103+210)</f>
        <v/>
      </c>
      <c r="Y103" s="19" t="str">
        <f aca="false">IF(OR(I103="",I103&lt;9,O103=""),"",O103+240)</f>
        <v/>
      </c>
      <c r="Z103" s="19" t="str">
        <f aca="false">IF(OR(I103="",I103&lt;10,O103=""),"",O103+270)</f>
        <v/>
      </c>
      <c r="AA103" s="19" t="str">
        <f aca="false">IF(OR(I103="",I103&lt;11,O103=""),"",O103+300)</f>
        <v/>
      </c>
      <c r="AB103" s="19" t="str">
        <f aca="false">IF(OR(I103="",I103&lt;12,O103=""),"",O103+330)</f>
        <v/>
      </c>
      <c r="AC103" s="19" t="str">
        <f aca="false">IF(OR(I103="",I103&lt;13,O103=""),"",O103+360)</f>
        <v/>
      </c>
      <c r="AD103" s="19" t="str">
        <f aca="false">IF(OR(I103="",I103&lt;14,O103=""),"",O103+390)</f>
        <v/>
      </c>
      <c r="AE103" s="19" t="str">
        <f aca="false">IF(OR(I103="",I103&lt;15,O103=""),"",O103+420)</f>
        <v/>
      </c>
      <c r="AF103" s="19" t="str">
        <f aca="false">IF(OR(I103="",I103&lt;16,O103=""),"",O103+450)</f>
        <v/>
      </c>
      <c r="AG103" s="19" t="str">
        <f aca="false">IF(OR(I103="",I103&lt;17,O103=""),"",O103+480)</f>
        <v/>
      </c>
      <c r="AH103" s="19" t="str">
        <f aca="false">IF(OR(I103="",I103&lt;18,O103=""),"",O103+510)</f>
        <v/>
      </c>
      <c r="AI103" s="19" t="str">
        <f aca="false">IF(OR(I103="",I103&lt;19,O103=""),"",O103+540)</f>
        <v/>
      </c>
      <c r="AJ103" s="19" t="str">
        <f aca="false">IF(OR(I103="",I103&lt;20,O103=""),"",O103+570)</f>
        <v/>
      </c>
      <c r="AK103" s="19" t="str">
        <f aca="false">IF(OR(I103="",I103&lt;21,O103=""),"",O103+600)</f>
        <v/>
      </c>
      <c r="AL103" s="19" t="str">
        <f aca="false">IF(OR(I103="",I103&lt;22,O103=""),"",O103+630)</f>
        <v/>
      </c>
      <c r="AM103" s="19" t="str">
        <f aca="false">IF(OR(I103="",I103&lt;23,O103=""),"",O103+660)</f>
        <v/>
      </c>
      <c r="AN103" s="19" t="str">
        <f aca="false">IF(OR(I103="",I103&lt;24,O103=""),"",O103+690)</f>
        <v/>
      </c>
      <c r="AO103" s="15" t="str">
        <f aca="false">IF(J103="","",COUNTIF(Q103:AN103,TRUE())*J103)</f>
        <v/>
      </c>
      <c r="AP103" s="15" t="str">
        <f aca="false">IF(K103="","",K103-AO103)</f>
        <v/>
      </c>
      <c r="AQ103" s="15" t="str">
        <f aca="false">IF(K103="","",K103-F103-IF(N103="",0,N103))</f>
        <v/>
      </c>
    </row>
    <row r="104" customFormat="false" ht="15" hidden="false" customHeight="false" outlineLevel="0" collapsed="false">
      <c r="A104" s="4"/>
      <c r="B104" s="4"/>
      <c r="C104" s="4"/>
      <c r="D104" s="5"/>
      <c r="E104" s="5"/>
      <c r="F104" s="6"/>
      <c r="G104" s="4"/>
      <c r="H104" s="4"/>
      <c r="I104" s="4"/>
      <c r="J104" s="6"/>
      <c r="K104" s="7" t="str">
        <f aca="false">IF(OR(I104="",J104=""),"",I104*J104)</f>
        <v/>
      </c>
      <c r="L104" s="4"/>
      <c r="M104" s="8"/>
      <c r="N104" s="7" t="str">
        <f aca="false">IF(OR(L104="",M104="",K104=""),"",IF(L104="GANANCIA",(K104-F104)*M104,IF(L104="BRUTO",K104*M104,"")))</f>
        <v/>
      </c>
      <c r="O104" s="9" t="str">
        <f aca="false">IF(D104="","",D104)</f>
        <v/>
      </c>
      <c r="P104" s="10" t="str">
        <f aca="false">IF(I104="","",IF(COUNTIF(Q104:AN104,TRUE())&gt;=I104,"PAGADO",IF(COUNTIF(Q104:AN104,TRUE())&gt;0,"PARCIAL","VIGENTE")))</f>
        <v/>
      </c>
      <c r="Q104" s="11" t="str">
        <f aca="false">IF(OR(I104="",I104&lt;1,O104=""),"",O104+0)</f>
        <v/>
      </c>
      <c r="R104" s="11" t="str">
        <f aca="false">IF(OR(I104="",I104&lt;2,O104=""),"",O104+30)</f>
        <v/>
      </c>
      <c r="S104" s="11" t="str">
        <f aca="false">IF(OR(I104="",I104&lt;3,O104=""),"",O104+60)</f>
        <v/>
      </c>
      <c r="T104" s="11" t="str">
        <f aca="false">IF(OR(I104="",I104&lt;4,O104=""),"",O104+90)</f>
        <v/>
      </c>
      <c r="U104" s="11" t="str">
        <f aca="false">IF(OR(I104="",I104&lt;5,O104=""),"",O104+120)</f>
        <v/>
      </c>
      <c r="V104" s="11" t="str">
        <f aca="false">IF(OR(I104="",I104&lt;6,O104=""),"",O104+150)</f>
        <v/>
      </c>
      <c r="W104" s="11" t="str">
        <f aca="false">IF(OR(I104="",I104&lt;7,O104=""),"",O104+180)</f>
        <v/>
      </c>
      <c r="X104" s="11" t="str">
        <f aca="false">IF(OR(I104="",I104&lt;8,O104=""),"",O104+210)</f>
        <v/>
      </c>
      <c r="Y104" s="11" t="str">
        <f aca="false">IF(OR(I104="",I104&lt;9,O104=""),"",O104+240)</f>
        <v/>
      </c>
      <c r="Z104" s="11" t="str">
        <f aca="false">IF(OR(I104="",I104&lt;10,O104=""),"",O104+270)</f>
        <v/>
      </c>
      <c r="AA104" s="11" t="str">
        <f aca="false">IF(OR(I104="",I104&lt;11,O104=""),"",O104+300)</f>
        <v/>
      </c>
      <c r="AB104" s="11" t="str">
        <f aca="false">IF(OR(I104="",I104&lt;12,O104=""),"",O104+330)</f>
        <v/>
      </c>
      <c r="AC104" s="11" t="str">
        <f aca="false">IF(OR(I104="",I104&lt;13,O104=""),"",O104+360)</f>
        <v/>
      </c>
      <c r="AD104" s="11" t="str">
        <f aca="false">IF(OR(I104="",I104&lt;14,O104=""),"",O104+390)</f>
        <v/>
      </c>
      <c r="AE104" s="11" t="str">
        <f aca="false">IF(OR(I104="",I104&lt;15,O104=""),"",O104+420)</f>
        <v/>
      </c>
      <c r="AF104" s="11" t="str">
        <f aca="false">IF(OR(I104="",I104&lt;16,O104=""),"",O104+450)</f>
        <v/>
      </c>
      <c r="AG104" s="11" t="str">
        <f aca="false">IF(OR(I104="",I104&lt;17,O104=""),"",O104+480)</f>
        <v/>
      </c>
      <c r="AH104" s="11" t="str">
        <f aca="false">IF(OR(I104="",I104&lt;18,O104=""),"",O104+510)</f>
        <v/>
      </c>
      <c r="AI104" s="11" t="str">
        <f aca="false">IF(OR(I104="",I104&lt;19,O104=""),"",O104+540)</f>
        <v/>
      </c>
      <c r="AJ104" s="11" t="str">
        <f aca="false">IF(OR(I104="",I104&lt;20,O104=""),"",O104+570)</f>
        <v/>
      </c>
      <c r="AK104" s="11" t="str">
        <f aca="false">IF(OR(I104="",I104&lt;21,O104=""),"",O104+600)</f>
        <v/>
      </c>
      <c r="AL104" s="11" t="str">
        <f aca="false">IF(OR(I104="",I104&lt;22,O104=""),"",O104+630)</f>
        <v/>
      </c>
      <c r="AM104" s="11" t="str">
        <f aca="false">IF(OR(I104="",I104&lt;23,O104=""),"",O104+660)</f>
        <v/>
      </c>
      <c r="AN104" s="11" t="str">
        <f aca="false">IF(OR(I104="",I104&lt;24,O104=""),"",O104+690)</f>
        <v/>
      </c>
      <c r="AO104" s="7" t="str">
        <f aca="false">IF(J104="","",COUNTIF(Q104:AN104,TRUE())*J104)</f>
        <v/>
      </c>
      <c r="AP104" s="7" t="str">
        <f aca="false">IF(K104="","",K104-AO104)</f>
        <v/>
      </c>
      <c r="AQ104" s="7" t="str">
        <f aca="false">IF(K104="","",K104-F104-IF(N104="",0,N104))</f>
        <v/>
      </c>
    </row>
    <row r="105" customFormat="false" ht="15" hidden="false" customHeight="false" outlineLevel="0" collapsed="false">
      <c r="A105" s="12"/>
      <c r="B105" s="12"/>
      <c r="C105" s="12"/>
      <c r="D105" s="13"/>
      <c r="E105" s="13"/>
      <c r="F105" s="14"/>
      <c r="G105" s="12"/>
      <c r="H105" s="12"/>
      <c r="I105" s="12"/>
      <c r="J105" s="14"/>
      <c r="K105" s="15" t="str">
        <f aca="false">IF(OR(I105="",J105=""),"",I105*J105)</f>
        <v/>
      </c>
      <c r="L105" s="12"/>
      <c r="M105" s="16"/>
      <c r="N105" s="15" t="str">
        <f aca="false">IF(OR(L105="",M105="",K105=""),"",IF(L105="GANANCIA",(K105-F105)*M105,IF(L105="BRUTO",K105*M105,"")))</f>
        <v/>
      </c>
      <c r="O105" s="17" t="str">
        <f aca="false">IF(D105="","",D105)</f>
        <v/>
      </c>
      <c r="P105" s="18" t="str">
        <f aca="false">IF(I105="","",IF(COUNTIF(Q105:AN105,TRUE())&gt;=I105,"PAGADO",IF(COUNTIF(Q105:AN105,TRUE())&gt;0,"PARCIAL","VIGENTE")))</f>
        <v/>
      </c>
      <c r="Q105" s="19" t="str">
        <f aca="false">IF(OR(I105="",I105&lt;1,O105=""),"",O105+0)</f>
        <v/>
      </c>
      <c r="R105" s="19" t="str">
        <f aca="false">IF(OR(I105="",I105&lt;2,O105=""),"",O105+30)</f>
        <v/>
      </c>
      <c r="S105" s="19" t="str">
        <f aca="false">IF(OR(I105="",I105&lt;3,O105=""),"",O105+60)</f>
        <v/>
      </c>
      <c r="T105" s="19" t="str">
        <f aca="false">IF(OR(I105="",I105&lt;4,O105=""),"",O105+90)</f>
        <v/>
      </c>
      <c r="U105" s="19" t="str">
        <f aca="false">IF(OR(I105="",I105&lt;5,O105=""),"",O105+120)</f>
        <v/>
      </c>
      <c r="V105" s="19" t="str">
        <f aca="false">IF(OR(I105="",I105&lt;6,O105=""),"",O105+150)</f>
        <v/>
      </c>
      <c r="W105" s="19" t="str">
        <f aca="false">IF(OR(I105="",I105&lt;7,O105=""),"",O105+180)</f>
        <v/>
      </c>
      <c r="X105" s="19" t="str">
        <f aca="false">IF(OR(I105="",I105&lt;8,O105=""),"",O105+210)</f>
        <v/>
      </c>
      <c r="Y105" s="19" t="str">
        <f aca="false">IF(OR(I105="",I105&lt;9,O105=""),"",O105+240)</f>
        <v/>
      </c>
      <c r="Z105" s="19" t="str">
        <f aca="false">IF(OR(I105="",I105&lt;10,O105=""),"",O105+270)</f>
        <v/>
      </c>
      <c r="AA105" s="19" t="str">
        <f aca="false">IF(OR(I105="",I105&lt;11,O105=""),"",O105+300)</f>
        <v/>
      </c>
      <c r="AB105" s="19" t="str">
        <f aca="false">IF(OR(I105="",I105&lt;12,O105=""),"",O105+330)</f>
        <v/>
      </c>
      <c r="AC105" s="19" t="str">
        <f aca="false">IF(OR(I105="",I105&lt;13,O105=""),"",O105+360)</f>
        <v/>
      </c>
      <c r="AD105" s="19" t="str">
        <f aca="false">IF(OR(I105="",I105&lt;14,O105=""),"",O105+390)</f>
        <v/>
      </c>
      <c r="AE105" s="19" t="str">
        <f aca="false">IF(OR(I105="",I105&lt;15,O105=""),"",O105+420)</f>
        <v/>
      </c>
      <c r="AF105" s="19" t="str">
        <f aca="false">IF(OR(I105="",I105&lt;16,O105=""),"",O105+450)</f>
        <v/>
      </c>
      <c r="AG105" s="19" t="str">
        <f aca="false">IF(OR(I105="",I105&lt;17,O105=""),"",O105+480)</f>
        <v/>
      </c>
      <c r="AH105" s="19" t="str">
        <f aca="false">IF(OR(I105="",I105&lt;18,O105=""),"",O105+510)</f>
        <v/>
      </c>
      <c r="AI105" s="19" t="str">
        <f aca="false">IF(OR(I105="",I105&lt;19,O105=""),"",O105+540)</f>
        <v/>
      </c>
      <c r="AJ105" s="19" t="str">
        <f aca="false">IF(OR(I105="",I105&lt;20,O105=""),"",O105+570)</f>
        <v/>
      </c>
      <c r="AK105" s="19" t="str">
        <f aca="false">IF(OR(I105="",I105&lt;21,O105=""),"",O105+600)</f>
        <v/>
      </c>
      <c r="AL105" s="19" t="str">
        <f aca="false">IF(OR(I105="",I105&lt;22,O105=""),"",O105+630)</f>
        <v/>
      </c>
      <c r="AM105" s="19" t="str">
        <f aca="false">IF(OR(I105="",I105&lt;23,O105=""),"",O105+660)</f>
        <v/>
      </c>
      <c r="AN105" s="19" t="str">
        <f aca="false">IF(OR(I105="",I105&lt;24,O105=""),"",O105+690)</f>
        <v/>
      </c>
      <c r="AO105" s="15" t="str">
        <f aca="false">IF(J105="","",COUNTIF(Q105:AN105,TRUE())*J105)</f>
        <v/>
      </c>
      <c r="AP105" s="15" t="str">
        <f aca="false">IF(K105="","",K105-AO105)</f>
        <v/>
      </c>
      <c r="AQ105" s="15" t="str">
        <f aca="false">IF(K105="","",K105-F105-IF(N105="",0,N105))</f>
        <v/>
      </c>
    </row>
    <row r="106" customFormat="false" ht="15" hidden="false" customHeight="false" outlineLevel="0" collapsed="false">
      <c r="A106" s="4"/>
      <c r="B106" s="4"/>
      <c r="C106" s="4"/>
      <c r="D106" s="5"/>
      <c r="E106" s="5"/>
      <c r="F106" s="6"/>
      <c r="G106" s="4"/>
      <c r="H106" s="4"/>
      <c r="I106" s="4"/>
      <c r="J106" s="6"/>
      <c r="K106" s="7" t="str">
        <f aca="false">IF(OR(I106="",J106=""),"",I106*J106)</f>
        <v/>
      </c>
      <c r="L106" s="4"/>
      <c r="M106" s="8"/>
      <c r="N106" s="7" t="str">
        <f aca="false">IF(OR(L106="",M106="",K106=""),"",IF(L106="GANANCIA",(K106-F106)*M106,IF(L106="BRUTO",K106*M106,"")))</f>
        <v/>
      </c>
      <c r="O106" s="9" t="str">
        <f aca="false">IF(D106="","",D106)</f>
        <v/>
      </c>
      <c r="P106" s="10" t="str">
        <f aca="false">IF(I106="","",IF(COUNTIF(Q106:AN106,TRUE())&gt;=I106,"PAGADO",IF(COUNTIF(Q106:AN106,TRUE())&gt;0,"PARCIAL","VIGENTE")))</f>
        <v/>
      </c>
      <c r="Q106" s="11" t="str">
        <f aca="false">IF(OR(I106="",I106&lt;1,O106=""),"",O106+0)</f>
        <v/>
      </c>
      <c r="R106" s="11" t="str">
        <f aca="false">IF(OR(I106="",I106&lt;2,O106=""),"",O106+30)</f>
        <v/>
      </c>
      <c r="S106" s="11" t="str">
        <f aca="false">IF(OR(I106="",I106&lt;3,O106=""),"",O106+60)</f>
        <v/>
      </c>
      <c r="T106" s="11" t="str">
        <f aca="false">IF(OR(I106="",I106&lt;4,O106=""),"",O106+90)</f>
        <v/>
      </c>
      <c r="U106" s="11" t="str">
        <f aca="false">IF(OR(I106="",I106&lt;5,O106=""),"",O106+120)</f>
        <v/>
      </c>
      <c r="V106" s="11" t="str">
        <f aca="false">IF(OR(I106="",I106&lt;6,O106=""),"",O106+150)</f>
        <v/>
      </c>
      <c r="W106" s="11" t="str">
        <f aca="false">IF(OR(I106="",I106&lt;7,O106=""),"",O106+180)</f>
        <v/>
      </c>
      <c r="X106" s="11" t="str">
        <f aca="false">IF(OR(I106="",I106&lt;8,O106=""),"",O106+210)</f>
        <v/>
      </c>
      <c r="Y106" s="11" t="str">
        <f aca="false">IF(OR(I106="",I106&lt;9,O106=""),"",O106+240)</f>
        <v/>
      </c>
      <c r="Z106" s="11" t="str">
        <f aca="false">IF(OR(I106="",I106&lt;10,O106=""),"",O106+270)</f>
        <v/>
      </c>
      <c r="AA106" s="11" t="str">
        <f aca="false">IF(OR(I106="",I106&lt;11,O106=""),"",O106+300)</f>
        <v/>
      </c>
      <c r="AB106" s="11" t="str">
        <f aca="false">IF(OR(I106="",I106&lt;12,O106=""),"",O106+330)</f>
        <v/>
      </c>
      <c r="AC106" s="11" t="str">
        <f aca="false">IF(OR(I106="",I106&lt;13,O106=""),"",O106+360)</f>
        <v/>
      </c>
      <c r="AD106" s="11" t="str">
        <f aca="false">IF(OR(I106="",I106&lt;14,O106=""),"",O106+390)</f>
        <v/>
      </c>
      <c r="AE106" s="11" t="str">
        <f aca="false">IF(OR(I106="",I106&lt;15,O106=""),"",O106+420)</f>
        <v/>
      </c>
      <c r="AF106" s="11" t="str">
        <f aca="false">IF(OR(I106="",I106&lt;16,O106=""),"",O106+450)</f>
        <v/>
      </c>
      <c r="AG106" s="11" t="str">
        <f aca="false">IF(OR(I106="",I106&lt;17,O106=""),"",O106+480)</f>
        <v/>
      </c>
      <c r="AH106" s="11" t="str">
        <f aca="false">IF(OR(I106="",I106&lt;18,O106=""),"",O106+510)</f>
        <v/>
      </c>
      <c r="AI106" s="11" t="str">
        <f aca="false">IF(OR(I106="",I106&lt;19,O106=""),"",O106+540)</f>
        <v/>
      </c>
      <c r="AJ106" s="11" t="str">
        <f aca="false">IF(OR(I106="",I106&lt;20,O106=""),"",O106+570)</f>
        <v/>
      </c>
      <c r="AK106" s="11" t="str">
        <f aca="false">IF(OR(I106="",I106&lt;21,O106=""),"",O106+600)</f>
        <v/>
      </c>
      <c r="AL106" s="11" t="str">
        <f aca="false">IF(OR(I106="",I106&lt;22,O106=""),"",O106+630)</f>
        <v/>
      </c>
      <c r="AM106" s="11" t="str">
        <f aca="false">IF(OR(I106="",I106&lt;23,O106=""),"",O106+660)</f>
        <v/>
      </c>
      <c r="AN106" s="11" t="str">
        <f aca="false">IF(OR(I106="",I106&lt;24,O106=""),"",O106+690)</f>
        <v/>
      </c>
      <c r="AO106" s="7" t="str">
        <f aca="false">IF(J106="","",COUNTIF(Q106:AN106,TRUE())*J106)</f>
        <v/>
      </c>
      <c r="AP106" s="7" t="str">
        <f aca="false">IF(K106="","",K106-AO106)</f>
        <v/>
      </c>
      <c r="AQ106" s="7" t="str">
        <f aca="false">IF(K106="","",K106-F106-IF(N106="",0,N106))</f>
        <v/>
      </c>
    </row>
    <row r="107" customFormat="false" ht="15" hidden="false" customHeight="false" outlineLevel="0" collapsed="false">
      <c r="A107" s="12"/>
      <c r="B107" s="12"/>
      <c r="C107" s="12"/>
      <c r="D107" s="13"/>
      <c r="E107" s="13"/>
      <c r="F107" s="14"/>
      <c r="G107" s="12"/>
      <c r="H107" s="12"/>
      <c r="I107" s="12"/>
      <c r="J107" s="14"/>
      <c r="K107" s="15" t="str">
        <f aca="false">IF(OR(I107="",J107=""),"",I107*J107)</f>
        <v/>
      </c>
      <c r="L107" s="12"/>
      <c r="M107" s="16"/>
      <c r="N107" s="15" t="str">
        <f aca="false">IF(OR(L107="",M107="",K107=""),"",IF(L107="GANANCIA",(K107-F107)*M107,IF(L107="BRUTO",K107*M107,"")))</f>
        <v/>
      </c>
      <c r="O107" s="17" t="str">
        <f aca="false">IF(D107="","",D107)</f>
        <v/>
      </c>
      <c r="P107" s="18" t="str">
        <f aca="false">IF(I107="","",IF(COUNTIF(Q107:AN107,TRUE())&gt;=I107,"PAGADO",IF(COUNTIF(Q107:AN107,TRUE())&gt;0,"PARCIAL","VIGENTE")))</f>
        <v/>
      </c>
      <c r="Q107" s="19" t="str">
        <f aca="false">IF(OR(I107="",I107&lt;1,O107=""),"",O107+0)</f>
        <v/>
      </c>
      <c r="R107" s="19" t="str">
        <f aca="false">IF(OR(I107="",I107&lt;2,O107=""),"",O107+30)</f>
        <v/>
      </c>
      <c r="S107" s="19" t="str">
        <f aca="false">IF(OR(I107="",I107&lt;3,O107=""),"",O107+60)</f>
        <v/>
      </c>
      <c r="T107" s="19" t="str">
        <f aca="false">IF(OR(I107="",I107&lt;4,O107=""),"",O107+90)</f>
        <v/>
      </c>
      <c r="U107" s="19" t="str">
        <f aca="false">IF(OR(I107="",I107&lt;5,O107=""),"",O107+120)</f>
        <v/>
      </c>
      <c r="V107" s="19" t="str">
        <f aca="false">IF(OR(I107="",I107&lt;6,O107=""),"",O107+150)</f>
        <v/>
      </c>
      <c r="W107" s="19" t="str">
        <f aca="false">IF(OR(I107="",I107&lt;7,O107=""),"",O107+180)</f>
        <v/>
      </c>
      <c r="X107" s="19" t="str">
        <f aca="false">IF(OR(I107="",I107&lt;8,O107=""),"",O107+210)</f>
        <v/>
      </c>
      <c r="Y107" s="19" t="str">
        <f aca="false">IF(OR(I107="",I107&lt;9,O107=""),"",O107+240)</f>
        <v/>
      </c>
      <c r="Z107" s="19" t="str">
        <f aca="false">IF(OR(I107="",I107&lt;10,O107=""),"",O107+270)</f>
        <v/>
      </c>
      <c r="AA107" s="19" t="str">
        <f aca="false">IF(OR(I107="",I107&lt;11,O107=""),"",O107+300)</f>
        <v/>
      </c>
      <c r="AB107" s="19" t="str">
        <f aca="false">IF(OR(I107="",I107&lt;12,O107=""),"",O107+330)</f>
        <v/>
      </c>
      <c r="AC107" s="19" t="str">
        <f aca="false">IF(OR(I107="",I107&lt;13,O107=""),"",O107+360)</f>
        <v/>
      </c>
      <c r="AD107" s="19" t="str">
        <f aca="false">IF(OR(I107="",I107&lt;14,O107=""),"",O107+390)</f>
        <v/>
      </c>
      <c r="AE107" s="19" t="str">
        <f aca="false">IF(OR(I107="",I107&lt;15,O107=""),"",O107+420)</f>
        <v/>
      </c>
      <c r="AF107" s="19" t="str">
        <f aca="false">IF(OR(I107="",I107&lt;16,O107=""),"",O107+450)</f>
        <v/>
      </c>
      <c r="AG107" s="19" t="str">
        <f aca="false">IF(OR(I107="",I107&lt;17,O107=""),"",O107+480)</f>
        <v/>
      </c>
      <c r="AH107" s="19" t="str">
        <f aca="false">IF(OR(I107="",I107&lt;18,O107=""),"",O107+510)</f>
        <v/>
      </c>
      <c r="AI107" s="19" t="str">
        <f aca="false">IF(OR(I107="",I107&lt;19,O107=""),"",O107+540)</f>
        <v/>
      </c>
      <c r="AJ107" s="19" t="str">
        <f aca="false">IF(OR(I107="",I107&lt;20,O107=""),"",O107+570)</f>
        <v/>
      </c>
      <c r="AK107" s="19" t="str">
        <f aca="false">IF(OR(I107="",I107&lt;21,O107=""),"",O107+600)</f>
        <v/>
      </c>
      <c r="AL107" s="19" t="str">
        <f aca="false">IF(OR(I107="",I107&lt;22,O107=""),"",O107+630)</f>
        <v/>
      </c>
      <c r="AM107" s="19" t="str">
        <f aca="false">IF(OR(I107="",I107&lt;23,O107=""),"",O107+660)</f>
        <v/>
      </c>
      <c r="AN107" s="19" t="str">
        <f aca="false">IF(OR(I107="",I107&lt;24,O107=""),"",O107+690)</f>
        <v/>
      </c>
      <c r="AO107" s="15" t="str">
        <f aca="false">IF(J107="","",COUNTIF(Q107:AN107,TRUE())*J107)</f>
        <v/>
      </c>
      <c r="AP107" s="15" t="str">
        <f aca="false">IF(K107="","",K107-AO107)</f>
        <v/>
      </c>
      <c r="AQ107" s="15" t="str">
        <f aca="false">IF(K107="","",K107-F107-IF(N107="",0,N107))</f>
        <v/>
      </c>
    </row>
    <row r="108" customFormat="false" ht="15" hidden="false" customHeight="false" outlineLevel="0" collapsed="false">
      <c r="A108" s="4"/>
      <c r="B108" s="4"/>
      <c r="C108" s="4"/>
      <c r="D108" s="5"/>
      <c r="E108" s="5"/>
      <c r="F108" s="6"/>
      <c r="G108" s="4"/>
      <c r="H108" s="4"/>
      <c r="I108" s="4"/>
      <c r="J108" s="6"/>
      <c r="K108" s="7" t="str">
        <f aca="false">IF(OR(I108="",J108=""),"",I108*J108)</f>
        <v/>
      </c>
      <c r="L108" s="4"/>
      <c r="M108" s="8"/>
      <c r="N108" s="7" t="str">
        <f aca="false">IF(OR(L108="",M108="",K108=""),"",IF(L108="GANANCIA",(K108-F108)*M108,IF(L108="BRUTO",K108*M108,"")))</f>
        <v/>
      </c>
      <c r="O108" s="9" t="str">
        <f aca="false">IF(D108="","",D108)</f>
        <v/>
      </c>
      <c r="P108" s="10" t="str">
        <f aca="false">IF(I108="","",IF(COUNTIF(Q108:AN108,TRUE())&gt;=I108,"PAGADO",IF(COUNTIF(Q108:AN108,TRUE())&gt;0,"PARCIAL","VIGENTE")))</f>
        <v/>
      </c>
      <c r="Q108" s="11" t="str">
        <f aca="false">IF(OR(I108="",I108&lt;1,O108=""),"",O108+0)</f>
        <v/>
      </c>
      <c r="R108" s="11" t="str">
        <f aca="false">IF(OR(I108="",I108&lt;2,O108=""),"",O108+30)</f>
        <v/>
      </c>
      <c r="S108" s="11" t="str">
        <f aca="false">IF(OR(I108="",I108&lt;3,O108=""),"",O108+60)</f>
        <v/>
      </c>
      <c r="T108" s="11" t="str">
        <f aca="false">IF(OR(I108="",I108&lt;4,O108=""),"",O108+90)</f>
        <v/>
      </c>
      <c r="U108" s="11" t="str">
        <f aca="false">IF(OR(I108="",I108&lt;5,O108=""),"",O108+120)</f>
        <v/>
      </c>
      <c r="V108" s="11" t="str">
        <f aca="false">IF(OR(I108="",I108&lt;6,O108=""),"",O108+150)</f>
        <v/>
      </c>
      <c r="W108" s="11" t="str">
        <f aca="false">IF(OR(I108="",I108&lt;7,O108=""),"",O108+180)</f>
        <v/>
      </c>
      <c r="X108" s="11" t="str">
        <f aca="false">IF(OR(I108="",I108&lt;8,O108=""),"",O108+210)</f>
        <v/>
      </c>
      <c r="Y108" s="11" t="str">
        <f aca="false">IF(OR(I108="",I108&lt;9,O108=""),"",O108+240)</f>
        <v/>
      </c>
      <c r="Z108" s="11" t="str">
        <f aca="false">IF(OR(I108="",I108&lt;10,O108=""),"",O108+270)</f>
        <v/>
      </c>
      <c r="AA108" s="11" t="str">
        <f aca="false">IF(OR(I108="",I108&lt;11,O108=""),"",O108+300)</f>
        <v/>
      </c>
      <c r="AB108" s="11" t="str">
        <f aca="false">IF(OR(I108="",I108&lt;12,O108=""),"",O108+330)</f>
        <v/>
      </c>
      <c r="AC108" s="11" t="str">
        <f aca="false">IF(OR(I108="",I108&lt;13,O108=""),"",O108+360)</f>
        <v/>
      </c>
      <c r="AD108" s="11" t="str">
        <f aca="false">IF(OR(I108="",I108&lt;14,O108=""),"",O108+390)</f>
        <v/>
      </c>
      <c r="AE108" s="11" t="str">
        <f aca="false">IF(OR(I108="",I108&lt;15,O108=""),"",O108+420)</f>
        <v/>
      </c>
      <c r="AF108" s="11" t="str">
        <f aca="false">IF(OR(I108="",I108&lt;16,O108=""),"",O108+450)</f>
        <v/>
      </c>
      <c r="AG108" s="11" t="str">
        <f aca="false">IF(OR(I108="",I108&lt;17,O108=""),"",O108+480)</f>
        <v/>
      </c>
      <c r="AH108" s="11" t="str">
        <f aca="false">IF(OR(I108="",I108&lt;18,O108=""),"",O108+510)</f>
        <v/>
      </c>
      <c r="AI108" s="11" t="str">
        <f aca="false">IF(OR(I108="",I108&lt;19,O108=""),"",O108+540)</f>
        <v/>
      </c>
      <c r="AJ108" s="11" t="str">
        <f aca="false">IF(OR(I108="",I108&lt;20,O108=""),"",O108+570)</f>
        <v/>
      </c>
      <c r="AK108" s="11" t="str">
        <f aca="false">IF(OR(I108="",I108&lt;21,O108=""),"",O108+600)</f>
        <v/>
      </c>
      <c r="AL108" s="11" t="str">
        <f aca="false">IF(OR(I108="",I108&lt;22,O108=""),"",O108+630)</f>
        <v/>
      </c>
      <c r="AM108" s="11" t="str">
        <f aca="false">IF(OR(I108="",I108&lt;23,O108=""),"",O108+660)</f>
        <v/>
      </c>
      <c r="AN108" s="11" t="str">
        <f aca="false">IF(OR(I108="",I108&lt;24,O108=""),"",O108+690)</f>
        <v/>
      </c>
      <c r="AO108" s="7" t="str">
        <f aca="false">IF(J108="","",COUNTIF(Q108:AN108,TRUE())*J108)</f>
        <v/>
      </c>
      <c r="AP108" s="7" t="str">
        <f aca="false">IF(K108="","",K108-AO108)</f>
        <v/>
      </c>
      <c r="AQ108" s="7" t="str">
        <f aca="false">IF(K108="","",K108-F108-IF(N108="",0,N108))</f>
        <v/>
      </c>
    </row>
    <row r="109" customFormat="false" ht="15" hidden="false" customHeight="false" outlineLevel="0" collapsed="false">
      <c r="A109" s="12"/>
      <c r="B109" s="12"/>
      <c r="C109" s="12"/>
      <c r="D109" s="13"/>
      <c r="E109" s="13"/>
      <c r="F109" s="14"/>
      <c r="G109" s="12"/>
      <c r="H109" s="12"/>
      <c r="I109" s="12"/>
      <c r="J109" s="14"/>
      <c r="K109" s="15" t="str">
        <f aca="false">IF(OR(I109="",J109=""),"",I109*J109)</f>
        <v/>
      </c>
      <c r="L109" s="12"/>
      <c r="M109" s="16"/>
      <c r="N109" s="15" t="str">
        <f aca="false">IF(OR(L109="",M109="",K109=""),"",IF(L109="GANANCIA",(K109-F109)*M109,IF(L109="BRUTO",K109*M109,"")))</f>
        <v/>
      </c>
      <c r="O109" s="17" t="str">
        <f aca="false">IF(D109="","",D109)</f>
        <v/>
      </c>
      <c r="P109" s="18" t="str">
        <f aca="false">IF(I109="","",IF(COUNTIF(Q109:AN109,TRUE())&gt;=I109,"PAGADO",IF(COUNTIF(Q109:AN109,TRUE())&gt;0,"PARCIAL","VIGENTE")))</f>
        <v/>
      </c>
      <c r="Q109" s="19" t="str">
        <f aca="false">IF(OR(I109="",I109&lt;1,O109=""),"",O109+0)</f>
        <v/>
      </c>
      <c r="R109" s="19" t="str">
        <f aca="false">IF(OR(I109="",I109&lt;2,O109=""),"",O109+30)</f>
        <v/>
      </c>
      <c r="S109" s="19" t="str">
        <f aca="false">IF(OR(I109="",I109&lt;3,O109=""),"",O109+60)</f>
        <v/>
      </c>
      <c r="T109" s="19" t="str">
        <f aca="false">IF(OR(I109="",I109&lt;4,O109=""),"",O109+90)</f>
        <v/>
      </c>
      <c r="U109" s="19" t="str">
        <f aca="false">IF(OR(I109="",I109&lt;5,O109=""),"",O109+120)</f>
        <v/>
      </c>
      <c r="V109" s="19" t="str">
        <f aca="false">IF(OR(I109="",I109&lt;6,O109=""),"",O109+150)</f>
        <v/>
      </c>
      <c r="W109" s="19" t="str">
        <f aca="false">IF(OR(I109="",I109&lt;7,O109=""),"",O109+180)</f>
        <v/>
      </c>
      <c r="X109" s="19" t="str">
        <f aca="false">IF(OR(I109="",I109&lt;8,O109=""),"",O109+210)</f>
        <v/>
      </c>
      <c r="Y109" s="19" t="str">
        <f aca="false">IF(OR(I109="",I109&lt;9,O109=""),"",O109+240)</f>
        <v/>
      </c>
      <c r="Z109" s="19" t="str">
        <f aca="false">IF(OR(I109="",I109&lt;10,O109=""),"",O109+270)</f>
        <v/>
      </c>
      <c r="AA109" s="19" t="str">
        <f aca="false">IF(OR(I109="",I109&lt;11,O109=""),"",O109+300)</f>
        <v/>
      </c>
      <c r="AB109" s="19" t="str">
        <f aca="false">IF(OR(I109="",I109&lt;12,O109=""),"",O109+330)</f>
        <v/>
      </c>
      <c r="AC109" s="19" t="str">
        <f aca="false">IF(OR(I109="",I109&lt;13,O109=""),"",O109+360)</f>
        <v/>
      </c>
      <c r="AD109" s="19" t="str">
        <f aca="false">IF(OR(I109="",I109&lt;14,O109=""),"",O109+390)</f>
        <v/>
      </c>
      <c r="AE109" s="19" t="str">
        <f aca="false">IF(OR(I109="",I109&lt;15,O109=""),"",O109+420)</f>
        <v/>
      </c>
      <c r="AF109" s="19" t="str">
        <f aca="false">IF(OR(I109="",I109&lt;16,O109=""),"",O109+450)</f>
        <v/>
      </c>
      <c r="AG109" s="19" t="str">
        <f aca="false">IF(OR(I109="",I109&lt;17,O109=""),"",O109+480)</f>
        <v/>
      </c>
      <c r="AH109" s="19" t="str">
        <f aca="false">IF(OR(I109="",I109&lt;18,O109=""),"",O109+510)</f>
        <v/>
      </c>
      <c r="AI109" s="19" t="str">
        <f aca="false">IF(OR(I109="",I109&lt;19,O109=""),"",O109+540)</f>
        <v/>
      </c>
      <c r="AJ109" s="19" t="str">
        <f aca="false">IF(OR(I109="",I109&lt;20,O109=""),"",O109+570)</f>
        <v/>
      </c>
      <c r="AK109" s="19" t="str">
        <f aca="false">IF(OR(I109="",I109&lt;21,O109=""),"",O109+600)</f>
        <v/>
      </c>
      <c r="AL109" s="19" t="str">
        <f aca="false">IF(OR(I109="",I109&lt;22,O109=""),"",O109+630)</f>
        <v/>
      </c>
      <c r="AM109" s="19" t="str">
        <f aca="false">IF(OR(I109="",I109&lt;23,O109=""),"",O109+660)</f>
        <v/>
      </c>
      <c r="AN109" s="19" t="str">
        <f aca="false">IF(OR(I109="",I109&lt;24,O109=""),"",O109+690)</f>
        <v/>
      </c>
      <c r="AO109" s="15" t="str">
        <f aca="false">IF(J109="","",COUNTIF(Q109:AN109,TRUE())*J109)</f>
        <v/>
      </c>
      <c r="AP109" s="15" t="str">
        <f aca="false">IF(K109="","",K109-AO109)</f>
        <v/>
      </c>
      <c r="AQ109" s="15" t="str">
        <f aca="false">IF(K109="","",K109-F109-IF(N109="",0,N109))</f>
        <v/>
      </c>
    </row>
    <row r="110" customFormat="false" ht="15" hidden="false" customHeight="false" outlineLevel="0" collapsed="false">
      <c r="A110" s="4"/>
      <c r="B110" s="4"/>
      <c r="C110" s="4"/>
      <c r="D110" s="5"/>
      <c r="E110" s="5"/>
      <c r="F110" s="6"/>
      <c r="G110" s="4"/>
      <c r="H110" s="4"/>
      <c r="I110" s="4"/>
      <c r="J110" s="6"/>
      <c r="K110" s="7" t="str">
        <f aca="false">IF(OR(I110="",J110=""),"",I110*J110)</f>
        <v/>
      </c>
      <c r="L110" s="4"/>
      <c r="M110" s="8"/>
      <c r="N110" s="7" t="str">
        <f aca="false">IF(OR(L110="",M110="",K110=""),"",IF(L110="GANANCIA",(K110-F110)*M110,IF(L110="BRUTO",K110*M110,"")))</f>
        <v/>
      </c>
      <c r="O110" s="9" t="str">
        <f aca="false">IF(D110="","",D110)</f>
        <v/>
      </c>
      <c r="P110" s="10" t="str">
        <f aca="false">IF(I110="","",IF(COUNTIF(Q110:AN110,TRUE())&gt;=I110,"PAGADO",IF(COUNTIF(Q110:AN110,TRUE())&gt;0,"PARCIAL","VIGENTE")))</f>
        <v/>
      </c>
      <c r="Q110" s="11" t="str">
        <f aca="false">IF(OR(I110="",I110&lt;1,O110=""),"",O110+0)</f>
        <v/>
      </c>
      <c r="R110" s="11" t="str">
        <f aca="false">IF(OR(I110="",I110&lt;2,O110=""),"",O110+30)</f>
        <v/>
      </c>
      <c r="S110" s="11" t="str">
        <f aca="false">IF(OR(I110="",I110&lt;3,O110=""),"",O110+60)</f>
        <v/>
      </c>
      <c r="T110" s="11" t="str">
        <f aca="false">IF(OR(I110="",I110&lt;4,O110=""),"",O110+90)</f>
        <v/>
      </c>
      <c r="U110" s="11" t="str">
        <f aca="false">IF(OR(I110="",I110&lt;5,O110=""),"",O110+120)</f>
        <v/>
      </c>
      <c r="V110" s="11" t="str">
        <f aca="false">IF(OR(I110="",I110&lt;6,O110=""),"",O110+150)</f>
        <v/>
      </c>
      <c r="W110" s="11" t="str">
        <f aca="false">IF(OR(I110="",I110&lt;7,O110=""),"",O110+180)</f>
        <v/>
      </c>
      <c r="X110" s="11" t="str">
        <f aca="false">IF(OR(I110="",I110&lt;8,O110=""),"",O110+210)</f>
        <v/>
      </c>
      <c r="Y110" s="11" t="str">
        <f aca="false">IF(OR(I110="",I110&lt;9,O110=""),"",O110+240)</f>
        <v/>
      </c>
      <c r="Z110" s="11" t="str">
        <f aca="false">IF(OR(I110="",I110&lt;10,O110=""),"",O110+270)</f>
        <v/>
      </c>
      <c r="AA110" s="11" t="str">
        <f aca="false">IF(OR(I110="",I110&lt;11,O110=""),"",O110+300)</f>
        <v/>
      </c>
      <c r="AB110" s="11" t="str">
        <f aca="false">IF(OR(I110="",I110&lt;12,O110=""),"",O110+330)</f>
        <v/>
      </c>
      <c r="AC110" s="11" t="str">
        <f aca="false">IF(OR(I110="",I110&lt;13,O110=""),"",O110+360)</f>
        <v/>
      </c>
      <c r="AD110" s="11" t="str">
        <f aca="false">IF(OR(I110="",I110&lt;14,O110=""),"",O110+390)</f>
        <v/>
      </c>
      <c r="AE110" s="11" t="str">
        <f aca="false">IF(OR(I110="",I110&lt;15,O110=""),"",O110+420)</f>
        <v/>
      </c>
      <c r="AF110" s="11" t="str">
        <f aca="false">IF(OR(I110="",I110&lt;16,O110=""),"",O110+450)</f>
        <v/>
      </c>
      <c r="AG110" s="11" t="str">
        <f aca="false">IF(OR(I110="",I110&lt;17,O110=""),"",O110+480)</f>
        <v/>
      </c>
      <c r="AH110" s="11" t="str">
        <f aca="false">IF(OR(I110="",I110&lt;18,O110=""),"",O110+510)</f>
        <v/>
      </c>
      <c r="AI110" s="11" t="str">
        <f aca="false">IF(OR(I110="",I110&lt;19,O110=""),"",O110+540)</f>
        <v/>
      </c>
      <c r="AJ110" s="11" t="str">
        <f aca="false">IF(OR(I110="",I110&lt;20,O110=""),"",O110+570)</f>
        <v/>
      </c>
      <c r="AK110" s="11" t="str">
        <f aca="false">IF(OR(I110="",I110&lt;21,O110=""),"",O110+600)</f>
        <v/>
      </c>
      <c r="AL110" s="11" t="str">
        <f aca="false">IF(OR(I110="",I110&lt;22,O110=""),"",O110+630)</f>
        <v/>
      </c>
      <c r="AM110" s="11" t="str">
        <f aca="false">IF(OR(I110="",I110&lt;23,O110=""),"",O110+660)</f>
        <v/>
      </c>
      <c r="AN110" s="11" t="str">
        <f aca="false">IF(OR(I110="",I110&lt;24,O110=""),"",O110+690)</f>
        <v/>
      </c>
      <c r="AO110" s="7" t="str">
        <f aca="false">IF(J110="","",COUNTIF(Q110:AN110,TRUE())*J110)</f>
        <v/>
      </c>
      <c r="AP110" s="7" t="str">
        <f aca="false">IF(K110="","",K110-AO110)</f>
        <v/>
      </c>
      <c r="AQ110" s="7" t="str">
        <f aca="false">IF(K110="","",K110-F110-IF(N110="",0,N110))</f>
        <v/>
      </c>
    </row>
    <row r="111" customFormat="false" ht="15" hidden="false" customHeight="false" outlineLevel="0" collapsed="false">
      <c r="A111" s="12"/>
      <c r="B111" s="12"/>
      <c r="C111" s="12"/>
      <c r="D111" s="13"/>
      <c r="E111" s="13"/>
      <c r="F111" s="14"/>
      <c r="G111" s="12"/>
      <c r="H111" s="12"/>
      <c r="I111" s="12"/>
      <c r="J111" s="14"/>
      <c r="K111" s="15" t="str">
        <f aca="false">IF(OR(I111="",J111=""),"",I111*J111)</f>
        <v/>
      </c>
      <c r="L111" s="12"/>
      <c r="M111" s="16"/>
      <c r="N111" s="15" t="str">
        <f aca="false">IF(OR(L111="",M111="",K111=""),"",IF(L111="GANANCIA",(K111-F111)*M111,IF(L111="BRUTO",K111*M111,"")))</f>
        <v/>
      </c>
      <c r="O111" s="17" t="str">
        <f aca="false">IF(D111="","",D111)</f>
        <v/>
      </c>
      <c r="P111" s="18" t="str">
        <f aca="false">IF(I111="","",IF(COUNTIF(Q111:AN111,TRUE())&gt;=I111,"PAGADO",IF(COUNTIF(Q111:AN111,TRUE())&gt;0,"PARCIAL","VIGENTE")))</f>
        <v/>
      </c>
      <c r="Q111" s="19" t="str">
        <f aca="false">IF(OR(I111="",I111&lt;1,O111=""),"",O111+0)</f>
        <v/>
      </c>
      <c r="R111" s="19" t="str">
        <f aca="false">IF(OR(I111="",I111&lt;2,O111=""),"",O111+30)</f>
        <v/>
      </c>
      <c r="S111" s="19" t="str">
        <f aca="false">IF(OR(I111="",I111&lt;3,O111=""),"",O111+60)</f>
        <v/>
      </c>
      <c r="T111" s="19" t="str">
        <f aca="false">IF(OR(I111="",I111&lt;4,O111=""),"",O111+90)</f>
        <v/>
      </c>
      <c r="U111" s="19" t="str">
        <f aca="false">IF(OR(I111="",I111&lt;5,O111=""),"",O111+120)</f>
        <v/>
      </c>
      <c r="V111" s="19" t="str">
        <f aca="false">IF(OR(I111="",I111&lt;6,O111=""),"",O111+150)</f>
        <v/>
      </c>
      <c r="W111" s="19" t="str">
        <f aca="false">IF(OR(I111="",I111&lt;7,O111=""),"",O111+180)</f>
        <v/>
      </c>
      <c r="X111" s="19" t="str">
        <f aca="false">IF(OR(I111="",I111&lt;8,O111=""),"",O111+210)</f>
        <v/>
      </c>
      <c r="Y111" s="19" t="str">
        <f aca="false">IF(OR(I111="",I111&lt;9,O111=""),"",O111+240)</f>
        <v/>
      </c>
      <c r="Z111" s="19" t="str">
        <f aca="false">IF(OR(I111="",I111&lt;10,O111=""),"",O111+270)</f>
        <v/>
      </c>
      <c r="AA111" s="19" t="str">
        <f aca="false">IF(OR(I111="",I111&lt;11,O111=""),"",O111+300)</f>
        <v/>
      </c>
      <c r="AB111" s="19" t="str">
        <f aca="false">IF(OR(I111="",I111&lt;12,O111=""),"",O111+330)</f>
        <v/>
      </c>
      <c r="AC111" s="19" t="str">
        <f aca="false">IF(OR(I111="",I111&lt;13,O111=""),"",O111+360)</f>
        <v/>
      </c>
      <c r="AD111" s="19" t="str">
        <f aca="false">IF(OR(I111="",I111&lt;14,O111=""),"",O111+390)</f>
        <v/>
      </c>
      <c r="AE111" s="19" t="str">
        <f aca="false">IF(OR(I111="",I111&lt;15,O111=""),"",O111+420)</f>
        <v/>
      </c>
      <c r="AF111" s="19" t="str">
        <f aca="false">IF(OR(I111="",I111&lt;16,O111=""),"",O111+450)</f>
        <v/>
      </c>
      <c r="AG111" s="19" t="str">
        <f aca="false">IF(OR(I111="",I111&lt;17,O111=""),"",O111+480)</f>
        <v/>
      </c>
      <c r="AH111" s="19" t="str">
        <f aca="false">IF(OR(I111="",I111&lt;18,O111=""),"",O111+510)</f>
        <v/>
      </c>
      <c r="AI111" s="19" t="str">
        <f aca="false">IF(OR(I111="",I111&lt;19,O111=""),"",O111+540)</f>
        <v/>
      </c>
      <c r="AJ111" s="19" t="str">
        <f aca="false">IF(OR(I111="",I111&lt;20,O111=""),"",O111+570)</f>
        <v/>
      </c>
      <c r="AK111" s="19" t="str">
        <f aca="false">IF(OR(I111="",I111&lt;21,O111=""),"",O111+600)</f>
        <v/>
      </c>
      <c r="AL111" s="19" t="str">
        <f aca="false">IF(OR(I111="",I111&lt;22,O111=""),"",O111+630)</f>
        <v/>
      </c>
      <c r="AM111" s="19" t="str">
        <f aca="false">IF(OR(I111="",I111&lt;23,O111=""),"",O111+660)</f>
        <v/>
      </c>
      <c r="AN111" s="19" t="str">
        <f aca="false">IF(OR(I111="",I111&lt;24,O111=""),"",O111+690)</f>
        <v/>
      </c>
      <c r="AO111" s="15" t="str">
        <f aca="false">IF(J111="","",COUNTIF(Q111:AN111,TRUE())*J111)</f>
        <v/>
      </c>
      <c r="AP111" s="15" t="str">
        <f aca="false">IF(K111="","",K111-AO111)</f>
        <v/>
      </c>
      <c r="AQ111" s="15" t="str">
        <f aca="false">IF(K111="","",K111-F111-IF(N111="",0,N111))</f>
        <v/>
      </c>
    </row>
    <row r="112" customFormat="false" ht="15" hidden="false" customHeight="false" outlineLevel="0" collapsed="false">
      <c r="A112" s="4"/>
      <c r="B112" s="4"/>
      <c r="C112" s="4"/>
      <c r="D112" s="5"/>
      <c r="E112" s="5"/>
      <c r="F112" s="6"/>
      <c r="G112" s="4"/>
      <c r="H112" s="4"/>
      <c r="I112" s="4"/>
      <c r="J112" s="6"/>
      <c r="K112" s="7" t="str">
        <f aca="false">IF(OR(I112="",J112=""),"",I112*J112)</f>
        <v/>
      </c>
      <c r="L112" s="4"/>
      <c r="M112" s="8"/>
      <c r="N112" s="7" t="str">
        <f aca="false">IF(OR(L112="",M112="",K112=""),"",IF(L112="GANANCIA",(K112-F112)*M112,IF(L112="BRUTO",K112*M112,"")))</f>
        <v/>
      </c>
      <c r="O112" s="9" t="str">
        <f aca="false">IF(D112="","",D112)</f>
        <v/>
      </c>
      <c r="P112" s="10" t="str">
        <f aca="false">IF(I112="","",IF(COUNTIF(Q112:AN112,TRUE())&gt;=I112,"PAGADO",IF(COUNTIF(Q112:AN112,TRUE())&gt;0,"PARCIAL","VIGENTE")))</f>
        <v/>
      </c>
      <c r="Q112" s="11" t="str">
        <f aca="false">IF(OR(I112="",I112&lt;1,O112=""),"",O112+0)</f>
        <v/>
      </c>
      <c r="R112" s="11" t="str">
        <f aca="false">IF(OR(I112="",I112&lt;2,O112=""),"",O112+30)</f>
        <v/>
      </c>
      <c r="S112" s="11" t="str">
        <f aca="false">IF(OR(I112="",I112&lt;3,O112=""),"",O112+60)</f>
        <v/>
      </c>
      <c r="T112" s="11" t="str">
        <f aca="false">IF(OR(I112="",I112&lt;4,O112=""),"",O112+90)</f>
        <v/>
      </c>
      <c r="U112" s="11" t="str">
        <f aca="false">IF(OR(I112="",I112&lt;5,O112=""),"",O112+120)</f>
        <v/>
      </c>
      <c r="V112" s="11" t="str">
        <f aca="false">IF(OR(I112="",I112&lt;6,O112=""),"",O112+150)</f>
        <v/>
      </c>
      <c r="W112" s="11" t="str">
        <f aca="false">IF(OR(I112="",I112&lt;7,O112=""),"",O112+180)</f>
        <v/>
      </c>
      <c r="X112" s="11" t="str">
        <f aca="false">IF(OR(I112="",I112&lt;8,O112=""),"",O112+210)</f>
        <v/>
      </c>
      <c r="Y112" s="11" t="str">
        <f aca="false">IF(OR(I112="",I112&lt;9,O112=""),"",O112+240)</f>
        <v/>
      </c>
      <c r="Z112" s="11" t="str">
        <f aca="false">IF(OR(I112="",I112&lt;10,O112=""),"",O112+270)</f>
        <v/>
      </c>
      <c r="AA112" s="11" t="str">
        <f aca="false">IF(OR(I112="",I112&lt;11,O112=""),"",O112+300)</f>
        <v/>
      </c>
      <c r="AB112" s="11" t="str">
        <f aca="false">IF(OR(I112="",I112&lt;12,O112=""),"",O112+330)</f>
        <v/>
      </c>
      <c r="AC112" s="11" t="str">
        <f aca="false">IF(OR(I112="",I112&lt;13,O112=""),"",O112+360)</f>
        <v/>
      </c>
      <c r="AD112" s="11" t="str">
        <f aca="false">IF(OR(I112="",I112&lt;14,O112=""),"",O112+390)</f>
        <v/>
      </c>
      <c r="AE112" s="11" t="str">
        <f aca="false">IF(OR(I112="",I112&lt;15,O112=""),"",O112+420)</f>
        <v/>
      </c>
      <c r="AF112" s="11" t="str">
        <f aca="false">IF(OR(I112="",I112&lt;16,O112=""),"",O112+450)</f>
        <v/>
      </c>
      <c r="AG112" s="11" t="str">
        <f aca="false">IF(OR(I112="",I112&lt;17,O112=""),"",O112+480)</f>
        <v/>
      </c>
      <c r="AH112" s="11" t="str">
        <f aca="false">IF(OR(I112="",I112&lt;18,O112=""),"",O112+510)</f>
        <v/>
      </c>
      <c r="AI112" s="11" t="str">
        <f aca="false">IF(OR(I112="",I112&lt;19,O112=""),"",O112+540)</f>
        <v/>
      </c>
      <c r="AJ112" s="11" t="str">
        <f aca="false">IF(OR(I112="",I112&lt;20,O112=""),"",O112+570)</f>
        <v/>
      </c>
      <c r="AK112" s="11" t="str">
        <f aca="false">IF(OR(I112="",I112&lt;21,O112=""),"",O112+600)</f>
        <v/>
      </c>
      <c r="AL112" s="11" t="str">
        <f aca="false">IF(OR(I112="",I112&lt;22,O112=""),"",O112+630)</f>
        <v/>
      </c>
      <c r="AM112" s="11" t="str">
        <f aca="false">IF(OR(I112="",I112&lt;23,O112=""),"",O112+660)</f>
        <v/>
      </c>
      <c r="AN112" s="11" t="str">
        <f aca="false">IF(OR(I112="",I112&lt;24,O112=""),"",O112+690)</f>
        <v/>
      </c>
      <c r="AO112" s="7" t="str">
        <f aca="false">IF(J112="","",COUNTIF(Q112:AN112,TRUE())*J112)</f>
        <v/>
      </c>
      <c r="AP112" s="7" t="str">
        <f aca="false">IF(K112="","",K112-AO112)</f>
        <v/>
      </c>
      <c r="AQ112" s="7" t="str">
        <f aca="false">IF(K112="","",K112-F112-IF(N112="",0,N112))</f>
        <v/>
      </c>
    </row>
    <row r="113" customFormat="false" ht="15" hidden="false" customHeight="false" outlineLevel="0" collapsed="false">
      <c r="A113" s="12"/>
      <c r="B113" s="12"/>
      <c r="C113" s="12"/>
      <c r="D113" s="13"/>
      <c r="E113" s="13"/>
      <c r="F113" s="14"/>
      <c r="G113" s="12"/>
      <c r="H113" s="12"/>
      <c r="I113" s="12"/>
      <c r="J113" s="14"/>
      <c r="K113" s="15" t="str">
        <f aca="false">IF(OR(I113="",J113=""),"",I113*J113)</f>
        <v/>
      </c>
      <c r="L113" s="12"/>
      <c r="M113" s="16"/>
      <c r="N113" s="15" t="str">
        <f aca="false">IF(OR(L113="",M113="",K113=""),"",IF(L113="GANANCIA",(K113-F113)*M113,IF(L113="BRUTO",K113*M113,"")))</f>
        <v/>
      </c>
      <c r="O113" s="17" t="str">
        <f aca="false">IF(D113="","",D113)</f>
        <v/>
      </c>
      <c r="P113" s="18" t="str">
        <f aca="false">IF(I113="","",IF(COUNTIF(Q113:AN113,TRUE())&gt;=I113,"PAGADO",IF(COUNTIF(Q113:AN113,TRUE())&gt;0,"PARCIAL","VIGENTE")))</f>
        <v/>
      </c>
      <c r="Q113" s="19" t="str">
        <f aca="false">IF(OR(I113="",I113&lt;1,O113=""),"",O113+0)</f>
        <v/>
      </c>
      <c r="R113" s="19" t="str">
        <f aca="false">IF(OR(I113="",I113&lt;2,O113=""),"",O113+30)</f>
        <v/>
      </c>
      <c r="S113" s="19" t="str">
        <f aca="false">IF(OR(I113="",I113&lt;3,O113=""),"",O113+60)</f>
        <v/>
      </c>
      <c r="T113" s="19" t="str">
        <f aca="false">IF(OR(I113="",I113&lt;4,O113=""),"",O113+90)</f>
        <v/>
      </c>
      <c r="U113" s="19" t="str">
        <f aca="false">IF(OR(I113="",I113&lt;5,O113=""),"",O113+120)</f>
        <v/>
      </c>
      <c r="V113" s="19" t="str">
        <f aca="false">IF(OR(I113="",I113&lt;6,O113=""),"",O113+150)</f>
        <v/>
      </c>
      <c r="W113" s="19" t="str">
        <f aca="false">IF(OR(I113="",I113&lt;7,O113=""),"",O113+180)</f>
        <v/>
      </c>
      <c r="X113" s="19" t="str">
        <f aca="false">IF(OR(I113="",I113&lt;8,O113=""),"",O113+210)</f>
        <v/>
      </c>
      <c r="Y113" s="19" t="str">
        <f aca="false">IF(OR(I113="",I113&lt;9,O113=""),"",O113+240)</f>
        <v/>
      </c>
      <c r="Z113" s="19" t="str">
        <f aca="false">IF(OR(I113="",I113&lt;10,O113=""),"",O113+270)</f>
        <v/>
      </c>
      <c r="AA113" s="19" t="str">
        <f aca="false">IF(OR(I113="",I113&lt;11,O113=""),"",O113+300)</f>
        <v/>
      </c>
      <c r="AB113" s="19" t="str">
        <f aca="false">IF(OR(I113="",I113&lt;12,O113=""),"",O113+330)</f>
        <v/>
      </c>
      <c r="AC113" s="19" t="str">
        <f aca="false">IF(OR(I113="",I113&lt;13,O113=""),"",O113+360)</f>
        <v/>
      </c>
      <c r="AD113" s="19" t="str">
        <f aca="false">IF(OR(I113="",I113&lt;14,O113=""),"",O113+390)</f>
        <v/>
      </c>
      <c r="AE113" s="19" t="str">
        <f aca="false">IF(OR(I113="",I113&lt;15,O113=""),"",O113+420)</f>
        <v/>
      </c>
      <c r="AF113" s="19" t="str">
        <f aca="false">IF(OR(I113="",I113&lt;16,O113=""),"",O113+450)</f>
        <v/>
      </c>
      <c r="AG113" s="19" t="str">
        <f aca="false">IF(OR(I113="",I113&lt;17,O113=""),"",O113+480)</f>
        <v/>
      </c>
      <c r="AH113" s="19" t="str">
        <f aca="false">IF(OR(I113="",I113&lt;18,O113=""),"",O113+510)</f>
        <v/>
      </c>
      <c r="AI113" s="19" t="str">
        <f aca="false">IF(OR(I113="",I113&lt;19,O113=""),"",O113+540)</f>
        <v/>
      </c>
      <c r="AJ113" s="19" t="str">
        <f aca="false">IF(OR(I113="",I113&lt;20,O113=""),"",O113+570)</f>
        <v/>
      </c>
      <c r="AK113" s="19" t="str">
        <f aca="false">IF(OR(I113="",I113&lt;21,O113=""),"",O113+600)</f>
        <v/>
      </c>
      <c r="AL113" s="19" t="str">
        <f aca="false">IF(OR(I113="",I113&lt;22,O113=""),"",O113+630)</f>
        <v/>
      </c>
      <c r="AM113" s="19" t="str">
        <f aca="false">IF(OR(I113="",I113&lt;23,O113=""),"",O113+660)</f>
        <v/>
      </c>
      <c r="AN113" s="19" t="str">
        <f aca="false">IF(OR(I113="",I113&lt;24,O113=""),"",O113+690)</f>
        <v/>
      </c>
      <c r="AO113" s="15" t="str">
        <f aca="false">IF(J113="","",COUNTIF(Q113:AN113,TRUE())*J113)</f>
        <v/>
      </c>
      <c r="AP113" s="15" t="str">
        <f aca="false">IF(K113="","",K113-AO113)</f>
        <v/>
      </c>
      <c r="AQ113" s="15" t="str">
        <f aca="false">IF(K113="","",K113-F113-IF(N113="",0,N113))</f>
        <v/>
      </c>
    </row>
    <row r="114" customFormat="false" ht="15" hidden="false" customHeight="false" outlineLevel="0" collapsed="false">
      <c r="A114" s="4"/>
      <c r="B114" s="4"/>
      <c r="C114" s="4"/>
      <c r="D114" s="5"/>
      <c r="E114" s="5"/>
      <c r="F114" s="6"/>
      <c r="G114" s="4"/>
      <c r="H114" s="4"/>
      <c r="I114" s="4"/>
      <c r="J114" s="6"/>
      <c r="K114" s="7" t="str">
        <f aca="false">IF(OR(I114="",J114=""),"",I114*J114)</f>
        <v/>
      </c>
      <c r="L114" s="4"/>
      <c r="M114" s="8"/>
      <c r="N114" s="7" t="str">
        <f aca="false">IF(OR(L114="",M114="",K114=""),"",IF(L114="GANANCIA",(K114-F114)*M114,IF(L114="BRUTO",K114*M114,"")))</f>
        <v/>
      </c>
      <c r="O114" s="9" t="str">
        <f aca="false">IF(D114="","",D114)</f>
        <v/>
      </c>
      <c r="P114" s="10" t="str">
        <f aca="false">IF(I114="","",IF(COUNTIF(Q114:AN114,TRUE())&gt;=I114,"PAGADO",IF(COUNTIF(Q114:AN114,TRUE())&gt;0,"PARCIAL","VIGENTE")))</f>
        <v/>
      </c>
      <c r="Q114" s="11" t="str">
        <f aca="false">IF(OR(I114="",I114&lt;1,O114=""),"",O114+0)</f>
        <v/>
      </c>
      <c r="R114" s="11" t="str">
        <f aca="false">IF(OR(I114="",I114&lt;2,O114=""),"",O114+30)</f>
        <v/>
      </c>
      <c r="S114" s="11" t="str">
        <f aca="false">IF(OR(I114="",I114&lt;3,O114=""),"",O114+60)</f>
        <v/>
      </c>
      <c r="T114" s="11" t="str">
        <f aca="false">IF(OR(I114="",I114&lt;4,O114=""),"",O114+90)</f>
        <v/>
      </c>
      <c r="U114" s="11" t="str">
        <f aca="false">IF(OR(I114="",I114&lt;5,O114=""),"",O114+120)</f>
        <v/>
      </c>
      <c r="V114" s="11" t="str">
        <f aca="false">IF(OR(I114="",I114&lt;6,O114=""),"",O114+150)</f>
        <v/>
      </c>
      <c r="W114" s="11" t="str">
        <f aca="false">IF(OR(I114="",I114&lt;7,O114=""),"",O114+180)</f>
        <v/>
      </c>
      <c r="X114" s="11" t="str">
        <f aca="false">IF(OR(I114="",I114&lt;8,O114=""),"",O114+210)</f>
        <v/>
      </c>
      <c r="Y114" s="11" t="str">
        <f aca="false">IF(OR(I114="",I114&lt;9,O114=""),"",O114+240)</f>
        <v/>
      </c>
      <c r="Z114" s="11" t="str">
        <f aca="false">IF(OR(I114="",I114&lt;10,O114=""),"",O114+270)</f>
        <v/>
      </c>
      <c r="AA114" s="11" t="str">
        <f aca="false">IF(OR(I114="",I114&lt;11,O114=""),"",O114+300)</f>
        <v/>
      </c>
      <c r="AB114" s="11" t="str">
        <f aca="false">IF(OR(I114="",I114&lt;12,O114=""),"",O114+330)</f>
        <v/>
      </c>
      <c r="AC114" s="11" t="str">
        <f aca="false">IF(OR(I114="",I114&lt;13,O114=""),"",O114+360)</f>
        <v/>
      </c>
      <c r="AD114" s="11" t="str">
        <f aca="false">IF(OR(I114="",I114&lt;14,O114=""),"",O114+390)</f>
        <v/>
      </c>
      <c r="AE114" s="11" t="str">
        <f aca="false">IF(OR(I114="",I114&lt;15,O114=""),"",O114+420)</f>
        <v/>
      </c>
      <c r="AF114" s="11" t="str">
        <f aca="false">IF(OR(I114="",I114&lt;16,O114=""),"",O114+450)</f>
        <v/>
      </c>
      <c r="AG114" s="11" t="str">
        <f aca="false">IF(OR(I114="",I114&lt;17,O114=""),"",O114+480)</f>
        <v/>
      </c>
      <c r="AH114" s="11" t="str">
        <f aca="false">IF(OR(I114="",I114&lt;18,O114=""),"",O114+510)</f>
        <v/>
      </c>
      <c r="AI114" s="11" t="str">
        <f aca="false">IF(OR(I114="",I114&lt;19,O114=""),"",O114+540)</f>
        <v/>
      </c>
      <c r="AJ114" s="11" t="str">
        <f aca="false">IF(OR(I114="",I114&lt;20,O114=""),"",O114+570)</f>
        <v/>
      </c>
      <c r="AK114" s="11" t="str">
        <f aca="false">IF(OR(I114="",I114&lt;21,O114=""),"",O114+600)</f>
        <v/>
      </c>
      <c r="AL114" s="11" t="str">
        <f aca="false">IF(OR(I114="",I114&lt;22,O114=""),"",O114+630)</f>
        <v/>
      </c>
      <c r="AM114" s="11" t="str">
        <f aca="false">IF(OR(I114="",I114&lt;23,O114=""),"",O114+660)</f>
        <v/>
      </c>
      <c r="AN114" s="11" t="str">
        <f aca="false">IF(OR(I114="",I114&lt;24,O114=""),"",O114+690)</f>
        <v/>
      </c>
      <c r="AO114" s="7" t="str">
        <f aca="false">IF(J114="","",COUNTIF(Q114:AN114,TRUE())*J114)</f>
        <v/>
      </c>
      <c r="AP114" s="7" t="str">
        <f aca="false">IF(K114="","",K114-AO114)</f>
        <v/>
      </c>
      <c r="AQ114" s="7" t="str">
        <f aca="false">IF(K114="","",K114-F114-IF(N114="",0,N114))</f>
        <v/>
      </c>
    </row>
    <row r="115" customFormat="false" ht="15" hidden="false" customHeight="false" outlineLevel="0" collapsed="false">
      <c r="A115" s="12"/>
      <c r="B115" s="12"/>
      <c r="C115" s="12"/>
      <c r="D115" s="13"/>
      <c r="E115" s="13"/>
      <c r="F115" s="14"/>
      <c r="G115" s="12"/>
      <c r="H115" s="12"/>
      <c r="I115" s="12"/>
      <c r="J115" s="14"/>
      <c r="K115" s="15" t="str">
        <f aca="false">IF(OR(I115="",J115=""),"",I115*J115)</f>
        <v/>
      </c>
      <c r="L115" s="12"/>
      <c r="M115" s="16"/>
      <c r="N115" s="15" t="str">
        <f aca="false">IF(OR(L115="",M115="",K115=""),"",IF(L115="GANANCIA",(K115-F115)*M115,IF(L115="BRUTO",K115*M115,"")))</f>
        <v/>
      </c>
      <c r="O115" s="17" t="str">
        <f aca="false">IF(D115="","",D115)</f>
        <v/>
      </c>
      <c r="P115" s="18" t="str">
        <f aca="false">IF(I115="","",IF(COUNTIF(Q115:AN115,TRUE())&gt;=I115,"PAGADO",IF(COUNTIF(Q115:AN115,TRUE())&gt;0,"PARCIAL","VIGENTE")))</f>
        <v/>
      </c>
      <c r="Q115" s="19" t="str">
        <f aca="false">IF(OR(I115="",I115&lt;1,O115=""),"",O115+0)</f>
        <v/>
      </c>
      <c r="R115" s="19" t="str">
        <f aca="false">IF(OR(I115="",I115&lt;2,O115=""),"",O115+30)</f>
        <v/>
      </c>
      <c r="S115" s="19" t="str">
        <f aca="false">IF(OR(I115="",I115&lt;3,O115=""),"",O115+60)</f>
        <v/>
      </c>
      <c r="T115" s="19" t="str">
        <f aca="false">IF(OR(I115="",I115&lt;4,O115=""),"",O115+90)</f>
        <v/>
      </c>
      <c r="U115" s="19" t="str">
        <f aca="false">IF(OR(I115="",I115&lt;5,O115=""),"",O115+120)</f>
        <v/>
      </c>
      <c r="V115" s="19" t="str">
        <f aca="false">IF(OR(I115="",I115&lt;6,O115=""),"",O115+150)</f>
        <v/>
      </c>
      <c r="W115" s="19" t="str">
        <f aca="false">IF(OR(I115="",I115&lt;7,O115=""),"",O115+180)</f>
        <v/>
      </c>
      <c r="X115" s="19" t="str">
        <f aca="false">IF(OR(I115="",I115&lt;8,O115=""),"",O115+210)</f>
        <v/>
      </c>
      <c r="Y115" s="19" t="str">
        <f aca="false">IF(OR(I115="",I115&lt;9,O115=""),"",O115+240)</f>
        <v/>
      </c>
      <c r="Z115" s="19" t="str">
        <f aca="false">IF(OR(I115="",I115&lt;10,O115=""),"",O115+270)</f>
        <v/>
      </c>
      <c r="AA115" s="19" t="str">
        <f aca="false">IF(OR(I115="",I115&lt;11,O115=""),"",O115+300)</f>
        <v/>
      </c>
      <c r="AB115" s="19" t="str">
        <f aca="false">IF(OR(I115="",I115&lt;12,O115=""),"",O115+330)</f>
        <v/>
      </c>
      <c r="AC115" s="19" t="str">
        <f aca="false">IF(OR(I115="",I115&lt;13,O115=""),"",O115+360)</f>
        <v/>
      </c>
      <c r="AD115" s="19" t="str">
        <f aca="false">IF(OR(I115="",I115&lt;14,O115=""),"",O115+390)</f>
        <v/>
      </c>
      <c r="AE115" s="19" t="str">
        <f aca="false">IF(OR(I115="",I115&lt;15,O115=""),"",O115+420)</f>
        <v/>
      </c>
      <c r="AF115" s="19" t="str">
        <f aca="false">IF(OR(I115="",I115&lt;16,O115=""),"",O115+450)</f>
        <v/>
      </c>
      <c r="AG115" s="19" t="str">
        <f aca="false">IF(OR(I115="",I115&lt;17,O115=""),"",O115+480)</f>
        <v/>
      </c>
      <c r="AH115" s="19" t="str">
        <f aca="false">IF(OR(I115="",I115&lt;18,O115=""),"",O115+510)</f>
        <v/>
      </c>
      <c r="AI115" s="19" t="str">
        <f aca="false">IF(OR(I115="",I115&lt;19,O115=""),"",O115+540)</f>
        <v/>
      </c>
      <c r="AJ115" s="19" t="str">
        <f aca="false">IF(OR(I115="",I115&lt;20,O115=""),"",O115+570)</f>
        <v/>
      </c>
      <c r="AK115" s="19" t="str">
        <f aca="false">IF(OR(I115="",I115&lt;21,O115=""),"",O115+600)</f>
        <v/>
      </c>
      <c r="AL115" s="19" t="str">
        <f aca="false">IF(OR(I115="",I115&lt;22,O115=""),"",O115+630)</f>
        <v/>
      </c>
      <c r="AM115" s="19" t="str">
        <f aca="false">IF(OR(I115="",I115&lt;23,O115=""),"",O115+660)</f>
        <v/>
      </c>
      <c r="AN115" s="19" t="str">
        <f aca="false">IF(OR(I115="",I115&lt;24,O115=""),"",O115+690)</f>
        <v/>
      </c>
      <c r="AO115" s="15" t="str">
        <f aca="false">IF(J115="","",COUNTIF(Q115:AN115,TRUE())*J115)</f>
        <v/>
      </c>
      <c r="AP115" s="15" t="str">
        <f aca="false">IF(K115="","",K115-AO115)</f>
        <v/>
      </c>
      <c r="AQ115" s="15" t="str">
        <f aca="false">IF(K115="","",K115-F115-IF(N115="",0,N115))</f>
        <v/>
      </c>
    </row>
    <row r="116" customFormat="false" ht="15" hidden="false" customHeight="false" outlineLevel="0" collapsed="false">
      <c r="A116" s="4"/>
      <c r="B116" s="4"/>
      <c r="C116" s="4"/>
      <c r="D116" s="5"/>
      <c r="E116" s="5"/>
      <c r="F116" s="6"/>
      <c r="G116" s="4"/>
      <c r="H116" s="4"/>
      <c r="I116" s="4"/>
      <c r="J116" s="6"/>
      <c r="K116" s="7" t="str">
        <f aca="false">IF(OR(I116="",J116=""),"",I116*J116)</f>
        <v/>
      </c>
      <c r="L116" s="4"/>
      <c r="M116" s="8"/>
      <c r="N116" s="7" t="str">
        <f aca="false">IF(OR(L116="",M116="",K116=""),"",IF(L116="GANANCIA",(K116-F116)*M116,IF(L116="BRUTO",K116*M116,"")))</f>
        <v/>
      </c>
      <c r="O116" s="9" t="str">
        <f aca="false">IF(D116="","",D116)</f>
        <v/>
      </c>
      <c r="P116" s="10" t="str">
        <f aca="false">IF(I116="","",IF(COUNTIF(Q116:AN116,TRUE())&gt;=I116,"PAGADO",IF(COUNTIF(Q116:AN116,TRUE())&gt;0,"PARCIAL","VIGENTE")))</f>
        <v/>
      </c>
      <c r="Q116" s="11" t="str">
        <f aca="false">IF(OR(I116="",I116&lt;1,O116=""),"",O116+0)</f>
        <v/>
      </c>
      <c r="R116" s="11" t="str">
        <f aca="false">IF(OR(I116="",I116&lt;2,O116=""),"",O116+30)</f>
        <v/>
      </c>
      <c r="S116" s="11" t="str">
        <f aca="false">IF(OR(I116="",I116&lt;3,O116=""),"",O116+60)</f>
        <v/>
      </c>
      <c r="T116" s="11" t="str">
        <f aca="false">IF(OR(I116="",I116&lt;4,O116=""),"",O116+90)</f>
        <v/>
      </c>
      <c r="U116" s="11" t="str">
        <f aca="false">IF(OR(I116="",I116&lt;5,O116=""),"",O116+120)</f>
        <v/>
      </c>
      <c r="V116" s="11" t="str">
        <f aca="false">IF(OR(I116="",I116&lt;6,O116=""),"",O116+150)</f>
        <v/>
      </c>
      <c r="W116" s="11" t="str">
        <f aca="false">IF(OR(I116="",I116&lt;7,O116=""),"",O116+180)</f>
        <v/>
      </c>
      <c r="X116" s="11" t="str">
        <f aca="false">IF(OR(I116="",I116&lt;8,O116=""),"",O116+210)</f>
        <v/>
      </c>
      <c r="Y116" s="11" t="str">
        <f aca="false">IF(OR(I116="",I116&lt;9,O116=""),"",O116+240)</f>
        <v/>
      </c>
      <c r="Z116" s="11" t="str">
        <f aca="false">IF(OR(I116="",I116&lt;10,O116=""),"",O116+270)</f>
        <v/>
      </c>
      <c r="AA116" s="11" t="str">
        <f aca="false">IF(OR(I116="",I116&lt;11,O116=""),"",O116+300)</f>
        <v/>
      </c>
      <c r="AB116" s="11" t="str">
        <f aca="false">IF(OR(I116="",I116&lt;12,O116=""),"",O116+330)</f>
        <v/>
      </c>
      <c r="AC116" s="11" t="str">
        <f aca="false">IF(OR(I116="",I116&lt;13,O116=""),"",O116+360)</f>
        <v/>
      </c>
      <c r="AD116" s="11" t="str">
        <f aca="false">IF(OR(I116="",I116&lt;14,O116=""),"",O116+390)</f>
        <v/>
      </c>
      <c r="AE116" s="11" t="str">
        <f aca="false">IF(OR(I116="",I116&lt;15,O116=""),"",O116+420)</f>
        <v/>
      </c>
      <c r="AF116" s="11" t="str">
        <f aca="false">IF(OR(I116="",I116&lt;16,O116=""),"",O116+450)</f>
        <v/>
      </c>
      <c r="AG116" s="11" t="str">
        <f aca="false">IF(OR(I116="",I116&lt;17,O116=""),"",O116+480)</f>
        <v/>
      </c>
      <c r="AH116" s="11" t="str">
        <f aca="false">IF(OR(I116="",I116&lt;18,O116=""),"",O116+510)</f>
        <v/>
      </c>
      <c r="AI116" s="11" t="str">
        <f aca="false">IF(OR(I116="",I116&lt;19,O116=""),"",O116+540)</f>
        <v/>
      </c>
      <c r="AJ116" s="11" t="str">
        <f aca="false">IF(OR(I116="",I116&lt;20,O116=""),"",O116+570)</f>
        <v/>
      </c>
      <c r="AK116" s="11" t="str">
        <f aca="false">IF(OR(I116="",I116&lt;21,O116=""),"",O116+600)</f>
        <v/>
      </c>
      <c r="AL116" s="11" t="str">
        <f aca="false">IF(OR(I116="",I116&lt;22,O116=""),"",O116+630)</f>
        <v/>
      </c>
      <c r="AM116" s="11" t="str">
        <f aca="false">IF(OR(I116="",I116&lt;23,O116=""),"",O116+660)</f>
        <v/>
      </c>
      <c r="AN116" s="11" t="str">
        <f aca="false">IF(OR(I116="",I116&lt;24,O116=""),"",O116+690)</f>
        <v/>
      </c>
      <c r="AO116" s="7" t="str">
        <f aca="false">IF(J116="","",COUNTIF(Q116:AN116,TRUE())*J116)</f>
        <v/>
      </c>
      <c r="AP116" s="7" t="str">
        <f aca="false">IF(K116="","",K116-AO116)</f>
        <v/>
      </c>
      <c r="AQ116" s="7" t="str">
        <f aca="false">IF(K116="","",K116-F116-IF(N116="",0,N116))</f>
        <v/>
      </c>
    </row>
    <row r="117" customFormat="false" ht="15" hidden="false" customHeight="false" outlineLevel="0" collapsed="false">
      <c r="A117" s="12"/>
      <c r="B117" s="12"/>
      <c r="C117" s="12"/>
      <c r="D117" s="13"/>
      <c r="E117" s="13"/>
      <c r="F117" s="14"/>
      <c r="G117" s="12"/>
      <c r="H117" s="12"/>
      <c r="I117" s="12"/>
      <c r="J117" s="14"/>
      <c r="K117" s="15" t="str">
        <f aca="false">IF(OR(I117="",J117=""),"",I117*J117)</f>
        <v/>
      </c>
      <c r="L117" s="12"/>
      <c r="M117" s="16"/>
      <c r="N117" s="15" t="str">
        <f aca="false">IF(OR(L117="",M117="",K117=""),"",IF(L117="GANANCIA",(K117-F117)*M117,IF(L117="BRUTO",K117*M117,"")))</f>
        <v/>
      </c>
      <c r="O117" s="17" t="str">
        <f aca="false">IF(D117="","",D117)</f>
        <v/>
      </c>
      <c r="P117" s="18" t="str">
        <f aca="false">IF(I117="","",IF(COUNTIF(Q117:AN117,TRUE())&gt;=I117,"PAGADO",IF(COUNTIF(Q117:AN117,TRUE())&gt;0,"PARCIAL","VIGENTE")))</f>
        <v/>
      </c>
      <c r="Q117" s="19" t="str">
        <f aca="false">IF(OR(I117="",I117&lt;1,O117=""),"",O117+0)</f>
        <v/>
      </c>
      <c r="R117" s="19" t="str">
        <f aca="false">IF(OR(I117="",I117&lt;2,O117=""),"",O117+30)</f>
        <v/>
      </c>
      <c r="S117" s="19" t="str">
        <f aca="false">IF(OR(I117="",I117&lt;3,O117=""),"",O117+60)</f>
        <v/>
      </c>
      <c r="T117" s="19" t="str">
        <f aca="false">IF(OR(I117="",I117&lt;4,O117=""),"",O117+90)</f>
        <v/>
      </c>
      <c r="U117" s="19" t="str">
        <f aca="false">IF(OR(I117="",I117&lt;5,O117=""),"",O117+120)</f>
        <v/>
      </c>
      <c r="V117" s="19" t="str">
        <f aca="false">IF(OR(I117="",I117&lt;6,O117=""),"",O117+150)</f>
        <v/>
      </c>
      <c r="W117" s="19" t="str">
        <f aca="false">IF(OR(I117="",I117&lt;7,O117=""),"",O117+180)</f>
        <v/>
      </c>
      <c r="X117" s="19" t="str">
        <f aca="false">IF(OR(I117="",I117&lt;8,O117=""),"",O117+210)</f>
        <v/>
      </c>
      <c r="Y117" s="19" t="str">
        <f aca="false">IF(OR(I117="",I117&lt;9,O117=""),"",O117+240)</f>
        <v/>
      </c>
      <c r="Z117" s="19" t="str">
        <f aca="false">IF(OR(I117="",I117&lt;10,O117=""),"",O117+270)</f>
        <v/>
      </c>
      <c r="AA117" s="19" t="str">
        <f aca="false">IF(OR(I117="",I117&lt;11,O117=""),"",O117+300)</f>
        <v/>
      </c>
      <c r="AB117" s="19" t="str">
        <f aca="false">IF(OR(I117="",I117&lt;12,O117=""),"",O117+330)</f>
        <v/>
      </c>
      <c r="AC117" s="19" t="str">
        <f aca="false">IF(OR(I117="",I117&lt;13,O117=""),"",O117+360)</f>
        <v/>
      </c>
      <c r="AD117" s="19" t="str">
        <f aca="false">IF(OR(I117="",I117&lt;14,O117=""),"",O117+390)</f>
        <v/>
      </c>
      <c r="AE117" s="19" t="str">
        <f aca="false">IF(OR(I117="",I117&lt;15,O117=""),"",O117+420)</f>
        <v/>
      </c>
      <c r="AF117" s="19" t="str">
        <f aca="false">IF(OR(I117="",I117&lt;16,O117=""),"",O117+450)</f>
        <v/>
      </c>
      <c r="AG117" s="19" t="str">
        <f aca="false">IF(OR(I117="",I117&lt;17,O117=""),"",O117+480)</f>
        <v/>
      </c>
      <c r="AH117" s="19" t="str">
        <f aca="false">IF(OR(I117="",I117&lt;18,O117=""),"",O117+510)</f>
        <v/>
      </c>
      <c r="AI117" s="19" t="str">
        <f aca="false">IF(OR(I117="",I117&lt;19,O117=""),"",O117+540)</f>
        <v/>
      </c>
      <c r="AJ117" s="19" t="str">
        <f aca="false">IF(OR(I117="",I117&lt;20,O117=""),"",O117+570)</f>
        <v/>
      </c>
      <c r="AK117" s="19" t="str">
        <f aca="false">IF(OR(I117="",I117&lt;21,O117=""),"",O117+600)</f>
        <v/>
      </c>
      <c r="AL117" s="19" t="str">
        <f aca="false">IF(OR(I117="",I117&lt;22,O117=""),"",O117+630)</f>
        <v/>
      </c>
      <c r="AM117" s="19" t="str">
        <f aca="false">IF(OR(I117="",I117&lt;23,O117=""),"",O117+660)</f>
        <v/>
      </c>
      <c r="AN117" s="19" t="str">
        <f aca="false">IF(OR(I117="",I117&lt;24,O117=""),"",O117+690)</f>
        <v/>
      </c>
      <c r="AO117" s="15" t="str">
        <f aca="false">IF(J117="","",COUNTIF(Q117:AN117,TRUE())*J117)</f>
        <v/>
      </c>
      <c r="AP117" s="15" t="str">
        <f aca="false">IF(K117="","",K117-AO117)</f>
        <v/>
      </c>
      <c r="AQ117" s="15" t="str">
        <f aca="false">IF(K117="","",K117-F117-IF(N117="",0,N117))</f>
        <v/>
      </c>
    </row>
    <row r="118" customFormat="false" ht="15" hidden="false" customHeight="false" outlineLevel="0" collapsed="false">
      <c r="A118" s="4"/>
      <c r="B118" s="4"/>
      <c r="C118" s="4"/>
      <c r="D118" s="5"/>
      <c r="E118" s="5"/>
      <c r="F118" s="6"/>
      <c r="G118" s="4"/>
      <c r="H118" s="4"/>
      <c r="I118" s="4"/>
      <c r="J118" s="6"/>
      <c r="K118" s="7" t="str">
        <f aca="false">IF(OR(I118="",J118=""),"",I118*J118)</f>
        <v/>
      </c>
      <c r="L118" s="4"/>
      <c r="M118" s="8"/>
      <c r="N118" s="7" t="str">
        <f aca="false">IF(OR(L118="",M118="",K118=""),"",IF(L118="GANANCIA",(K118-F118)*M118,IF(L118="BRUTO",K118*M118,"")))</f>
        <v/>
      </c>
      <c r="O118" s="9" t="str">
        <f aca="false">IF(D118="","",D118)</f>
        <v/>
      </c>
      <c r="P118" s="10" t="str">
        <f aca="false">IF(I118="","",IF(COUNTIF(Q118:AN118,TRUE())&gt;=I118,"PAGADO",IF(COUNTIF(Q118:AN118,TRUE())&gt;0,"PARCIAL","VIGENTE")))</f>
        <v/>
      </c>
      <c r="Q118" s="11" t="str">
        <f aca="false">IF(OR(I118="",I118&lt;1,O118=""),"",O118+0)</f>
        <v/>
      </c>
      <c r="R118" s="11" t="str">
        <f aca="false">IF(OR(I118="",I118&lt;2,O118=""),"",O118+30)</f>
        <v/>
      </c>
      <c r="S118" s="11" t="str">
        <f aca="false">IF(OR(I118="",I118&lt;3,O118=""),"",O118+60)</f>
        <v/>
      </c>
      <c r="T118" s="11" t="str">
        <f aca="false">IF(OR(I118="",I118&lt;4,O118=""),"",O118+90)</f>
        <v/>
      </c>
      <c r="U118" s="11" t="str">
        <f aca="false">IF(OR(I118="",I118&lt;5,O118=""),"",O118+120)</f>
        <v/>
      </c>
      <c r="V118" s="11" t="str">
        <f aca="false">IF(OR(I118="",I118&lt;6,O118=""),"",O118+150)</f>
        <v/>
      </c>
      <c r="W118" s="11" t="str">
        <f aca="false">IF(OR(I118="",I118&lt;7,O118=""),"",O118+180)</f>
        <v/>
      </c>
      <c r="X118" s="11" t="str">
        <f aca="false">IF(OR(I118="",I118&lt;8,O118=""),"",O118+210)</f>
        <v/>
      </c>
      <c r="Y118" s="11" t="str">
        <f aca="false">IF(OR(I118="",I118&lt;9,O118=""),"",O118+240)</f>
        <v/>
      </c>
      <c r="Z118" s="11" t="str">
        <f aca="false">IF(OR(I118="",I118&lt;10,O118=""),"",O118+270)</f>
        <v/>
      </c>
      <c r="AA118" s="11" t="str">
        <f aca="false">IF(OR(I118="",I118&lt;11,O118=""),"",O118+300)</f>
        <v/>
      </c>
      <c r="AB118" s="11" t="str">
        <f aca="false">IF(OR(I118="",I118&lt;12,O118=""),"",O118+330)</f>
        <v/>
      </c>
      <c r="AC118" s="11" t="str">
        <f aca="false">IF(OR(I118="",I118&lt;13,O118=""),"",O118+360)</f>
        <v/>
      </c>
      <c r="AD118" s="11" t="str">
        <f aca="false">IF(OR(I118="",I118&lt;14,O118=""),"",O118+390)</f>
        <v/>
      </c>
      <c r="AE118" s="11" t="str">
        <f aca="false">IF(OR(I118="",I118&lt;15,O118=""),"",O118+420)</f>
        <v/>
      </c>
      <c r="AF118" s="11" t="str">
        <f aca="false">IF(OR(I118="",I118&lt;16,O118=""),"",O118+450)</f>
        <v/>
      </c>
      <c r="AG118" s="11" t="str">
        <f aca="false">IF(OR(I118="",I118&lt;17,O118=""),"",O118+480)</f>
        <v/>
      </c>
      <c r="AH118" s="11" t="str">
        <f aca="false">IF(OR(I118="",I118&lt;18,O118=""),"",O118+510)</f>
        <v/>
      </c>
      <c r="AI118" s="11" t="str">
        <f aca="false">IF(OR(I118="",I118&lt;19,O118=""),"",O118+540)</f>
        <v/>
      </c>
      <c r="AJ118" s="11" t="str">
        <f aca="false">IF(OR(I118="",I118&lt;20,O118=""),"",O118+570)</f>
        <v/>
      </c>
      <c r="AK118" s="11" t="str">
        <f aca="false">IF(OR(I118="",I118&lt;21,O118=""),"",O118+600)</f>
        <v/>
      </c>
      <c r="AL118" s="11" t="str">
        <f aca="false">IF(OR(I118="",I118&lt;22,O118=""),"",O118+630)</f>
        <v/>
      </c>
      <c r="AM118" s="11" t="str">
        <f aca="false">IF(OR(I118="",I118&lt;23,O118=""),"",O118+660)</f>
        <v/>
      </c>
      <c r="AN118" s="11" t="str">
        <f aca="false">IF(OR(I118="",I118&lt;24,O118=""),"",O118+690)</f>
        <v/>
      </c>
      <c r="AO118" s="7" t="str">
        <f aca="false">IF(J118="","",COUNTIF(Q118:AN118,TRUE())*J118)</f>
        <v/>
      </c>
      <c r="AP118" s="7" t="str">
        <f aca="false">IF(K118="","",K118-AO118)</f>
        <v/>
      </c>
      <c r="AQ118" s="7" t="str">
        <f aca="false">IF(K118="","",K118-F118-IF(N118="",0,N118))</f>
        <v/>
      </c>
    </row>
    <row r="119" customFormat="false" ht="15" hidden="false" customHeight="false" outlineLevel="0" collapsed="false">
      <c r="A119" s="12"/>
      <c r="B119" s="12"/>
      <c r="C119" s="12"/>
      <c r="D119" s="13"/>
      <c r="E119" s="13"/>
      <c r="F119" s="14"/>
      <c r="G119" s="12"/>
      <c r="H119" s="12"/>
      <c r="I119" s="12"/>
      <c r="J119" s="14"/>
      <c r="K119" s="15" t="str">
        <f aca="false">IF(OR(I119="",J119=""),"",I119*J119)</f>
        <v/>
      </c>
      <c r="L119" s="12"/>
      <c r="M119" s="16"/>
      <c r="N119" s="15" t="str">
        <f aca="false">IF(OR(L119="",M119="",K119=""),"",IF(L119="GANANCIA",(K119-F119)*M119,IF(L119="BRUTO",K119*M119,"")))</f>
        <v/>
      </c>
      <c r="O119" s="17" t="str">
        <f aca="false">IF(D119="","",D119)</f>
        <v/>
      </c>
      <c r="P119" s="18" t="str">
        <f aca="false">IF(I119="","",IF(COUNTIF(Q119:AN119,TRUE())&gt;=I119,"PAGADO",IF(COUNTIF(Q119:AN119,TRUE())&gt;0,"PARCIAL","VIGENTE")))</f>
        <v/>
      </c>
      <c r="Q119" s="19" t="str">
        <f aca="false">IF(OR(I119="",I119&lt;1,O119=""),"",O119+0)</f>
        <v/>
      </c>
      <c r="R119" s="19" t="str">
        <f aca="false">IF(OR(I119="",I119&lt;2,O119=""),"",O119+30)</f>
        <v/>
      </c>
      <c r="S119" s="19" t="str">
        <f aca="false">IF(OR(I119="",I119&lt;3,O119=""),"",O119+60)</f>
        <v/>
      </c>
      <c r="T119" s="19" t="str">
        <f aca="false">IF(OR(I119="",I119&lt;4,O119=""),"",O119+90)</f>
        <v/>
      </c>
      <c r="U119" s="19" t="str">
        <f aca="false">IF(OR(I119="",I119&lt;5,O119=""),"",O119+120)</f>
        <v/>
      </c>
      <c r="V119" s="19" t="str">
        <f aca="false">IF(OR(I119="",I119&lt;6,O119=""),"",O119+150)</f>
        <v/>
      </c>
      <c r="W119" s="19" t="str">
        <f aca="false">IF(OR(I119="",I119&lt;7,O119=""),"",O119+180)</f>
        <v/>
      </c>
      <c r="X119" s="19" t="str">
        <f aca="false">IF(OR(I119="",I119&lt;8,O119=""),"",O119+210)</f>
        <v/>
      </c>
      <c r="Y119" s="19" t="str">
        <f aca="false">IF(OR(I119="",I119&lt;9,O119=""),"",O119+240)</f>
        <v/>
      </c>
      <c r="Z119" s="19" t="str">
        <f aca="false">IF(OR(I119="",I119&lt;10,O119=""),"",O119+270)</f>
        <v/>
      </c>
      <c r="AA119" s="19" t="str">
        <f aca="false">IF(OR(I119="",I119&lt;11,O119=""),"",O119+300)</f>
        <v/>
      </c>
      <c r="AB119" s="19" t="str">
        <f aca="false">IF(OR(I119="",I119&lt;12,O119=""),"",O119+330)</f>
        <v/>
      </c>
      <c r="AC119" s="19" t="str">
        <f aca="false">IF(OR(I119="",I119&lt;13,O119=""),"",O119+360)</f>
        <v/>
      </c>
      <c r="AD119" s="19" t="str">
        <f aca="false">IF(OR(I119="",I119&lt;14,O119=""),"",O119+390)</f>
        <v/>
      </c>
      <c r="AE119" s="19" t="str">
        <f aca="false">IF(OR(I119="",I119&lt;15,O119=""),"",O119+420)</f>
        <v/>
      </c>
      <c r="AF119" s="19" t="str">
        <f aca="false">IF(OR(I119="",I119&lt;16,O119=""),"",O119+450)</f>
        <v/>
      </c>
      <c r="AG119" s="19" t="str">
        <f aca="false">IF(OR(I119="",I119&lt;17,O119=""),"",O119+480)</f>
        <v/>
      </c>
      <c r="AH119" s="19" t="str">
        <f aca="false">IF(OR(I119="",I119&lt;18,O119=""),"",O119+510)</f>
        <v/>
      </c>
      <c r="AI119" s="19" t="str">
        <f aca="false">IF(OR(I119="",I119&lt;19,O119=""),"",O119+540)</f>
        <v/>
      </c>
      <c r="AJ119" s="19" t="str">
        <f aca="false">IF(OR(I119="",I119&lt;20,O119=""),"",O119+570)</f>
        <v/>
      </c>
      <c r="AK119" s="19" t="str">
        <f aca="false">IF(OR(I119="",I119&lt;21,O119=""),"",O119+600)</f>
        <v/>
      </c>
      <c r="AL119" s="19" t="str">
        <f aca="false">IF(OR(I119="",I119&lt;22,O119=""),"",O119+630)</f>
        <v/>
      </c>
      <c r="AM119" s="19" t="str">
        <f aca="false">IF(OR(I119="",I119&lt;23,O119=""),"",O119+660)</f>
        <v/>
      </c>
      <c r="AN119" s="19" t="str">
        <f aca="false">IF(OR(I119="",I119&lt;24,O119=""),"",O119+690)</f>
        <v/>
      </c>
      <c r="AO119" s="15" t="str">
        <f aca="false">IF(J119="","",COUNTIF(Q119:AN119,TRUE())*J119)</f>
        <v/>
      </c>
      <c r="AP119" s="15" t="str">
        <f aca="false">IF(K119="","",K119-AO119)</f>
        <v/>
      </c>
      <c r="AQ119" s="15" t="str">
        <f aca="false">IF(K119="","",K119-F119-IF(N119="",0,N119))</f>
        <v/>
      </c>
    </row>
    <row r="120" customFormat="false" ht="15" hidden="false" customHeight="false" outlineLevel="0" collapsed="false">
      <c r="A120" s="4"/>
      <c r="B120" s="4"/>
      <c r="C120" s="4"/>
      <c r="D120" s="5"/>
      <c r="E120" s="5"/>
      <c r="F120" s="6"/>
      <c r="G120" s="4"/>
      <c r="H120" s="4"/>
      <c r="I120" s="4"/>
      <c r="J120" s="6"/>
      <c r="K120" s="7" t="str">
        <f aca="false">IF(OR(I120="",J120=""),"",I120*J120)</f>
        <v/>
      </c>
      <c r="L120" s="4"/>
      <c r="M120" s="8"/>
      <c r="N120" s="7" t="str">
        <f aca="false">IF(OR(L120="",M120="",K120=""),"",IF(L120="GANANCIA",(K120-F120)*M120,IF(L120="BRUTO",K120*M120,"")))</f>
        <v/>
      </c>
      <c r="O120" s="9" t="str">
        <f aca="false">IF(D120="","",D120)</f>
        <v/>
      </c>
      <c r="P120" s="10" t="str">
        <f aca="false">IF(I120="","",IF(COUNTIF(Q120:AN120,TRUE())&gt;=I120,"PAGADO",IF(COUNTIF(Q120:AN120,TRUE())&gt;0,"PARCIAL","VIGENTE")))</f>
        <v/>
      </c>
      <c r="Q120" s="11" t="str">
        <f aca="false">IF(OR(I120="",I120&lt;1,O120=""),"",O120+0)</f>
        <v/>
      </c>
      <c r="R120" s="11" t="str">
        <f aca="false">IF(OR(I120="",I120&lt;2,O120=""),"",O120+30)</f>
        <v/>
      </c>
      <c r="S120" s="11" t="str">
        <f aca="false">IF(OR(I120="",I120&lt;3,O120=""),"",O120+60)</f>
        <v/>
      </c>
      <c r="T120" s="11" t="str">
        <f aca="false">IF(OR(I120="",I120&lt;4,O120=""),"",O120+90)</f>
        <v/>
      </c>
      <c r="U120" s="11" t="str">
        <f aca="false">IF(OR(I120="",I120&lt;5,O120=""),"",O120+120)</f>
        <v/>
      </c>
      <c r="V120" s="11" t="str">
        <f aca="false">IF(OR(I120="",I120&lt;6,O120=""),"",O120+150)</f>
        <v/>
      </c>
      <c r="W120" s="11" t="str">
        <f aca="false">IF(OR(I120="",I120&lt;7,O120=""),"",O120+180)</f>
        <v/>
      </c>
      <c r="X120" s="11" t="str">
        <f aca="false">IF(OR(I120="",I120&lt;8,O120=""),"",O120+210)</f>
        <v/>
      </c>
      <c r="Y120" s="11" t="str">
        <f aca="false">IF(OR(I120="",I120&lt;9,O120=""),"",O120+240)</f>
        <v/>
      </c>
      <c r="Z120" s="11" t="str">
        <f aca="false">IF(OR(I120="",I120&lt;10,O120=""),"",O120+270)</f>
        <v/>
      </c>
      <c r="AA120" s="11" t="str">
        <f aca="false">IF(OR(I120="",I120&lt;11,O120=""),"",O120+300)</f>
        <v/>
      </c>
      <c r="AB120" s="11" t="str">
        <f aca="false">IF(OR(I120="",I120&lt;12,O120=""),"",O120+330)</f>
        <v/>
      </c>
      <c r="AC120" s="11" t="str">
        <f aca="false">IF(OR(I120="",I120&lt;13,O120=""),"",O120+360)</f>
        <v/>
      </c>
      <c r="AD120" s="11" t="str">
        <f aca="false">IF(OR(I120="",I120&lt;14,O120=""),"",O120+390)</f>
        <v/>
      </c>
      <c r="AE120" s="11" t="str">
        <f aca="false">IF(OR(I120="",I120&lt;15,O120=""),"",O120+420)</f>
        <v/>
      </c>
      <c r="AF120" s="11" t="str">
        <f aca="false">IF(OR(I120="",I120&lt;16,O120=""),"",O120+450)</f>
        <v/>
      </c>
      <c r="AG120" s="11" t="str">
        <f aca="false">IF(OR(I120="",I120&lt;17,O120=""),"",O120+480)</f>
        <v/>
      </c>
      <c r="AH120" s="11" t="str">
        <f aca="false">IF(OR(I120="",I120&lt;18,O120=""),"",O120+510)</f>
        <v/>
      </c>
      <c r="AI120" s="11" t="str">
        <f aca="false">IF(OR(I120="",I120&lt;19,O120=""),"",O120+540)</f>
        <v/>
      </c>
      <c r="AJ120" s="11" t="str">
        <f aca="false">IF(OR(I120="",I120&lt;20,O120=""),"",O120+570)</f>
        <v/>
      </c>
      <c r="AK120" s="11" t="str">
        <f aca="false">IF(OR(I120="",I120&lt;21,O120=""),"",O120+600)</f>
        <v/>
      </c>
      <c r="AL120" s="11" t="str">
        <f aca="false">IF(OR(I120="",I120&lt;22,O120=""),"",O120+630)</f>
        <v/>
      </c>
      <c r="AM120" s="11" t="str">
        <f aca="false">IF(OR(I120="",I120&lt;23,O120=""),"",O120+660)</f>
        <v/>
      </c>
      <c r="AN120" s="11" t="str">
        <f aca="false">IF(OR(I120="",I120&lt;24,O120=""),"",O120+690)</f>
        <v/>
      </c>
      <c r="AO120" s="7" t="str">
        <f aca="false">IF(J120="","",COUNTIF(Q120:AN120,TRUE())*J120)</f>
        <v/>
      </c>
      <c r="AP120" s="7" t="str">
        <f aca="false">IF(K120="","",K120-AO120)</f>
        <v/>
      </c>
      <c r="AQ120" s="7" t="str">
        <f aca="false">IF(K120="","",K120-F120-IF(N120="",0,N120))</f>
        <v/>
      </c>
    </row>
    <row r="121" customFormat="false" ht="15" hidden="false" customHeight="false" outlineLevel="0" collapsed="false">
      <c r="A121" s="12"/>
      <c r="B121" s="12"/>
      <c r="C121" s="12"/>
      <c r="D121" s="13"/>
      <c r="E121" s="13"/>
      <c r="F121" s="14"/>
      <c r="G121" s="12"/>
      <c r="H121" s="12"/>
      <c r="I121" s="12"/>
      <c r="J121" s="14"/>
      <c r="K121" s="15" t="str">
        <f aca="false">IF(OR(I121="",J121=""),"",I121*J121)</f>
        <v/>
      </c>
      <c r="L121" s="12"/>
      <c r="M121" s="16"/>
      <c r="N121" s="15" t="str">
        <f aca="false">IF(OR(L121="",M121="",K121=""),"",IF(L121="GANANCIA",(K121-F121)*M121,IF(L121="BRUTO",K121*M121,"")))</f>
        <v/>
      </c>
      <c r="O121" s="17" t="str">
        <f aca="false">IF(D121="","",D121)</f>
        <v/>
      </c>
      <c r="P121" s="18" t="str">
        <f aca="false">IF(I121="","",IF(COUNTIF(Q121:AN121,TRUE())&gt;=I121,"PAGADO",IF(COUNTIF(Q121:AN121,TRUE())&gt;0,"PARCIAL","VIGENTE")))</f>
        <v/>
      </c>
      <c r="Q121" s="19" t="str">
        <f aca="false">IF(OR(I121="",I121&lt;1,O121=""),"",O121+0)</f>
        <v/>
      </c>
      <c r="R121" s="19" t="str">
        <f aca="false">IF(OR(I121="",I121&lt;2,O121=""),"",O121+30)</f>
        <v/>
      </c>
      <c r="S121" s="19" t="str">
        <f aca="false">IF(OR(I121="",I121&lt;3,O121=""),"",O121+60)</f>
        <v/>
      </c>
      <c r="T121" s="19" t="str">
        <f aca="false">IF(OR(I121="",I121&lt;4,O121=""),"",O121+90)</f>
        <v/>
      </c>
      <c r="U121" s="19" t="str">
        <f aca="false">IF(OR(I121="",I121&lt;5,O121=""),"",O121+120)</f>
        <v/>
      </c>
      <c r="V121" s="19" t="str">
        <f aca="false">IF(OR(I121="",I121&lt;6,O121=""),"",O121+150)</f>
        <v/>
      </c>
      <c r="W121" s="19" t="str">
        <f aca="false">IF(OR(I121="",I121&lt;7,O121=""),"",O121+180)</f>
        <v/>
      </c>
      <c r="X121" s="19" t="str">
        <f aca="false">IF(OR(I121="",I121&lt;8,O121=""),"",O121+210)</f>
        <v/>
      </c>
      <c r="Y121" s="19" t="str">
        <f aca="false">IF(OR(I121="",I121&lt;9,O121=""),"",O121+240)</f>
        <v/>
      </c>
      <c r="Z121" s="19" t="str">
        <f aca="false">IF(OR(I121="",I121&lt;10,O121=""),"",O121+270)</f>
        <v/>
      </c>
      <c r="AA121" s="19" t="str">
        <f aca="false">IF(OR(I121="",I121&lt;11,O121=""),"",O121+300)</f>
        <v/>
      </c>
      <c r="AB121" s="19" t="str">
        <f aca="false">IF(OR(I121="",I121&lt;12,O121=""),"",O121+330)</f>
        <v/>
      </c>
      <c r="AC121" s="19" t="str">
        <f aca="false">IF(OR(I121="",I121&lt;13,O121=""),"",O121+360)</f>
        <v/>
      </c>
      <c r="AD121" s="19" t="str">
        <f aca="false">IF(OR(I121="",I121&lt;14,O121=""),"",O121+390)</f>
        <v/>
      </c>
      <c r="AE121" s="19" t="str">
        <f aca="false">IF(OR(I121="",I121&lt;15,O121=""),"",O121+420)</f>
        <v/>
      </c>
      <c r="AF121" s="19" t="str">
        <f aca="false">IF(OR(I121="",I121&lt;16,O121=""),"",O121+450)</f>
        <v/>
      </c>
      <c r="AG121" s="19" t="str">
        <f aca="false">IF(OR(I121="",I121&lt;17,O121=""),"",O121+480)</f>
        <v/>
      </c>
      <c r="AH121" s="19" t="str">
        <f aca="false">IF(OR(I121="",I121&lt;18,O121=""),"",O121+510)</f>
        <v/>
      </c>
      <c r="AI121" s="19" t="str">
        <f aca="false">IF(OR(I121="",I121&lt;19,O121=""),"",O121+540)</f>
        <v/>
      </c>
      <c r="AJ121" s="19" t="str">
        <f aca="false">IF(OR(I121="",I121&lt;20,O121=""),"",O121+570)</f>
        <v/>
      </c>
      <c r="AK121" s="19" t="str">
        <f aca="false">IF(OR(I121="",I121&lt;21,O121=""),"",O121+600)</f>
        <v/>
      </c>
      <c r="AL121" s="19" t="str">
        <f aca="false">IF(OR(I121="",I121&lt;22,O121=""),"",O121+630)</f>
        <v/>
      </c>
      <c r="AM121" s="19" t="str">
        <f aca="false">IF(OR(I121="",I121&lt;23,O121=""),"",O121+660)</f>
        <v/>
      </c>
      <c r="AN121" s="19" t="str">
        <f aca="false">IF(OR(I121="",I121&lt;24,O121=""),"",O121+690)</f>
        <v/>
      </c>
      <c r="AO121" s="15" t="str">
        <f aca="false">IF(J121="","",COUNTIF(Q121:AN121,TRUE())*J121)</f>
        <v/>
      </c>
      <c r="AP121" s="15" t="str">
        <f aca="false">IF(K121="","",K121-AO121)</f>
        <v/>
      </c>
      <c r="AQ121" s="15" t="str">
        <f aca="false">IF(K121="","",K121-F121-IF(N121="",0,N121))</f>
        <v/>
      </c>
    </row>
    <row r="122" customFormat="false" ht="15" hidden="false" customHeight="false" outlineLevel="0" collapsed="false">
      <c r="A122" s="4"/>
      <c r="B122" s="4"/>
      <c r="C122" s="4"/>
      <c r="D122" s="5"/>
      <c r="E122" s="5"/>
      <c r="F122" s="6"/>
      <c r="G122" s="4"/>
      <c r="H122" s="4"/>
      <c r="I122" s="4"/>
      <c r="J122" s="6"/>
      <c r="K122" s="7" t="str">
        <f aca="false">IF(OR(I122="",J122=""),"",I122*J122)</f>
        <v/>
      </c>
      <c r="L122" s="4"/>
      <c r="M122" s="8"/>
      <c r="N122" s="7" t="str">
        <f aca="false">IF(OR(L122="",M122="",K122=""),"",IF(L122="GANANCIA",(K122-F122)*M122,IF(L122="BRUTO",K122*M122,"")))</f>
        <v/>
      </c>
      <c r="O122" s="9" t="str">
        <f aca="false">IF(D122="","",D122)</f>
        <v/>
      </c>
      <c r="P122" s="10" t="str">
        <f aca="false">IF(I122="","",IF(COUNTIF(Q122:AN122,TRUE())&gt;=I122,"PAGADO",IF(COUNTIF(Q122:AN122,TRUE())&gt;0,"PARCIAL","VIGENTE")))</f>
        <v/>
      </c>
      <c r="Q122" s="11" t="str">
        <f aca="false">IF(OR(I122="",I122&lt;1,O122=""),"",O122+0)</f>
        <v/>
      </c>
      <c r="R122" s="11" t="str">
        <f aca="false">IF(OR(I122="",I122&lt;2,O122=""),"",O122+30)</f>
        <v/>
      </c>
      <c r="S122" s="11" t="str">
        <f aca="false">IF(OR(I122="",I122&lt;3,O122=""),"",O122+60)</f>
        <v/>
      </c>
      <c r="T122" s="11" t="str">
        <f aca="false">IF(OR(I122="",I122&lt;4,O122=""),"",O122+90)</f>
        <v/>
      </c>
      <c r="U122" s="11" t="str">
        <f aca="false">IF(OR(I122="",I122&lt;5,O122=""),"",O122+120)</f>
        <v/>
      </c>
      <c r="V122" s="11" t="str">
        <f aca="false">IF(OR(I122="",I122&lt;6,O122=""),"",O122+150)</f>
        <v/>
      </c>
      <c r="W122" s="11" t="str">
        <f aca="false">IF(OR(I122="",I122&lt;7,O122=""),"",O122+180)</f>
        <v/>
      </c>
      <c r="X122" s="11" t="str">
        <f aca="false">IF(OR(I122="",I122&lt;8,O122=""),"",O122+210)</f>
        <v/>
      </c>
      <c r="Y122" s="11" t="str">
        <f aca="false">IF(OR(I122="",I122&lt;9,O122=""),"",O122+240)</f>
        <v/>
      </c>
      <c r="Z122" s="11" t="str">
        <f aca="false">IF(OR(I122="",I122&lt;10,O122=""),"",O122+270)</f>
        <v/>
      </c>
      <c r="AA122" s="11" t="str">
        <f aca="false">IF(OR(I122="",I122&lt;11,O122=""),"",O122+300)</f>
        <v/>
      </c>
      <c r="AB122" s="11" t="str">
        <f aca="false">IF(OR(I122="",I122&lt;12,O122=""),"",O122+330)</f>
        <v/>
      </c>
      <c r="AC122" s="11" t="str">
        <f aca="false">IF(OR(I122="",I122&lt;13,O122=""),"",O122+360)</f>
        <v/>
      </c>
      <c r="AD122" s="11" t="str">
        <f aca="false">IF(OR(I122="",I122&lt;14,O122=""),"",O122+390)</f>
        <v/>
      </c>
      <c r="AE122" s="11" t="str">
        <f aca="false">IF(OR(I122="",I122&lt;15,O122=""),"",O122+420)</f>
        <v/>
      </c>
      <c r="AF122" s="11" t="str">
        <f aca="false">IF(OR(I122="",I122&lt;16,O122=""),"",O122+450)</f>
        <v/>
      </c>
      <c r="AG122" s="11" t="str">
        <f aca="false">IF(OR(I122="",I122&lt;17,O122=""),"",O122+480)</f>
        <v/>
      </c>
      <c r="AH122" s="11" t="str">
        <f aca="false">IF(OR(I122="",I122&lt;18,O122=""),"",O122+510)</f>
        <v/>
      </c>
      <c r="AI122" s="11" t="str">
        <f aca="false">IF(OR(I122="",I122&lt;19,O122=""),"",O122+540)</f>
        <v/>
      </c>
      <c r="AJ122" s="11" t="str">
        <f aca="false">IF(OR(I122="",I122&lt;20,O122=""),"",O122+570)</f>
        <v/>
      </c>
      <c r="AK122" s="11" t="str">
        <f aca="false">IF(OR(I122="",I122&lt;21,O122=""),"",O122+600)</f>
        <v/>
      </c>
      <c r="AL122" s="11" t="str">
        <f aca="false">IF(OR(I122="",I122&lt;22,O122=""),"",O122+630)</f>
        <v/>
      </c>
      <c r="AM122" s="11" t="str">
        <f aca="false">IF(OR(I122="",I122&lt;23,O122=""),"",O122+660)</f>
        <v/>
      </c>
      <c r="AN122" s="11" t="str">
        <f aca="false">IF(OR(I122="",I122&lt;24,O122=""),"",O122+690)</f>
        <v/>
      </c>
      <c r="AO122" s="7" t="str">
        <f aca="false">IF(J122="","",COUNTIF(Q122:AN122,TRUE())*J122)</f>
        <v/>
      </c>
      <c r="AP122" s="7" t="str">
        <f aca="false">IF(K122="","",K122-AO122)</f>
        <v/>
      </c>
      <c r="AQ122" s="7" t="str">
        <f aca="false">IF(K122="","",K122-F122-IF(N122="",0,N122))</f>
        <v/>
      </c>
    </row>
    <row r="123" customFormat="false" ht="15" hidden="false" customHeight="false" outlineLevel="0" collapsed="false">
      <c r="A123" s="12"/>
      <c r="B123" s="12"/>
      <c r="C123" s="12"/>
      <c r="D123" s="13"/>
      <c r="E123" s="13"/>
      <c r="F123" s="14"/>
      <c r="G123" s="12"/>
      <c r="H123" s="12"/>
      <c r="I123" s="12"/>
      <c r="J123" s="14"/>
      <c r="K123" s="15" t="str">
        <f aca="false">IF(OR(I123="",J123=""),"",I123*J123)</f>
        <v/>
      </c>
      <c r="L123" s="12"/>
      <c r="M123" s="16"/>
      <c r="N123" s="15" t="str">
        <f aca="false">IF(OR(L123="",M123="",K123=""),"",IF(L123="GANANCIA",(K123-F123)*M123,IF(L123="BRUTO",K123*M123,"")))</f>
        <v/>
      </c>
      <c r="O123" s="17" t="str">
        <f aca="false">IF(D123="","",D123)</f>
        <v/>
      </c>
      <c r="P123" s="18" t="str">
        <f aca="false">IF(I123="","",IF(COUNTIF(Q123:AN123,TRUE())&gt;=I123,"PAGADO",IF(COUNTIF(Q123:AN123,TRUE())&gt;0,"PARCIAL","VIGENTE")))</f>
        <v/>
      </c>
      <c r="Q123" s="19" t="str">
        <f aca="false">IF(OR(I123="",I123&lt;1,O123=""),"",O123+0)</f>
        <v/>
      </c>
      <c r="R123" s="19" t="str">
        <f aca="false">IF(OR(I123="",I123&lt;2,O123=""),"",O123+30)</f>
        <v/>
      </c>
      <c r="S123" s="19" t="str">
        <f aca="false">IF(OR(I123="",I123&lt;3,O123=""),"",O123+60)</f>
        <v/>
      </c>
      <c r="T123" s="19" t="str">
        <f aca="false">IF(OR(I123="",I123&lt;4,O123=""),"",O123+90)</f>
        <v/>
      </c>
      <c r="U123" s="19" t="str">
        <f aca="false">IF(OR(I123="",I123&lt;5,O123=""),"",O123+120)</f>
        <v/>
      </c>
      <c r="V123" s="19" t="str">
        <f aca="false">IF(OR(I123="",I123&lt;6,O123=""),"",O123+150)</f>
        <v/>
      </c>
      <c r="W123" s="19" t="str">
        <f aca="false">IF(OR(I123="",I123&lt;7,O123=""),"",O123+180)</f>
        <v/>
      </c>
      <c r="X123" s="19" t="str">
        <f aca="false">IF(OR(I123="",I123&lt;8,O123=""),"",O123+210)</f>
        <v/>
      </c>
      <c r="Y123" s="19" t="str">
        <f aca="false">IF(OR(I123="",I123&lt;9,O123=""),"",O123+240)</f>
        <v/>
      </c>
      <c r="Z123" s="19" t="str">
        <f aca="false">IF(OR(I123="",I123&lt;10,O123=""),"",O123+270)</f>
        <v/>
      </c>
      <c r="AA123" s="19" t="str">
        <f aca="false">IF(OR(I123="",I123&lt;11,O123=""),"",O123+300)</f>
        <v/>
      </c>
      <c r="AB123" s="19" t="str">
        <f aca="false">IF(OR(I123="",I123&lt;12,O123=""),"",O123+330)</f>
        <v/>
      </c>
      <c r="AC123" s="19" t="str">
        <f aca="false">IF(OR(I123="",I123&lt;13,O123=""),"",O123+360)</f>
        <v/>
      </c>
      <c r="AD123" s="19" t="str">
        <f aca="false">IF(OR(I123="",I123&lt;14,O123=""),"",O123+390)</f>
        <v/>
      </c>
      <c r="AE123" s="19" t="str">
        <f aca="false">IF(OR(I123="",I123&lt;15,O123=""),"",O123+420)</f>
        <v/>
      </c>
      <c r="AF123" s="19" t="str">
        <f aca="false">IF(OR(I123="",I123&lt;16,O123=""),"",O123+450)</f>
        <v/>
      </c>
      <c r="AG123" s="19" t="str">
        <f aca="false">IF(OR(I123="",I123&lt;17,O123=""),"",O123+480)</f>
        <v/>
      </c>
      <c r="AH123" s="19" t="str">
        <f aca="false">IF(OR(I123="",I123&lt;18,O123=""),"",O123+510)</f>
        <v/>
      </c>
      <c r="AI123" s="19" t="str">
        <f aca="false">IF(OR(I123="",I123&lt;19,O123=""),"",O123+540)</f>
        <v/>
      </c>
      <c r="AJ123" s="19" t="str">
        <f aca="false">IF(OR(I123="",I123&lt;20,O123=""),"",O123+570)</f>
        <v/>
      </c>
      <c r="AK123" s="19" t="str">
        <f aca="false">IF(OR(I123="",I123&lt;21,O123=""),"",O123+600)</f>
        <v/>
      </c>
      <c r="AL123" s="19" t="str">
        <f aca="false">IF(OR(I123="",I123&lt;22,O123=""),"",O123+630)</f>
        <v/>
      </c>
      <c r="AM123" s="19" t="str">
        <f aca="false">IF(OR(I123="",I123&lt;23,O123=""),"",O123+660)</f>
        <v/>
      </c>
      <c r="AN123" s="19" t="str">
        <f aca="false">IF(OR(I123="",I123&lt;24,O123=""),"",O123+690)</f>
        <v/>
      </c>
      <c r="AO123" s="15" t="str">
        <f aca="false">IF(J123="","",COUNTIF(Q123:AN123,TRUE())*J123)</f>
        <v/>
      </c>
      <c r="AP123" s="15" t="str">
        <f aca="false">IF(K123="","",K123-AO123)</f>
        <v/>
      </c>
      <c r="AQ123" s="15" t="str">
        <f aca="false">IF(K123="","",K123-F123-IF(N123="",0,N123))</f>
        <v/>
      </c>
    </row>
    <row r="124" customFormat="false" ht="15" hidden="false" customHeight="false" outlineLevel="0" collapsed="false">
      <c r="A124" s="4"/>
      <c r="B124" s="4"/>
      <c r="C124" s="4"/>
      <c r="D124" s="5"/>
      <c r="E124" s="5"/>
      <c r="F124" s="6"/>
      <c r="G124" s="4"/>
      <c r="H124" s="4"/>
      <c r="I124" s="4"/>
      <c r="J124" s="6"/>
      <c r="K124" s="7" t="str">
        <f aca="false">IF(OR(I124="",J124=""),"",I124*J124)</f>
        <v/>
      </c>
      <c r="L124" s="4"/>
      <c r="M124" s="8"/>
      <c r="N124" s="7" t="str">
        <f aca="false">IF(OR(L124="",M124="",K124=""),"",IF(L124="GANANCIA",(K124-F124)*M124,IF(L124="BRUTO",K124*M124,"")))</f>
        <v/>
      </c>
      <c r="O124" s="9" t="str">
        <f aca="false">IF(D124="","",D124)</f>
        <v/>
      </c>
      <c r="P124" s="10" t="str">
        <f aca="false">IF(I124="","",IF(COUNTIF(Q124:AN124,TRUE())&gt;=I124,"PAGADO",IF(COUNTIF(Q124:AN124,TRUE())&gt;0,"PARCIAL","VIGENTE")))</f>
        <v/>
      </c>
      <c r="Q124" s="11" t="str">
        <f aca="false">IF(OR(I124="",I124&lt;1,O124=""),"",O124+0)</f>
        <v/>
      </c>
      <c r="R124" s="11" t="str">
        <f aca="false">IF(OR(I124="",I124&lt;2,O124=""),"",O124+30)</f>
        <v/>
      </c>
      <c r="S124" s="11" t="str">
        <f aca="false">IF(OR(I124="",I124&lt;3,O124=""),"",O124+60)</f>
        <v/>
      </c>
      <c r="T124" s="11" t="str">
        <f aca="false">IF(OR(I124="",I124&lt;4,O124=""),"",O124+90)</f>
        <v/>
      </c>
      <c r="U124" s="11" t="str">
        <f aca="false">IF(OR(I124="",I124&lt;5,O124=""),"",O124+120)</f>
        <v/>
      </c>
      <c r="V124" s="11" t="str">
        <f aca="false">IF(OR(I124="",I124&lt;6,O124=""),"",O124+150)</f>
        <v/>
      </c>
      <c r="W124" s="11" t="str">
        <f aca="false">IF(OR(I124="",I124&lt;7,O124=""),"",O124+180)</f>
        <v/>
      </c>
      <c r="X124" s="11" t="str">
        <f aca="false">IF(OR(I124="",I124&lt;8,O124=""),"",O124+210)</f>
        <v/>
      </c>
      <c r="Y124" s="11" t="str">
        <f aca="false">IF(OR(I124="",I124&lt;9,O124=""),"",O124+240)</f>
        <v/>
      </c>
      <c r="Z124" s="11" t="str">
        <f aca="false">IF(OR(I124="",I124&lt;10,O124=""),"",O124+270)</f>
        <v/>
      </c>
      <c r="AA124" s="11" t="str">
        <f aca="false">IF(OR(I124="",I124&lt;11,O124=""),"",O124+300)</f>
        <v/>
      </c>
      <c r="AB124" s="11" t="str">
        <f aca="false">IF(OR(I124="",I124&lt;12,O124=""),"",O124+330)</f>
        <v/>
      </c>
      <c r="AC124" s="11" t="str">
        <f aca="false">IF(OR(I124="",I124&lt;13,O124=""),"",O124+360)</f>
        <v/>
      </c>
      <c r="AD124" s="11" t="str">
        <f aca="false">IF(OR(I124="",I124&lt;14,O124=""),"",O124+390)</f>
        <v/>
      </c>
      <c r="AE124" s="11" t="str">
        <f aca="false">IF(OR(I124="",I124&lt;15,O124=""),"",O124+420)</f>
        <v/>
      </c>
      <c r="AF124" s="11" t="str">
        <f aca="false">IF(OR(I124="",I124&lt;16,O124=""),"",O124+450)</f>
        <v/>
      </c>
      <c r="AG124" s="11" t="str">
        <f aca="false">IF(OR(I124="",I124&lt;17,O124=""),"",O124+480)</f>
        <v/>
      </c>
      <c r="AH124" s="11" t="str">
        <f aca="false">IF(OR(I124="",I124&lt;18,O124=""),"",O124+510)</f>
        <v/>
      </c>
      <c r="AI124" s="11" t="str">
        <f aca="false">IF(OR(I124="",I124&lt;19,O124=""),"",O124+540)</f>
        <v/>
      </c>
      <c r="AJ124" s="11" t="str">
        <f aca="false">IF(OR(I124="",I124&lt;20,O124=""),"",O124+570)</f>
        <v/>
      </c>
      <c r="AK124" s="11" t="str">
        <f aca="false">IF(OR(I124="",I124&lt;21,O124=""),"",O124+600)</f>
        <v/>
      </c>
      <c r="AL124" s="11" t="str">
        <f aca="false">IF(OR(I124="",I124&lt;22,O124=""),"",O124+630)</f>
        <v/>
      </c>
      <c r="AM124" s="11" t="str">
        <f aca="false">IF(OR(I124="",I124&lt;23,O124=""),"",O124+660)</f>
        <v/>
      </c>
      <c r="AN124" s="11" t="str">
        <f aca="false">IF(OR(I124="",I124&lt;24,O124=""),"",O124+690)</f>
        <v/>
      </c>
      <c r="AO124" s="7" t="str">
        <f aca="false">IF(J124="","",COUNTIF(Q124:AN124,TRUE())*J124)</f>
        <v/>
      </c>
      <c r="AP124" s="7" t="str">
        <f aca="false">IF(K124="","",K124-AO124)</f>
        <v/>
      </c>
      <c r="AQ124" s="7" t="str">
        <f aca="false">IF(K124="","",K124-F124-IF(N124="",0,N124))</f>
        <v/>
      </c>
    </row>
    <row r="125" customFormat="false" ht="15" hidden="false" customHeight="false" outlineLevel="0" collapsed="false">
      <c r="A125" s="12"/>
      <c r="B125" s="12"/>
      <c r="C125" s="12"/>
      <c r="D125" s="13"/>
      <c r="E125" s="13"/>
      <c r="F125" s="14"/>
      <c r="G125" s="12"/>
      <c r="H125" s="12"/>
      <c r="I125" s="12"/>
      <c r="J125" s="14"/>
      <c r="K125" s="15" t="str">
        <f aca="false">IF(OR(I125="",J125=""),"",I125*J125)</f>
        <v/>
      </c>
      <c r="L125" s="12"/>
      <c r="M125" s="16"/>
      <c r="N125" s="15" t="str">
        <f aca="false">IF(OR(L125="",M125="",K125=""),"",IF(L125="GANANCIA",(K125-F125)*M125,IF(L125="BRUTO",K125*M125,"")))</f>
        <v/>
      </c>
      <c r="O125" s="17" t="str">
        <f aca="false">IF(D125="","",D125)</f>
        <v/>
      </c>
      <c r="P125" s="18" t="str">
        <f aca="false">IF(I125="","",IF(COUNTIF(Q125:AN125,TRUE())&gt;=I125,"PAGADO",IF(COUNTIF(Q125:AN125,TRUE())&gt;0,"PARCIAL","VIGENTE")))</f>
        <v/>
      </c>
      <c r="Q125" s="19" t="str">
        <f aca="false">IF(OR(I125="",I125&lt;1,O125=""),"",O125+0)</f>
        <v/>
      </c>
      <c r="R125" s="19" t="str">
        <f aca="false">IF(OR(I125="",I125&lt;2,O125=""),"",O125+30)</f>
        <v/>
      </c>
      <c r="S125" s="19" t="str">
        <f aca="false">IF(OR(I125="",I125&lt;3,O125=""),"",O125+60)</f>
        <v/>
      </c>
      <c r="T125" s="19" t="str">
        <f aca="false">IF(OR(I125="",I125&lt;4,O125=""),"",O125+90)</f>
        <v/>
      </c>
      <c r="U125" s="19" t="str">
        <f aca="false">IF(OR(I125="",I125&lt;5,O125=""),"",O125+120)</f>
        <v/>
      </c>
      <c r="V125" s="19" t="str">
        <f aca="false">IF(OR(I125="",I125&lt;6,O125=""),"",O125+150)</f>
        <v/>
      </c>
      <c r="W125" s="19" t="str">
        <f aca="false">IF(OR(I125="",I125&lt;7,O125=""),"",O125+180)</f>
        <v/>
      </c>
      <c r="X125" s="19" t="str">
        <f aca="false">IF(OR(I125="",I125&lt;8,O125=""),"",O125+210)</f>
        <v/>
      </c>
      <c r="Y125" s="19" t="str">
        <f aca="false">IF(OR(I125="",I125&lt;9,O125=""),"",O125+240)</f>
        <v/>
      </c>
      <c r="Z125" s="19" t="str">
        <f aca="false">IF(OR(I125="",I125&lt;10,O125=""),"",O125+270)</f>
        <v/>
      </c>
      <c r="AA125" s="19" t="str">
        <f aca="false">IF(OR(I125="",I125&lt;11,O125=""),"",O125+300)</f>
        <v/>
      </c>
      <c r="AB125" s="19" t="str">
        <f aca="false">IF(OR(I125="",I125&lt;12,O125=""),"",O125+330)</f>
        <v/>
      </c>
      <c r="AC125" s="19" t="str">
        <f aca="false">IF(OR(I125="",I125&lt;13,O125=""),"",O125+360)</f>
        <v/>
      </c>
      <c r="AD125" s="19" t="str">
        <f aca="false">IF(OR(I125="",I125&lt;14,O125=""),"",O125+390)</f>
        <v/>
      </c>
      <c r="AE125" s="19" t="str">
        <f aca="false">IF(OR(I125="",I125&lt;15,O125=""),"",O125+420)</f>
        <v/>
      </c>
      <c r="AF125" s="19" t="str">
        <f aca="false">IF(OR(I125="",I125&lt;16,O125=""),"",O125+450)</f>
        <v/>
      </c>
      <c r="AG125" s="19" t="str">
        <f aca="false">IF(OR(I125="",I125&lt;17,O125=""),"",O125+480)</f>
        <v/>
      </c>
      <c r="AH125" s="19" t="str">
        <f aca="false">IF(OR(I125="",I125&lt;18,O125=""),"",O125+510)</f>
        <v/>
      </c>
      <c r="AI125" s="19" t="str">
        <f aca="false">IF(OR(I125="",I125&lt;19,O125=""),"",O125+540)</f>
        <v/>
      </c>
      <c r="AJ125" s="19" t="str">
        <f aca="false">IF(OR(I125="",I125&lt;20,O125=""),"",O125+570)</f>
        <v/>
      </c>
      <c r="AK125" s="19" t="str">
        <f aca="false">IF(OR(I125="",I125&lt;21,O125=""),"",O125+600)</f>
        <v/>
      </c>
      <c r="AL125" s="19" t="str">
        <f aca="false">IF(OR(I125="",I125&lt;22,O125=""),"",O125+630)</f>
        <v/>
      </c>
      <c r="AM125" s="19" t="str">
        <f aca="false">IF(OR(I125="",I125&lt;23,O125=""),"",O125+660)</f>
        <v/>
      </c>
      <c r="AN125" s="19" t="str">
        <f aca="false">IF(OR(I125="",I125&lt;24,O125=""),"",O125+690)</f>
        <v/>
      </c>
      <c r="AO125" s="15" t="str">
        <f aca="false">IF(J125="","",COUNTIF(Q125:AN125,TRUE())*J125)</f>
        <v/>
      </c>
      <c r="AP125" s="15" t="str">
        <f aca="false">IF(K125="","",K125-AO125)</f>
        <v/>
      </c>
      <c r="AQ125" s="15" t="str">
        <f aca="false">IF(K125="","",K125-F125-IF(N125="",0,N125))</f>
        <v/>
      </c>
    </row>
    <row r="126" customFormat="false" ht="15" hidden="false" customHeight="false" outlineLevel="0" collapsed="false">
      <c r="A126" s="4"/>
      <c r="B126" s="4"/>
      <c r="C126" s="4"/>
      <c r="D126" s="5"/>
      <c r="E126" s="5"/>
      <c r="F126" s="6"/>
      <c r="G126" s="4"/>
      <c r="H126" s="4"/>
      <c r="I126" s="4"/>
      <c r="J126" s="6"/>
      <c r="K126" s="7" t="str">
        <f aca="false">IF(OR(I126="",J126=""),"",I126*J126)</f>
        <v/>
      </c>
      <c r="L126" s="4"/>
      <c r="M126" s="8"/>
      <c r="N126" s="7" t="str">
        <f aca="false">IF(OR(L126="",M126="",K126=""),"",IF(L126="GANANCIA",(K126-F126)*M126,IF(L126="BRUTO",K126*M126,"")))</f>
        <v/>
      </c>
      <c r="O126" s="9" t="str">
        <f aca="false">IF(D126="","",D126)</f>
        <v/>
      </c>
      <c r="P126" s="10" t="str">
        <f aca="false">IF(I126="","",IF(COUNTIF(Q126:AN126,TRUE())&gt;=I126,"PAGADO",IF(COUNTIF(Q126:AN126,TRUE())&gt;0,"PARCIAL","VIGENTE")))</f>
        <v/>
      </c>
      <c r="Q126" s="11" t="str">
        <f aca="false">IF(OR(I126="",I126&lt;1,O126=""),"",O126+0)</f>
        <v/>
      </c>
      <c r="R126" s="11" t="str">
        <f aca="false">IF(OR(I126="",I126&lt;2,O126=""),"",O126+30)</f>
        <v/>
      </c>
      <c r="S126" s="11" t="str">
        <f aca="false">IF(OR(I126="",I126&lt;3,O126=""),"",O126+60)</f>
        <v/>
      </c>
      <c r="T126" s="11" t="str">
        <f aca="false">IF(OR(I126="",I126&lt;4,O126=""),"",O126+90)</f>
        <v/>
      </c>
      <c r="U126" s="11" t="str">
        <f aca="false">IF(OR(I126="",I126&lt;5,O126=""),"",O126+120)</f>
        <v/>
      </c>
      <c r="V126" s="11" t="str">
        <f aca="false">IF(OR(I126="",I126&lt;6,O126=""),"",O126+150)</f>
        <v/>
      </c>
      <c r="W126" s="11" t="str">
        <f aca="false">IF(OR(I126="",I126&lt;7,O126=""),"",O126+180)</f>
        <v/>
      </c>
      <c r="X126" s="11" t="str">
        <f aca="false">IF(OR(I126="",I126&lt;8,O126=""),"",O126+210)</f>
        <v/>
      </c>
      <c r="Y126" s="11" t="str">
        <f aca="false">IF(OR(I126="",I126&lt;9,O126=""),"",O126+240)</f>
        <v/>
      </c>
      <c r="Z126" s="11" t="str">
        <f aca="false">IF(OR(I126="",I126&lt;10,O126=""),"",O126+270)</f>
        <v/>
      </c>
      <c r="AA126" s="11" t="str">
        <f aca="false">IF(OR(I126="",I126&lt;11,O126=""),"",O126+300)</f>
        <v/>
      </c>
      <c r="AB126" s="11" t="str">
        <f aca="false">IF(OR(I126="",I126&lt;12,O126=""),"",O126+330)</f>
        <v/>
      </c>
      <c r="AC126" s="11" t="str">
        <f aca="false">IF(OR(I126="",I126&lt;13,O126=""),"",O126+360)</f>
        <v/>
      </c>
      <c r="AD126" s="11" t="str">
        <f aca="false">IF(OR(I126="",I126&lt;14,O126=""),"",O126+390)</f>
        <v/>
      </c>
      <c r="AE126" s="11" t="str">
        <f aca="false">IF(OR(I126="",I126&lt;15,O126=""),"",O126+420)</f>
        <v/>
      </c>
      <c r="AF126" s="11" t="str">
        <f aca="false">IF(OR(I126="",I126&lt;16,O126=""),"",O126+450)</f>
        <v/>
      </c>
      <c r="AG126" s="11" t="str">
        <f aca="false">IF(OR(I126="",I126&lt;17,O126=""),"",O126+480)</f>
        <v/>
      </c>
      <c r="AH126" s="11" t="str">
        <f aca="false">IF(OR(I126="",I126&lt;18,O126=""),"",O126+510)</f>
        <v/>
      </c>
      <c r="AI126" s="11" t="str">
        <f aca="false">IF(OR(I126="",I126&lt;19,O126=""),"",O126+540)</f>
        <v/>
      </c>
      <c r="AJ126" s="11" t="str">
        <f aca="false">IF(OR(I126="",I126&lt;20,O126=""),"",O126+570)</f>
        <v/>
      </c>
      <c r="AK126" s="11" t="str">
        <f aca="false">IF(OR(I126="",I126&lt;21,O126=""),"",O126+600)</f>
        <v/>
      </c>
      <c r="AL126" s="11" t="str">
        <f aca="false">IF(OR(I126="",I126&lt;22,O126=""),"",O126+630)</f>
        <v/>
      </c>
      <c r="AM126" s="11" t="str">
        <f aca="false">IF(OR(I126="",I126&lt;23,O126=""),"",O126+660)</f>
        <v/>
      </c>
      <c r="AN126" s="11" t="str">
        <f aca="false">IF(OR(I126="",I126&lt;24,O126=""),"",O126+690)</f>
        <v/>
      </c>
      <c r="AO126" s="7" t="str">
        <f aca="false">IF(J126="","",COUNTIF(Q126:AN126,TRUE())*J126)</f>
        <v/>
      </c>
      <c r="AP126" s="7" t="str">
        <f aca="false">IF(K126="","",K126-AO126)</f>
        <v/>
      </c>
      <c r="AQ126" s="7" t="str">
        <f aca="false">IF(K126="","",K126-F126-IF(N126="",0,N126))</f>
        <v/>
      </c>
    </row>
    <row r="127" customFormat="false" ht="15" hidden="false" customHeight="false" outlineLevel="0" collapsed="false">
      <c r="A127" s="12"/>
      <c r="B127" s="12"/>
      <c r="C127" s="12"/>
      <c r="D127" s="13"/>
      <c r="E127" s="13"/>
      <c r="F127" s="14"/>
      <c r="G127" s="12"/>
      <c r="H127" s="12"/>
      <c r="I127" s="12"/>
      <c r="J127" s="14"/>
      <c r="K127" s="15" t="str">
        <f aca="false">IF(OR(I127="",J127=""),"",I127*J127)</f>
        <v/>
      </c>
      <c r="L127" s="12"/>
      <c r="M127" s="16"/>
      <c r="N127" s="15" t="str">
        <f aca="false">IF(OR(L127="",M127="",K127=""),"",IF(L127="GANANCIA",(K127-F127)*M127,IF(L127="BRUTO",K127*M127,"")))</f>
        <v/>
      </c>
      <c r="O127" s="17" t="str">
        <f aca="false">IF(D127="","",D127)</f>
        <v/>
      </c>
      <c r="P127" s="18" t="str">
        <f aca="false">IF(I127="","",IF(COUNTIF(Q127:AN127,TRUE())&gt;=I127,"PAGADO",IF(COUNTIF(Q127:AN127,TRUE())&gt;0,"PARCIAL","VIGENTE")))</f>
        <v/>
      </c>
      <c r="Q127" s="19" t="str">
        <f aca="false">IF(OR(I127="",I127&lt;1,O127=""),"",O127+0)</f>
        <v/>
      </c>
      <c r="R127" s="19" t="str">
        <f aca="false">IF(OR(I127="",I127&lt;2,O127=""),"",O127+30)</f>
        <v/>
      </c>
      <c r="S127" s="19" t="str">
        <f aca="false">IF(OR(I127="",I127&lt;3,O127=""),"",O127+60)</f>
        <v/>
      </c>
      <c r="T127" s="19" t="str">
        <f aca="false">IF(OR(I127="",I127&lt;4,O127=""),"",O127+90)</f>
        <v/>
      </c>
      <c r="U127" s="19" t="str">
        <f aca="false">IF(OR(I127="",I127&lt;5,O127=""),"",O127+120)</f>
        <v/>
      </c>
      <c r="V127" s="19" t="str">
        <f aca="false">IF(OR(I127="",I127&lt;6,O127=""),"",O127+150)</f>
        <v/>
      </c>
      <c r="W127" s="19" t="str">
        <f aca="false">IF(OR(I127="",I127&lt;7,O127=""),"",O127+180)</f>
        <v/>
      </c>
      <c r="X127" s="19" t="str">
        <f aca="false">IF(OR(I127="",I127&lt;8,O127=""),"",O127+210)</f>
        <v/>
      </c>
      <c r="Y127" s="19" t="str">
        <f aca="false">IF(OR(I127="",I127&lt;9,O127=""),"",O127+240)</f>
        <v/>
      </c>
      <c r="Z127" s="19" t="str">
        <f aca="false">IF(OR(I127="",I127&lt;10,O127=""),"",O127+270)</f>
        <v/>
      </c>
      <c r="AA127" s="19" t="str">
        <f aca="false">IF(OR(I127="",I127&lt;11,O127=""),"",O127+300)</f>
        <v/>
      </c>
      <c r="AB127" s="19" t="str">
        <f aca="false">IF(OR(I127="",I127&lt;12,O127=""),"",O127+330)</f>
        <v/>
      </c>
      <c r="AC127" s="19" t="str">
        <f aca="false">IF(OR(I127="",I127&lt;13,O127=""),"",O127+360)</f>
        <v/>
      </c>
      <c r="AD127" s="19" t="str">
        <f aca="false">IF(OR(I127="",I127&lt;14,O127=""),"",O127+390)</f>
        <v/>
      </c>
      <c r="AE127" s="19" t="str">
        <f aca="false">IF(OR(I127="",I127&lt;15,O127=""),"",O127+420)</f>
        <v/>
      </c>
      <c r="AF127" s="19" t="str">
        <f aca="false">IF(OR(I127="",I127&lt;16,O127=""),"",O127+450)</f>
        <v/>
      </c>
      <c r="AG127" s="19" t="str">
        <f aca="false">IF(OR(I127="",I127&lt;17,O127=""),"",O127+480)</f>
        <v/>
      </c>
      <c r="AH127" s="19" t="str">
        <f aca="false">IF(OR(I127="",I127&lt;18,O127=""),"",O127+510)</f>
        <v/>
      </c>
      <c r="AI127" s="19" t="str">
        <f aca="false">IF(OR(I127="",I127&lt;19,O127=""),"",O127+540)</f>
        <v/>
      </c>
      <c r="AJ127" s="19" t="str">
        <f aca="false">IF(OR(I127="",I127&lt;20,O127=""),"",O127+570)</f>
        <v/>
      </c>
      <c r="AK127" s="19" t="str">
        <f aca="false">IF(OR(I127="",I127&lt;21,O127=""),"",O127+600)</f>
        <v/>
      </c>
      <c r="AL127" s="19" t="str">
        <f aca="false">IF(OR(I127="",I127&lt;22,O127=""),"",O127+630)</f>
        <v/>
      </c>
      <c r="AM127" s="19" t="str">
        <f aca="false">IF(OR(I127="",I127&lt;23,O127=""),"",O127+660)</f>
        <v/>
      </c>
      <c r="AN127" s="19" t="str">
        <f aca="false">IF(OR(I127="",I127&lt;24,O127=""),"",O127+690)</f>
        <v/>
      </c>
      <c r="AO127" s="15" t="str">
        <f aca="false">IF(J127="","",COUNTIF(Q127:AN127,TRUE())*J127)</f>
        <v/>
      </c>
      <c r="AP127" s="15" t="str">
        <f aca="false">IF(K127="","",K127-AO127)</f>
        <v/>
      </c>
      <c r="AQ127" s="15" t="str">
        <f aca="false">IF(K127="","",K127-F127-IF(N127="",0,N127))</f>
        <v/>
      </c>
    </row>
    <row r="128" customFormat="false" ht="15" hidden="false" customHeight="false" outlineLevel="0" collapsed="false">
      <c r="A128" s="4"/>
      <c r="B128" s="4"/>
      <c r="C128" s="4"/>
      <c r="D128" s="5"/>
      <c r="E128" s="5"/>
      <c r="F128" s="6"/>
      <c r="G128" s="4"/>
      <c r="H128" s="4"/>
      <c r="I128" s="4"/>
      <c r="J128" s="6"/>
      <c r="K128" s="7" t="str">
        <f aca="false">IF(OR(I128="",J128=""),"",I128*J128)</f>
        <v/>
      </c>
      <c r="L128" s="4"/>
      <c r="M128" s="8"/>
      <c r="N128" s="7" t="str">
        <f aca="false">IF(OR(L128="",M128="",K128=""),"",IF(L128="GANANCIA",(K128-F128)*M128,IF(L128="BRUTO",K128*M128,"")))</f>
        <v/>
      </c>
      <c r="O128" s="9" t="str">
        <f aca="false">IF(D128="","",D128)</f>
        <v/>
      </c>
      <c r="P128" s="10" t="str">
        <f aca="false">IF(I128="","",IF(COUNTIF(Q128:AN128,TRUE())&gt;=I128,"PAGADO",IF(COUNTIF(Q128:AN128,TRUE())&gt;0,"PARCIAL","VIGENTE")))</f>
        <v/>
      </c>
      <c r="Q128" s="11" t="str">
        <f aca="false">IF(OR(I128="",I128&lt;1,O128=""),"",O128+0)</f>
        <v/>
      </c>
      <c r="R128" s="11" t="str">
        <f aca="false">IF(OR(I128="",I128&lt;2,O128=""),"",O128+30)</f>
        <v/>
      </c>
      <c r="S128" s="11" t="str">
        <f aca="false">IF(OR(I128="",I128&lt;3,O128=""),"",O128+60)</f>
        <v/>
      </c>
      <c r="T128" s="11" t="str">
        <f aca="false">IF(OR(I128="",I128&lt;4,O128=""),"",O128+90)</f>
        <v/>
      </c>
      <c r="U128" s="11" t="str">
        <f aca="false">IF(OR(I128="",I128&lt;5,O128=""),"",O128+120)</f>
        <v/>
      </c>
      <c r="V128" s="11" t="str">
        <f aca="false">IF(OR(I128="",I128&lt;6,O128=""),"",O128+150)</f>
        <v/>
      </c>
      <c r="W128" s="11" t="str">
        <f aca="false">IF(OR(I128="",I128&lt;7,O128=""),"",O128+180)</f>
        <v/>
      </c>
      <c r="X128" s="11" t="str">
        <f aca="false">IF(OR(I128="",I128&lt;8,O128=""),"",O128+210)</f>
        <v/>
      </c>
      <c r="Y128" s="11" t="str">
        <f aca="false">IF(OR(I128="",I128&lt;9,O128=""),"",O128+240)</f>
        <v/>
      </c>
      <c r="Z128" s="11" t="str">
        <f aca="false">IF(OR(I128="",I128&lt;10,O128=""),"",O128+270)</f>
        <v/>
      </c>
      <c r="AA128" s="11" t="str">
        <f aca="false">IF(OR(I128="",I128&lt;11,O128=""),"",O128+300)</f>
        <v/>
      </c>
      <c r="AB128" s="11" t="str">
        <f aca="false">IF(OR(I128="",I128&lt;12,O128=""),"",O128+330)</f>
        <v/>
      </c>
      <c r="AC128" s="11" t="str">
        <f aca="false">IF(OR(I128="",I128&lt;13,O128=""),"",O128+360)</f>
        <v/>
      </c>
      <c r="AD128" s="11" t="str">
        <f aca="false">IF(OR(I128="",I128&lt;14,O128=""),"",O128+390)</f>
        <v/>
      </c>
      <c r="AE128" s="11" t="str">
        <f aca="false">IF(OR(I128="",I128&lt;15,O128=""),"",O128+420)</f>
        <v/>
      </c>
      <c r="AF128" s="11" t="str">
        <f aca="false">IF(OR(I128="",I128&lt;16,O128=""),"",O128+450)</f>
        <v/>
      </c>
      <c r="AG128" s="11" t="str">
        <f aca="false">IF(OR(I128="",I128&lt;17,O128=""),"",O128+480)</f>
        <v/>
      </c>
      <c r="AH128" s="11" t="str">
        <f aca="false">IF(OR(I128="",I128&lt;18,O128=""),"",O128+510)</f>
        <v/>
      </c>
      <c r="AI128" s="11" t="str">
        <f aca="false">IF(OR(I128="",I128&lt;19,O128=""),"",O128+540)</f>
        <v/>
      </c>
      <c r="AJ128" s="11" t="str">
        <f aca="false">IF(OR(I128="",I128&lt;20,O128=""),"",O128+570)</f>
        <v/>
      </c>
      <c r="AK128" s="11" t="str">
        <f aca="false">IF(OR(I128="",I128&lt;21,O128=""),"",O128+600)</f>
        <v/>
      </c>
      <c r="AL128" s="11" t="str">
        <f aca="false">IF(OR(I128="",I128&lt;22,O128=""),"",O128+630)</f>
        <v/>
      </c>
      <c r="AM128" s="11" t="str">
        <f aca="false">IF(OR(I128="",I128&lt;23,O128=""),"",O128+660)</f>
        <v/>
      </c>
      <c r="AN128" s="11" t="str">
        <f aca="false">IF(OR(I128="",I128&lt;24,O128=""),"",O128+690)</f>
        <v/>
      </c>
      <c r="AO128" s="7" t="str">
        <f aca="false">IF(J128="","",COUNTIF(Q128:AN128,TRUE())*J128)</f>
        <v/>
      </c>
      <c r="AP128" s="7" t="str">
        <f aca="false">IF(K128="","",K128-AO128)</f>
        <v/>
      </c>
      <c r="AQ128" s="7" t="str">
        <f aca="false">IF(K128="","",K128-F128-IF(N128="",0,N128))</f>
        <v/>
      </c>
    </row>
    <row r="129" customFormat="false" ht="15" hidden="false" customHeight="false" outlineLevel="0" collapsed="false">
      <c r="A129" s="12"/>
      <c r="B129" s="12"/>
      <c r="C129" s="12"/>
      <c r="D129" s="13"/>
      <c r="E129" s="13"/>
      <c r="F129" s="14"/>
      <c r="G129" s="12"/>
      <c r="H129" s="12"/>
      <c r="I129" s="12"/>
      <c r="J129" s="14"/>
      <c r="K129" s="15" t="str">
        <f aca="false">IF(OR(I129="",J129=""),"",I129*J129)</f>
        <v/>
      </c>
      <c r="L129" s="12"/>
      <c r="M129" s="16"/>
      <c r="N129" s="15" t="str">
        <f aca="false">IF(OR(L129="",M129="",K129=""),"",IF(L129="GANANCIA",(K129-F129)*M129,IF(L129="BRUTO",K129*M129,"")))</f>
        <v/>
      </c>
      <c r="O129" s="17" t="str">
        <f aca="false">IF(D129="","",D129)</f>
        <v/>
      </c>
      <c r="P129" s="18" t="str">
        <f aca="false">IF(I129="","",IF(COUNTIF(Q129:AN129,TRUE())&gt;=I129,"PAGADO",IF(COUNTIF(Q129:AN129,TRUE())&gt;0,"PARCIAL","VIGENTE")))</f>
        <v/>
      </c>
      <c r="Q129" s="19" t="str">
        <f aca="false">IF(OR(I129="",I129&lt;1,O129=""),"",O129+0)</f>
        <v/>
      </c>
      <c r="R129" s="19" t="str">
        <f aca="false">IF(OR(I129="",I129&lt;2,O129=""),"",O129+30)</f>
        <v/>
      </c>
      <c r="S129" s="19" t="str">
        <f aca="false">IF(OR(I129="",I129&lt;3,O129=""),"",O129+60)</f>
        <v/>
      </c>
      <c r="T129" s="19" t="str">
        <f aca="false">IF(OR(I129="",I129&lt;4,O129=""),"",O129+90)</f>
        <v/>
      </c>
      <c r="U129" s="19" t="str">
        <f aca="false">IF(OR(I129="",I129&lt;5,O129=""),"",O129+120)</f>
        <v/>
      </c>
      <c r="V129" s="19" t="str">
        <f aca="false">IF(OR(I129="",I129&lt;6,O129=""),"",O129+150)</f>
        <v/>
      </c>
      <c r="W129" s="19" t="str">
        <f aca="false">IF(OR(I129="",I129&lt;7,O129=""),"",O129+180)</f>
        <v/>
      </c>
      <c r="X129" s="19" t="str">
        <f aca="false">IF(OR(I129="",I129&lt;8,O129=""),"",O129+210)</f>
        <v/>
      </c>
      <c r="Y129" s="19" t="str">
        <f aca="false">IF(OR(I129="",I129&lt;9,O129=""),"",O129+240)</f>
        <v/>
      </c>
      <c r="Z129" s="19" t="str">
        <f aca="false">IF(OR(I129="",I129&lt;10,O129=""),"",O129+270)</f>
        <v/>
      </c>
      <c r="AA129" s="19" t="str">
        <f aca="false">IF(OR(I129="",I129&lt;11,O129=""),"",O129+300)</f>
        <v/>
      </c>
      <c r="AB129" s="19" t="str">
        <f aca="false">IF(OR(I129="",I129&lt;12,O129=""),"",O129+330)</f>
        <v/>
      </c>
      <c r="AC129" s="19" t="str">
        <f aca="false">IF(OR(I129="",I129&lt;13,O129=""),"",O129+360)</f>
        <v/>
      </c>
      <c r="AD129" s="19" t="str">
        <f aca="false">IF(OR(I129="",I129&lt;14,O129=""),"",O129+390)</f>
        <v/>
      </c>
      <c r="AE129" s="19" t="str">
        <f aca="false">IF(OR(I129="",I129&lt;15,O129=""),"",O129+420)</f>
        <v/>
      </c>
      <c r="AF129" s="19" t="str">
        <f aca="false">IF(OR(I129="",I129&lt;16,O129=""),"",O129+450)</f>
        <v/>
      </c>
      <c r="AG129" s="19" t="str">
        <f aca="false">IF(OR(I129="",I129&lt;17,O129=""),"",O129+480)</f>
        <v/>
      </c>
      <c r="AH129" s="19" t="str">
        <f aca="false">IF(OR(I129="",I129&lt;18,O129=""),"",O129+510)</f>
        <v/>
      </c>
      <c r="AI129" s="19" t="str">
        <f aca="false">IF(OR(I129="",I129&lt;19,O129=""),"",O129+540)</f>
        <v/>
      </c>
      <c r="AJ129" s="19" t="str">
        <f aca="false">IF(OR(I129="",I129&lt;20,O129=""),"",O129+570)</f>
        <v/>
      </c>
      <c r="AK129" s="19" t="str">
        <f aca="false">IF(OR(I129="",I129&lt;21,O129=""),"",O129+600)</f>
        <v/>
      </c>
      <c r="AL129" s="19" t="str">
        <f aca="false">IF(OR(I129="",I129&lt;22,O129=""),"",O129+630)</f>
        <v/>
      </c>
      <c r="AM129" s="19" t="str">
        <f aca="false">IF(OR(I129="",I129&lt;23,O129=""),"",O129+660)</f>
        <v/>
      </c>
      <c r="AN129" s="19" t="str">
        <f aca="false">IF(OR(I129="",I129&lt;24,O129=""),"",O129+690)</f>
        <v/>
      </c>
      <c r="AO129" s="15" t="str">
        <f aca="false">IF(J129="","",COUNTIF(Q129:AN129,TRUE())*J129)</f>
        <v/>
      </c>
      <c r="AP129" s="15" t="str">
        <f aca="false">IF(K129="","",K129-AO129)</f>
        <v/>
      </c>
      <c r="AQ129" s="15" t="str">
        <f aca="false">IF(K129="","",K129-F129-IF(N129="",0,N129))</f>
        <v/>
      </c>
    </row>
    <row r="130" customFormat="false" ht="15" hidden="false" customHeight="false" outlineLevel="0" collapsed="false">
      <c r="A130" s="4"/>
      <c r="B130" s="4"/>
      <c r="C130" s="4"/>
      <c r="D130" s="5"/>
      <c r="E130" s="5"/>
      <c r="F130" s="6"/>
      <c r="G130" s="4"/>
      <c r="H130" s="4"/>
      <c r="I130" s="4"/>
      <c r="J130" s="6"/>
      <c r="K130" s="7" t="str">
        <f aca="false">IF(OR(I130="",J130=""),"",I130*J130)</f>
        <v/>
      </c>
      <c r="L130" s="4"/>
      <c r="M130" s="8"/>
      <c r="N130" s="7" t="str">
        <f aca="false">IF(OR(L130="",M130="",K130=""),"",IF(L130="GANANCIA",(K130-F130)*M130,IF(L130="BRUTO",K130*M130,"")))</f>
        <v/>
      </c>
      <c r="O130" s="9" t="str">
        <f aca="false">IF(D130="","",D130)</f>
        <v/>
      </c>
      <c r="P130" s="10" t="str">
        <f aca="false">IF(I130="","",IF(COUNTIF(Q130:AN130,TRUE())&gt;=I130,"PAGADO",IF(COUNTIF(Q130:AN130,TRUE())&gt;0,"PARCIAL","VIGENTE")))</f>
        <v/>
      </c>
      <c r="Q130" s="11" t="str">
        <f aca="false">IF(OR(I130="",I130&lt;1,O130=""),"",O130+0)</f>
        <v/>
      </c>
      <c r="R130" s="11" t="str">
        <f aca="false">IF(OR(I130="",I130&lt;2,O130=""),"",O130+30)</f>
        <v/>
      </c>
      <c r="S130" s="11" t="str">
        <f aca="false">IF(OR(I130="",I130&lt;3,O130=""),"",O130+60)</f>
        <v/>
      </c>
      <c r="T130" s="11" t="str">
        <f aca="false">IF(OR(I130="",I130&lt;4,O130=""),"",O130+90)</f>
        <v/>
      </c>
      <c r="U130" s="11" t="str">
        <f aca="false">IF(OR(I130="",I130&lt;5,O130=""),"",O130+120)</f>
        <v/>
      </c>
      <c r="V130" s="11" t="str">
        <f aca="false">IF(OR(I130="",I130&lt;6,O130=""),"",O130+150)</f>
        <v/>
      </c>
      <c r="W130" s="11" t="str">
        <f aca="false">IF(OR(I130="",I130&lt;7,O130=""),"",O130+180)</f>
        <v/>
      </c>
      <c r="X130" s="11" t="str">
        <f aca="false">IF(OR(I130="",I130&lt;8,O130=""),"",O130+210)</f>
        <v/>
      </c>
      <c r="Y130" s="11" t="str">
        <f aca="false">IF(OR(I130="",I130&lt;9,O130=""),"",O130+240)</f>
        <v/>
      </c>
      <c r="Z130" s="11" t="str">
        <f aca="false">IF(OR(I130="",I130&lt;10,O130=""),"",O130+270)</f>
        <v/>
      </c>
      <c r="AA130" s="11" t="str">
        <f aca="false">IF(OR(I130="",I130&lt;11,O130=""),"",O130+300)</f>
        <v/>
      </c>
      <c r="AB130" s="11" t="str">
        <f aca="false">IF(OR(I130="",I130&lt;12,O130=""),"",O130+330)</f>
        <v/>
      </c>
      <c r="AC130" s="11" t="str">
        <f aca="false">IF(OR(I130="",I130&lt;13,O130=""),"",O130+360)</f>
        <v/>
      </c>
      <c r="AD130" s="11" t="str">
        <f aca="false">IF(OR(I130="",I130&lt;14,O130=""),"",O130+390)</f>
        <v/>
      </c>
      <c r="AE130" s="11" t="str">
        <f aca="false">IF(OR(I130="",I130&lt;15,O130=""),"",O130+420)</f>
        <v/>
      </c>
      <c r="AF130" s="11" t="str">
        <f aca="false">IF(OR(I130="",I130&lt;16,O130=""),"",O130+450)</f>
        <v/>
      </c>
      <c r="AG130" s="11" t="str">
        <f aca="false">IF(OR(I130="",I130&lt;17,O130=""),"",O130+480)</f>
        <v/>
      </c>
      <c r="AH130" s="11" t="str">
        <f aca="false">IF(OR(I130="",I130&lt;18,O130=""),"",O130+510)</f>
        <v/>
      </c>
      <c r="AI130" s="11" t="str">
        <f aca="false">IF(OR(I130="",I130&lt;19,O130=""),"",O130+540)</f>
        <v/>
      </c>
      <c r="AJ130" s="11" t="str">
        <f aca="false">IF(OR(I130="",I130&lt;20,O130=""),"",O130+570)</f>
        <v/>
      </c>
      <c r="AK130" s="11" t="str">
        <f aca="false">IF(OR(I130="",I130&lt;21,O130=""),"",O130+600)</f>
        <v/>
      </c>
      <c r="AL130" s="11" t="str">
        <f aca="false">IF(OR(I130="",I130&lt;22,O130=""),"",O130+630)</f>
        <v/>
      </c>
      <c r="AM130" s="11" t="str">
        <f aca="false">IF(OR(I130="",I130&lt;23,O130=""),"",O130+660)</f>
        <v/>
      </c>
      <c r="AN130" s="11" t="str">
        <f aca="false">IF(OR(I130="",I130&lt;24,O130=""),"",O130+690)</f>
        <v/>
      </c>
      <c r="AO130" s="7" t="str">
        <f aca="false">IF(J130="","",COUNTIF(Q130:AN130,TRUE())*J130)</f>
        <v/>
      </c>
      <c r="AP130" s="7" t="str">
        <f aca="false">IF(K130="","",K130-AO130)</f>
        <v/>
      </c>
      <c r="AQ130" s="7" t="str">
        <f aca="false">IF(K130="","",K130-F130-IF(N130="",0,N130))</f>
        <v/>
      </c>
    </row>
    <row r="131" customFormat="false" ht="15" hidden="false" customHeight="false" outlineLevel="0" collapsed="false">
      <c r="A131" s="12"/>
      <c r="B131" s="12"/>
      <c r="C131" s="12"/>
      <c r="D131" s="13"/>
      <c r="E131" s="13"/>
      <c r="F131" s="14"/>
      <c r="G131" s="12"/>
      <c r="H131" s="12"/>
      <c r="I131" s="12"/>
      <c r="J131" s="14"/>
      <c r="K131" s="15" t="str">
        <f aca="false">IF(OR(I131="",J131=""),"",I131*J131)</f>
        <v/>
      </c>
      <c r="L131" s="12"/>
      <c r="M131" s="16"/>
      <c r="N131" s="15" t="str">
        <f aca="false">IF(OR(L131="",M131="",K131=""),"",IF(L131="GANANCIA",(K131-F131)*M131,IF(L131="BRUTO",K131*M131,"")))</f>
        <v/>
      </c>
      <c r="O131" s="17" t="str">
        <f aca="false">IF(D131="","",D131)</f>
        <v/>
      </c>
      <c r="P131" s="18" t="str">
        <f aca="false">IF(I131="","",IF(COUNTIF(Q131:AN131,TRUE())&gt;=I131,"PAGADO",IF(COUNTIF(Q131:AN131,TRUE())&gt;0,"PARCIAL","VIGENTE")))</f>
        <v/>
      </c>
      <c r="Q131" s="19" t="str">
        <f aca="false">IF(OR(I131="",I131&lt;1,O131=""),"",O131+0)</f>
        <v/>
      </c>
      <c r="R131" s="19" t="str">
        <f aca="false">IF(OR(I131="",I131&lt;2,O131=""),"",O131+30)</f>
        <v/>
      </c>
      <c r="S131" s="19" t="str">
        <f aca="false">IF(OR(I131="",I131&lt;3,O131=""),"",O131+60)</f>
        <v/>
      </c>
      <c r="T131" s="19" t="str">
        <f aca="false">IF(OR(I131="",I131&lt;4,O131=""),"",O131+90)</f>
        <v/>
      </c>
      <c r="U131" s="19" t="str">
        <f aca="false">IF(OR(I131="",I131&lt;5,O131=""),"",O131+120)</f>
        <v/>
      </c>
      <c r="V131" s="19" t="str">
        <f aca="false">IF(OR(I131="",I131&lt;6,O131=""),"",O131+150)</f>
        <v/>
      </c>
      <c r="W131" s="19" t="str">
        <f aca="false">IF(OR(I131="",I131&lt;7,O131=""),"",O131+180)</f>
        <v/>
      </c>
      <c r="X131" s="19" t="str">
        <f aca="false">IF(OR(I131="",I131&lt;8,O131=""),"",O131+210)</f>
        <v/>
      </c>
      <c r="Y131" s="19" t="str">
        <f aca="false">IF(OR(I131="",I131&lt;9,O131=""),"",O131+240)</f>
        <v/>
      </c>
      <c r="Z131" s="19" t="str">
        <f aca="false">IF(OR(I131="",I131&lt;10,O131=""),"",O131+270)</f>
        <v/>
      </c>
      <c r="AA131" s="19" t="str">
        <f aca="false">IF(OR(I131="",I131&lt;11,O131=""),"",O131+300)</f>
        <v/>
      </c>
      <c r="AB131" s="19" t="str">
        <f aca="false">IF(OR(I131="",I131&lt;12,O131=""),"",O131+330)</f>
        <v/>
      </c>
      <c r="AC131" s="19" t="str">
        <f aca="false">IF(OR(I131="",I131&lt;13,O131=""),"",O131+360)</f>
        <v/>
      </c>
      <c r="AD131" s="19" t="str">
        <f aca="false">IF(OR(I131="",I131&lt;14,O131=""),"",O131+390)</f>
        <v/>
      </c>
      <c r="AE131" s="19" t="str">
        <f aca="false">IF(OR(I131="",I131&lt;15,O131=""),"",O131+420)</f>
        <v/>
      </c>
      <c r="AF131" s="19" t="str">
        <f aca="false">IF(OR(I131="",I131&lt;16,O131=""),"",O131+450)</f>
        <v/>
      </c>
      <c r="AG131" s="19" t="str">
        <f aca="false">IF(OR(I131="",I131&lt;17,O131=""),"",O131+480)</f>
        <v/>
      </c>
      <c r="AH131" s="19" t="str">
        <f aca="false">IF(OR(I131="",I131&lt;18,O131=""),"",O131+510)</f>
        <v/>
      </c>
      <c r="AI131" s="19" t="str">
        <f aca="false">IF(OR(I131="",I131&lt;19,O131=""),"",O131+540)</f>
        <v/>
      </c>
      <c r="AJ131" s="19" t="str">
        <f aca="false">IF(OR(I131="",I131&lt;20,O131=""),"",O131+570)</f>
        <v/>
      </c>
      <c r="AK131" s="19" t="str">
        <f aca="false">IF(OR(I131="",I131&lt;21,O131=""),"",O131+600)</f>
        <v/>
      </c>
      <c r="AL131" s="19" t="str">
        <f aca="false">IF(OR(I131="",I131&lt;22,O131=""),"",O131+630)</f>
        <v/>
      </c>
      <c r="AM131" s="19" t="str">
        <f aca="false">IF(OR(I131="",I131&lt;23,O131=""),"",O131+660)</f>
        <v/>
      </c>
      <c r="AN131" s="19" t="str">
        <f aca="false">IF(OR(I131="",I131&lt;24,O131=""),"",O131+690)</f>
        <v/>
      </c>
      <c r="AO131" s="15" t="str">
        <f aca="false">IF(J131="","",COUNTIF(Q131:AN131,TRUE())*J131)</f>
        <v/>
      </c>
      <c r="AP131" s="15" t="str">
        <f aca="false">IF(K131="","",K131-AO131)</f>
        <v/>
      </c>
      <c r="AQ131" s="15" t="str">
        <f aca="false">IF(K131="","",K131-F131-IF(N131="",0,N131))</f>
        <v/>
      </c>
    </row>
    <row r="132" customFormat="false" ht="15" hidden="false" customHeight="false" outlineLevel="0" collapsed="false">
      <c r="A132" s="4"/>
      <c r="B132" s="4"/>
      <c r="C132" s="4"/>
      <c r="D132" s="5"/>
      <c r="E132" s="5"/>
      <c r="F132" s="6"/>
      <c r="G132" s="4"/>
      <c r="H132" s="4"/>
      <c r="I132" s="4"/>
      <c r="J132" s="6"/>
      <c r="K132" s="7" t="str">
        <f aca="false">IF(OR(I132="",J132=""),"",I132*J132)</f>
        <v/>
      </c>
      <c r="L132" s="4"/>
      <c r="M132" s="8"/>
      <c r="N132" s="7" t="str">
        <f aca="false">IF(OR(L132="",M132="",K132=""),"",IF(L132="GANANCIA",(K132-F132)*M132,IF(L132="BRUTO",K132*M132,"")))</f>
        <v/>
      </c>
      <c r="O132" s="9" t="str">
        <f aca="false">IF(D132="","",D132)</f>
        <v/>
      </c>
      <c r="P132" s="10" t="str">
        <f aca="false">IF(I132="","",IF(COUNTIF(Q132:AN132,TRUE())&gt;=I132,"PAGADO",IF(COUNTIF(Q132:AN132,TRUE())&gt;0,"PARCIAL","VIGENTE")))</f>
        <v/>
      </c>
      <c r="Q132" s="11" t="str">
        <f aca="false">IF(OR(I132="",I132&lt;1,O132=""),"",O132+0)</f>
        <v/>
      </c>
      <c r="R132" s="11" t="str">
        <f aca="false">IF(OR(I132="",I132&lt;2,O132=""),"",O132+30)</f>
        <v/>
      </c>
      <c r="S132" s="11" t="str">
        <f aca="false">IF(OR(I132="",I132&lt;3,O132=""),"",O132+60)</f>
        <v/>
      </c>
      <c r="T132" s="11" t="str">
        <f aca="false">IF(OR(I132="",I132&lt;4,O132=""),"",O132+90)</f>
        <v/>
      </c>
      <c r="U132" s="11" t="str">
        <f aca="false">IF(OR(I132="",I132&lt;5,O132=""),"",O132+120)</f>
        <v/>
      </c>
      <c r="V132" s="11" t="str">
        <f aca="false">IF(OR(I132="",I132&lt;6,O132=""),"",O132+150)</f>
        <v/>
      </c>
      <c r="W132" s="11" t="str">
        <f aca="false">IF(OR(I132="",I132&lt;7,O132=""),"",O132+180)</f>
        <v/>
      </c>
      <c r="X132" s="11" t="str">
        <f aca="false">IF(OR(I132="",I132&lt;8,O132=""),"",O132+210)</f>
        <v/>
      </c>
      <c r="Y132" s="11" t="str">
        <f aca="false">IF(OR(I132="",I132&lt;9,O132=""),"",O132+240)</f>
        <v/>
      </c>
      <c r="Z132" s="11" t="str">
        <f aca="false">IF(OR(I132="",I132&lt;10,O132=""),"",O132+270)</f>
        <v/>
      </c>
      <c r="AA132" s="11" t="str">
        <f aca="false">IF(OR(I132="",I132&lt;11,O132=""),"",O132+300)</f>
        <v/>
      </c>
      <c r="AB132" s="11" t="str">
        <f aca="false">IF(OR(I132="",I132&lt;12,O132=""),"",O132+330)</f>
        <v/>
      </c>
      <c r="AC132" s="11" t="str">
        <f aca="false">IF(OR(I132="",I132&lt;13,O132=""),"",O132+360)</f>
        <v/>
      </c>
      <c r="AD132" s="11" t="str">
        <f aca="false">IF(OR(I132="",I132&lt;14,O132=""),"",O132+390)</f>
        <v/>
      </c>
      <c r="AE132" s="11" t="str">
        <f aca="false">IF(OR(I132="",I132&lt;15,O132=""),"",O132+420)</f>
        <v/>
      </c>
      <c r="AF132" s="11" t="str">
        <f aca="false">IF(OR(I132="",I132&lt;16,O132=""),"",O132+450)</f>
        <v/>
      </c>
      <c r="AG132" s="11" t="str">
        <f aca="false">IF(OR(I132="",I132&lt;17,O132=""),"",O132+480)</f>
        <v/>
      </c>
      <c r="AH132" s="11" t="str">
        <f aca="false">IF(OR(I132="",I132&lt;18,O132=""),"",O132+510)</f>
        <v/>
      </c>
      <c r="AI132" s="11" t="str">
        <f aca="false">IF(OR(I132="",I132&lt;19,O132=""),"",O132+540)</f>
        <v/>
      </c>
      <c r="AJ132" s="11" t="str">
        <f aca="false">IF(OR(I132="",I132&lt;20,O132=""),"",O132+570)</f>
        <v/>
      </c>
      <c r="AK132" s="11" t="str">
        <f aca="false">IF(OR(I132="",I132&lt;21,O132=""),"",O132+600)</f>
        <v/>
      </c>
      <c r="AL132" s="11" t="str">
        <f aca="false">IF(OR(I132="",I132&lt;22,O132=""),"",O132+630)</f>
        <v/>
      </c>
      <c r="AM132" s="11" t="str">
        <f aca="false">IF(OR(I132="",I132&lt;23,O132=""),"",O132+660)</f>
        <v/>
      </c>
      <c r="AN132" s="11" t="str">
        <f aca="false">IF(OR(I132="",I132&lt;24,O132=""),"",O132+690)</f>
        <v/>
      </c>
      <c r="AO132" s="7" t="str">
        <f aca="false">IF(J132="","",COUNTIF(Q132:AN132,TRUE())*J132)</f>
        <v/>
      </c>
      <c r="AP132" s="7" t="str">
        <f aca="false">IF(K132="","",K132-AO132)</f>
        <v/>
      </c>
      <c r="AQ132" s="7" t="str">
        <f aca="false">IF(K132="","",K132-F132-IF(N132="",0,N132))</f>
        <v/>
      </c>
    </row>
    <row r="133" customFormat="false" ht="15" hidden="false" customHeight="false" outlineLevel="0" collapsed="false">
      <c r="A133" s="12"/>
      <c r="B133" s="12"/>
      <c r="C133" s="12"/>
      <c r="D133" s="13"/>
      <c r="E133" s="13"/>
      <c r="F133" s="14"/>
      <c r="G133" s="12"/>
      <c r="H133" s="12"/>
      <c r="I133" s="12"/>
      <c r="J133" s="14"/>
      <c r="K133" s="15" t="str">
        <f aca="false">IF(OR(I133="",J133=""),"",I133*J133)</f>
        <v/>
      </c>
      <c r="L133" s="12"/>
      <c r="M133" s="16"/>
      <c r="N133" s="15" t="str">
        <f aca="false">IF(OR(L133="",M133="",K133=""),"",IF(L133="GANANCIA",(K133-F133)*M133,IF(L133="BRUTO",K133*M133,"")))</f>
        <v/>
      </c>
      <c r="O133" s="17" t="str">
        <f aca="false">IF(D133="","",D133)</f>
        <v/>
      </c>
      <c r="P133" s="18" t="str">
        <f aca="false">IF(I133="","",IF(COUNTIF(Q133:AN133,TRUE())&gt;=I133,"PAGADO",IF(COUNTIF(Q133:AN133,TRUE())&gt;0,"PARCIAL","VIGENTE")))</f>
        <v/>
      </c>
      <c r="Q133" s="19" t="str">
        <f aca="false">IF(OR(I133="",I133&lt;1,O133=""),"",O133+0)</f>
        <v/>
      </c>
      <c r="R133" s="19" t="str">
        <f aca="false">IF(OR(I133="",I133&lt;2,O133=""),"",O133+30)</f>
        <v/>
      </c>
      <c r="S133" s="19" t="str">
        <f aca="false">IF(OR(I133="",I133&lt;3,O133=""),"",O133+60)</f>
        <v/>
      </c>
      <c r="T133" s="19" t="str">
        <f aca="false">IF(OR(I133="",I133&lt;4,O133=""),"",O133+90)</f>
        <v/>
      </c>
      <c r="U133" s="19" t="str">
        <f aca="false">IF(OR(I133="",I133&lt;5,O133=""),"",O133+120)</f>
        <v/>
      </c>
      <c r="V133" s="19" t="str">
        <f aca="false">IF(OR(I133="",I133&lt;6,O133=""),"",O133+150)</f>
        <v/>
      </c>
      <c r="W133" s="19" t="str">
        <f aca="false">IF(OR(I133="",I133&lt;7,O133=""),"",O133+180)</f>
        <v/>
      </c>
      <c r="X133" s="19" t="str">
        <f aca="false">IF(OR(I133="",I133&lt;8,O133=""),"",O133+210)</f>
        <v/>
      </c>
      <c r="Y133" s="19" t="str">
        <f aca="false">IF(OR(I133="",I133&lt;9,O133=""),"",O133+240)</f>
        <v/>
      </c>
      <c r="Z133" s="19" t="str">
        <f aca="false">IF(OR(I133="",I133&lt;10,O133=""),"",O133+270)</f>
        <v/>
      </c>
      <c r="AA133" s="19" t="str">
        <f aca="false">IF(OR(I133="",I133&lt;11,O133=""),"",O133+300)</f>
        <v/>
      </c>
      <c r="AB133" s="19" t="str">
        <f aca="false">IF(OR(I133="",I133&lt;12,O133=""),"",O133+330)</f>
        <v/>
      </c>
      <c r="AC133" s="19" t="str">
        <f aca="false">IF(OR(I133="",I133&lt;13,O133=""),"",O133+360)</f>
        <v/>
      </c>
      <c r="AD133" s="19" t="str">
        <f aca="false">IF(OR(I133="",I133&lt;14,O133=""),"",O133+390)</f>
        <v/>
      </c>
      <c r="AE133" s="19" t="str">
        <f aca="false">IF(OR(I133="",I133&lt;15,O133=""),"",O133+420)</f>
        <v/>
      </c>
      <c r="AF133" s="19" t="str">
        <f aca="false">IF(OR(I133="",I133&lt;16,O133=""),"",O133+450)</f>
        <v/>
      </c>
      <c r="AG133" s="19" t="str">
        <f aca="false">IF(OR(I133="",I133&lt;17,O133=""),"",O133+480)</f>
        <v/>
      </c>
      <c r="AH133" s="19" t="str">
        <f aca="false">IF(OR(I133="",I133&lt;18,O133=""),"",O133+510)</f>
        <v/>
      </c>
      <c r="AI133" s="19" t="str">
        <f aca="false">IF(OR(I133="",I133&lt;19,O133=""),"",O133+540)</f>
        <v/>
      </c>
      <c r="AJ133" s="19" t="str">
        <f aca="false">IF(OR(I133="",I133&lt;20,O133=""),"",O133+570)</f>
        <v/>
      </c>
      <c r="AK133" s="19" t="str">
        <f aca="false">IF(OR(I133="",I133&lt;21,O133=""),"",O133+600)</f>
        <v/>
      </c>
      <c r="AL133" s="19" t="str">
        <f aca="false">IF(OR(I133="",I133&lt;22,O133=""),"",O133+630)</f>
        <v/>
      </c>
      <c r="AM133" s="19" t="str">
        <f aca="false">IF(OR(I133="",I133&lt;23,O133=""),"",O133+660)</f>
        <v/>
      </c>
      <c r="AN133" s="19" t="str">
        <f aca="false">IF(OR(I133="",I133&lt;24,O133=""),"",O133+690)</f>
        <v/>
      </c>
      <c r="AO133" s="15" t="str">
        <f aca="false">IF(J133="","",COUNTIF(Q133:AN133,TRUE())*J133)</f>
        <v/>
      </c>
      <c r="AP133" s="15" t="str">
        <f aca="false">IF(K133="","",K133-AO133)</f>
        <v/>
      </c>
      <c r="AQ133" s="15" t="str">
        <f aca="false">IF(K133="","",K133-F133-IF(N133="",0,N133))</f>
        <v/>
      </c>
    </row>
    <row r="134" customFormat="false" ht="15" hidden="false" customHeight="false" outlineLevel="0" collapsed="false">
      <c r="A134" s="4"/>
      <c r="B134" s="4"/>
      <c r="C134" s="4"/>
      <c r="D134" s="5"/>
      <c r="E134" s="5"/>
      <c r="F134" s="6"/>
      <c r="G134" s="4"/>
      <c r="H134" s="4"/>
      <c r="I134" s="4"/>
      <c r="J134" s="6"/>
      <c r="K134" s="7" t="str">
        <f aca="false">IF(OR(I134="",J134=""),"",I134*J134)</f>
        <v/>
      </c>
      <c r="L134" s="4"/>
      <c r="M134" s="8"/>
      <c r="N134" s="7" t="str">
        <f aca="false">IF(OR(L134="",M134="",K134=""),"",IF(L134="GANANCIA",(K134-F134)*M134,IF(L134="BRUTO",K134*M134,"")))</f>
        <v/>
      </c>
      <c r="O134" s="9" t="str">
        <f aca="false">IF(D134="","",D134)</f>
        <v/>
      </c>
      <c r="P134" s="10" t="str">
        <f aca="false">IF(I134="","",IF(COUNTIF(Q134:AN134,TRUE())&gt;=I134,"PAGADO",IF(COUNTIF(Q134:AN134,TRUE())&gt;0,"PARCIAL","VIGENTE")))</f>
        <v/>
      </c>
      <c r="Q134" s="11" t="str">
        <f aca="false">IF(OR(I134="",I134&lt;1,O134=""),"",O134+0)</f>
        <v/>
      </c>
      <c r="R134" s="11" t="str">
        <f aca="false">IF(OR(I134="",I134&lt;2,O134=""),"",O134+30)</f>
        <v/>
      </c>
      <c r="S134" s="11" t="str">
        <f aca="false">IF(OR(I134="",I134&lt;3,O134=""),"",O134+60)</f>
        <v/>
      </c>
      <c r="T134" s="11" t="str">
        <f aca="false">IF(OR(I134="",I134&lt;4,O134=""),"",O134+90)</f>
        <v/>
      </c>
      <c r="U134" s="11" t="str">
        <f aca="false">IF(OR(I134="",I134&lt;5,O134=""),"",O134+120)</f>
        <v/>
      </c>
      <c r="V134" s="11" t="str">
        <f aca="false">IF(OR(I134="",I134&lt;6,O134=""),"",O134+150)</f>
        <v/>
      </c>
      <c r="W134" s="11" t="str">
        <f aca="false">IF(OR(I134="",I134&lt;7,O134=""),"",O134+180)</f>
        <v/>
      </c>
      <c r="X134" s="11" t="str">
        <f aca="false">IF(OR(I134="",I134&lt;8,O134=""),"",O134+210)</f>
        <v/>
      </c>
      <c r="Y134" s="11" t="str">
        <f aca="false">IF(OR(I134="",I134&lt;9,O134=""),"",O134+240)</f>
        <v/>
      </c>
      <c r="Z134" s="11" t="str">
        <f aca="false">IF(OR(I134="",I134&lt;10,O134=""),"",O134+270)</f>
        <v/>
      </c>
      <c r="AA134" s="11" t="str">
        <f aca="false">IF(OR(I134="",I134&lt;11,O134=""),"",O134+300)</f>
        <v/>
      </c>
      <c r="AB134" s="11" t="str">
        <f aca="false">IF(OR(I134="",I134&lt;12,O134=""),"",O134+330)</f>
        <v/>
      </c>
      <c r="AC134" s="11" t="str">
        <f aca="false">IF(OR(I134="",I134&lt;13,O134=""),"",O134+360)</f>
        <v/>
      </c>
      <c r="AD134" s="11" t="str">
        <f aca="false">IF(OR(I134="",I134&lt;14,O134=""),"",O134+390)</f>
        <v/>
      </c>
      <c r="AE134" s="11" t="str">
        <f aca="false">IF(OR(I134="",I134&lt;15,O134=""),"",O134+420)</f>
        <v/>
      </c>
      <c r="AF134" s="11" t="str">
        <f aca="false">IF(OR(I134="",I134&lt;16,O134=""),"",O134+450)</f>
        <v/>
      </c>
      <c r="AG134" s="11" t="str">
        <f aca="false">IF(OR(I134="",I134&lt;17,O134=""),"",O134+480)</f>
        <v/>
      </c>
      <c r="AH134" s="11" t="str">
        <f aca="false">IF(OR(I134="",I134&lt;18,O134=""),"",O134+510)</f>
        <v/>
      </c>
      <c r="AI134" s="11" t="str">
        <f aca="false">IF(OR(I134="",I134&lt;19,O134=""),"",O134+540)</f>
        <v/>
      </c>
      <c r="AJ134" s="11" t="str">
        <f aca="false">IF(OR(I134="",I134&lt;20,O134=""),"",O134+570)</f>
        <v/>
      </c>
      <c r="AK134" s="11" t="str">
        <f aca="false">IF(OR(I134="",I134&lt;21,O134=""),"",O134+600)</f>
        <v/>
      </c>
      <c r="AL134" s="11" t="str">
        <f aca="false">IF(OR(I134="",I134&lt;22,O134=""),"",O134+630)</f>
        <v/>
      </c>
      <c r="AM134" s="11" t="str">
        <f aca="false">IF(OR(I134="",I134&lt;23,O134=""),"",O134+660)</f>
        <v/>
      </c>
      <c r="AN134" s="11" t="str">
        <f aca="false">IF(OR(I134="",I134&lt;24,O134=""),"",O134+690)</f>
        <v/>
      </c>
      <c r="AO134" s="7" t="str">
        <f aca="false">IF(J134="","",COUNTIF(Q134:AN134,TRUE())*J134)</f>
        <v/>
      </c>
      <c r="AP134" s="7" t="str">
        <f aca="false">IF(K134="","",K134-AO134)</f>
        <v/>
      </c>
      <c r="AQ134" s="7" t="str">
        <f aca="false">IF(K134="","",K134-F134-IF(N134="",0,N134))</f>
        <v/>
      </c>
    </row>
    <row r="135" customFormat="false" ht="15" hidden="false" customHeight="false" outlineLevel="0" collapsed="false">
      <c r="A135" s="12"/>
      <c r="B135" s="12"/>
      <c r="C135" s="12"/>
      <c r="D135" s="13"/>
      <c r="E135" s="13"/>
      <c r="F135" s="14"/>
      <c r="G135" s="12"/>
      <c r="H135" s="12"/>
      <c r="I135" s="12"/>
      <c r="J135" s="14"/>
      <c r="K135" s="15" t="str">
        <f aca="false">IF(OR(I135="",J135=""),"",I135*J135)</f>
        <v/>
      </c>
      <c r="L135" s="12"/>
      <c r="M135" s="16"/>
      <c r="N135" s="15" t="str">
        <f aca="false">IF(OR(L135="",M135="",K135=""),"",IF(L135="GANANCIA",(K135-F135)*M135,IF(L135="BRUTO",K135*M135,"")))</f>
        <v/>
      </c>
      <c r="O135" s="17" t="str">
        <f aca="false">IF(D135="","",D135)</f>
        <v/>
      </c>
      <c r="P135" s="18" t="str">
        <f aca="false">IF(I135="","",IF(COUNTIF(Q135:AN135,TRUE())&gt;=I135,"PAGADO",IF(COUNTIF(Q135:AN135,TRUE())&gt;0,"PARCIAL","VIGENTE")))</f>
        <v/>
      </c>
      <c r="Q135" s="19" t="str">
        <f aca="false">IF(OR(I135="",I135&lt;1,O135=""),"",O135+0)</f>
        <v/>
      </c>
      <c r="R135" s="19" t="str">
        <f aca="false">IF(OR(I135="",I135&lt;2,O135=""),"",O135+30)</f>
        <v/>
      </c>
      <c r="S135" s="19" t="str">
        <f aca="false">IF(OR(I135="",I135&lt;3,O135=""),"",O135+60)</f>
        <v/>
      </c>
      <c r="T135" s="19" t="str">
        <f aca="false">IF(OR(I135="",I135&lt;4,O135=""),"",O135+90)</f>
        <v/>
      </c>
      <c r="U135" s="19" t="str">
        <f aca="false">IF(OR(I135="",I135&lt;5,O135=""),"",O135+120)</f>
        <v/>
      </c>
      <c r="V135" s="19" t="str">
        <f aca="false">IF(OR(I135="",I135&lt;6,O135=""),"",O135+150)</f>
        <v/>
      </c>
      <c r="W135" s="19" t="str">
        <f aca="false">IF(OR(I135="",I135&lt;7,O135=""),"",O135+180)</f>
        <v/>
      </c>
      <c r="X135" s="19" t="str">
        <f aca="false">IF(OR(I135="",I135&lt;8,O135=""),"",O135+210)</f>
        <v/>
      </c>
      <c r="Y135" s="19" t="str">
        <f aca="false">IF(OR(I135="",I135&lt;9,O135=""),"",O135+240)</f>
        <v/>
      </c>
      <c r="Z135" s="19" t="str">
        <f aca="false">IF(OR(I135="",I135&lt;10,O135=""),"",O135+270)</f>
        <v/>
      </c>
      <c r="AA135" s="19" t="str">
        <f aca="false">IF(OR(I135="",I135&lt;11,O135=""),"",O135+300)</f>
        <v/>
      </c>
      <c r="AB135" s="19" t="str">
        <f aca="false">IF(OR(I135="",I135&lt;12,O135=""),"",O135+330)</f>
        <v/>
      </c>
      <c r="AC135" s="19" t="str">
        <f aca="false">IF(OR(I135="",I135&lt;13,O135=""),"",O135+360)</f>
        <v/>
      </c>
      <c r="AD135" s="19" t="str">
        <f aca="false">IF(OR(I135="",I135&lt;14,O135=""),"",O135+390)</f>
        <v/>
      </c>
      <c r="AE135" s="19" t="str">
        <f aca="false">IF(OR(I135="",I135&lt;15,O135=""),"",O135+420)</f>
        <v/>
      </c>
      <c r="AF135" s="19" t="str">
        <f aca="false">IF(OR(I135="",I135&lt;16,O135=""),"",O135+450)</f>
        <v/>
      </c>
      <c r="AG135" s="19" t="str">
        <f aca="false">IF(OR(I135="",I135&lt;17,O135=""),"",O135+480)</f>
        <v/>
      </c>
      <c r="AH135" s="19" t="str">
        <f aca="false">IF(OR(I135="",I135&lt;18,O135=""),"",O135+510)</f>
        <v/>
      </c>
      <c r="AI135" s="19" t="str">
        <f aca="false">IF(OR(I135="",I135&lt;19,O135=""),"",O135+540)</f>
        <v/>
      </c>
      <c r="AJ135" s="19" t="str">
        <f aca="false">IF(OR(I135="",I135&lt;20,O135=""),"",O135+570)</f>
        <v/>
      </c>
      <c r="AK135" s="19" t="str">
        <f aca="false">IF(OR(I135="",I135&lt;21,O135=""),"",O135+600)</f>
        <v/>
      </c>
      <c r="AL135" s="19" t="str">
        <f aca="false">IF(OR(I135="",I135&lt;22,O135=""),"",O135+630)</f>
        <v/>
      </c>
      <c r="AM135" s="19" t="str">
        <f aca="false">IF(OR(I135="",I135&lt;23,O135=""),"",O135+660)</f>
        <v/>
      </c>
      <c r="AN135" s="19" t="str">
        <f aca="false">IF(OR(I135="",I135&lt;24,O135=""),"",O135+690)</f>
        <v/>
      </c>
      <c r="AO135" s="15" t="str">
        <f aca="false">IF(J135="","",COUNTIF(Q135:AN135,TRUE())*J135)</f>
        <v/>
      </c>
      <c r="AP135" s="15" t="str">
        <f aca="false">IF(K135="","",K135-AO135)</f>
        <v/>
      </c>
      <c r="AQ135" s="15" t="str">
        <f aca="false">IF(K135="","",K135-F135-IF(N135="",0,N135))</f>
        <v/>
      </c>
    </row>
    <row r="136" customFormat="false" ht="15" hidden="false" customHeight="false" outlineLevel="0" collapsed="false">
      <c r="A136" s="4"/>
      <c r="B136" s="4"/>
      <c r="C136" s="4"/>
      <c r="D136" s="5"/>
      <c r="E136" s="5"/>
      <c r="F136" s="6"/>
      <c r="G136" s="4"/>
      <c r="H136" s="4"/>
      <c r="I136" s="4"/>
      <c r="J136" s="6"/>
      <c r="K136" s="7" t="str">
        <f aca="false">IF(OR(I136="",J136=""),"",I136*J136)</f>
        <v/>
      </c>
      <c r="L136" s="4"/>
      <c r="M136" s="8"/>
      <c r="N136" s="7" t="str">
        <f aca="false">IF(OR(L136="",M136="",K136=""),"",IF(L136="GANANCIA",(K136-F136)*M136,IF(L136="BRUTO",K136*M136,"")))</f>
        <v/>
      </c>
      <c r="O136" s="9" t="str">
        <f aca="false">IF(D136="","",D136)</f>
        <v/>
      </c>
      <c r="P136" s="10" t="str">
        <f aca="false">IF(I136="","",IF(COUNTIF(Q136:AN136,TRUE())&gt;=I136,"PAGADO",IF(COUNTIF(Q136:AN136,TRUE())&gt;0,"PARCIAL","VIGENTE")))</f>
        <v/>
      </c>
      <c r="Q136" s="11" t="str">
        <f aca="false">IF(OR(I136="",I136&lt;1,O136=""),"",O136+0)</f>
        <v/>
      </c>
      <c r="R136" s="11" t="str">
        <f aca="false">IF(OR(I136="",I136&lt;2,O136=""),"",O136+30)</f>
        <v/>
      </c>
      <c r="S136" s="11" t="str">
        <f aca="false">IF(OR(I136="",I136&lt;3,O136=""),"",O136+60)</f>
        <v/>
      </c>
      <c r="T136" s="11" t="str">
        <f aca="false">IF(OR(I136="",I136&lt;4,O136=""),"",O136+90)</f>
        <v/>
      </c>
      <c r="U136" s="11" t="str">
        <f aca="false">IF(OR(I136="",I136&lt;5,O136=""),"",O136+120)</f>
        <v/>
      </c>
      <c r="V136" s="11" t="str">
        <f aca="false">IF(OR(I136="",I136&lt;6,O136=""),"",O136+150)</f>
        <v/>
      </c>
      <c r="W136" s="11" t="str">
        <f aca="false">IF(OR(I136="",I136&lt;7,O136=""),"",O136+180)</f>
        <v/>
      </c>
      <c r="X136" s="11" t="str">
        <f aca="false">IF(OR(I136="",I136&lt;8,O136=""),"",O136+210)</f>
        <v/>
      </c>
      <c r="Y136" s="11" t="str">
        <f aca="false">IF(OR(I136="",I136&lt;9,O136=""),"",O136+240)</f>
        <v/>
      </c>
      <c r="Z136" s="11" t="str">
        <f aca="false">IF(OR(I136="",I136&lt;10,O136=""),"",O136+270)</f>
        <v/>
      </c>
      <c r="AA136" s="11" t="str">
        <f aca="false">IF(OR(I136="",I136&lt;11,O136=""),"",O136+300)</f>
        <v/>
      </c>
      <c r="AB136" s="11" t="str">
        <f aca="false">IF(OR(I136="",I136&lt;12,O136=""),"",O136+330)</f>
        <v/>
      </c>
      <c r="AC136" s="11" t="str">
        <f aca="false">IF(OR(I136="",I136&lt;13,O136=""),"",O136+360)</f>
        <v/>
      </c>
      <c r="AD136" s="11" t="str">
        <f aca="false">IF(OR(I136="",I136&lt;14,O136=""),"",O136+390)</f>
        <v/>
      </c>
      <c r="AE136" s="11" t="str">
        <f aca="false">IF(OR(I136="",I136&lt;15,O136=""),"",O136+420)</f>
        <v/>
      </c>
      <c r="AF136" s="11" t="str">
        <f aca="false">IF(OR(I136="",I136&lt;16,O136=""),"",O136+450)</f>
        <v/>
      </c>
      <c r="AG136" s="11" t="str">
        <f aca="false">IF(OR(I136="",I136&lt;17,O136=""),"",O136+480)</f>
        <v/>
      </c>
      <c r="AH136" s="11" t="str">
        <f aca="false">IF(OR(I136="",I136&lt;18,O136=""),"",O136+510)</f>
        <v/>
      </c>
      <c r="AI136" s="11" t="str">
        <f aca="false">IF(OR(I136="",I136&lt;19,O136=""),"",O136+540)</f>
        <v/>
      </c>
      <c r="AJ136" s="11" t="str">
        <f aca="false">IF(OR(I136="",I136&lt;20,O136=""),"",O136+570)</f>
        <v/>
      </c>
      <c r="AK136" s="11" t="str">
        <f aca="false">IF(OR(I136="",I136&lt;21,O136=""),"",O136+600)</f>
        <v/>
      </c>
      <c r="AL136" s="11" t="str">
        <f aca="false">IF(OR(I136="",I136&lt;22,O136=""),"",O136+630)</f>
        <v/>
      </c>
      <c r="AM136" s="11" t="str">
        <f aca="false">IF(OR(I136="",I136&lt;23,O136=""),"",O136+660)</f>
        <v/>
      </c>
      <c r="AN136" s="11" t="str">
        <f aca="false">IF(OR(I136="",I136&lt;24,O136=""),"",O136+690)</f>
        <v/>
      </c>
      <c r="AO136" s="7" t="str">
        <f aca="false">IF(J136="","",COUNTIF(Q136:AN136,TRUE())*J136)</f>
        <v/>
      </c>
      <c r="AP136" s="7" t="str">
        <f aca="false">IF(K136="","",K136-AO136)</f>
        <v/>
      </c>
      <c r="AQ136" s="7" t="str">
        <f aca="false">IF(K136="","",K136-F136-IF(N136="",0,N136))</f>
        <v/>
      </c>
    </row>
    <row r="137" customFormat="false" ht="15" hidden="false" customHeight="false" outlineLevel="0" collapsed="false">
      <c r="A137" s="12"/>
      <c r="B137" s="12"/>
      <c r="C137" s="12"/>
      <c r="D137" s="13"/>
      <c r="E137" s="13"/>
      <c r="F137" s="14"/>
      <c r="G137" s="12"/>
      <c r="H137" s="12"/>
      <c r="I137" s="12"/>
      <c r="J137" s="14"/>
      <c r="K137" s="15" t="str">
        <f aca="false">IF(OR(I137="",J137=""),"",I137*J137)</f>
        <v/>
      </c>
      <c r="L137" s="12"/>
      <c r="M137" s="16"/>
      <c r="N137" s="15" t="str">
        <f aca="false">IF(OR(L137="",M137="",K137=""),"",IF(L137="GANANCIA",(K137-F137)*M137,IF(L137="BRUTO",K137*M137,"")))</f>
        <v/>
      </c>
      <c r="O137" s="17" t="str">
        <f aca="false">IF(D137="","",D137)</f>
        <v/>
      </c>
      <c r="P137" s="18" t="str">
        <f aca="false">IF(I137="","",IF(COUNTIF(Q137:AN137,TRUE())&gt;=I137,"PAGADO",IF(COUNTIF(Q137:AN137,TRUE())&gt;0,"PARCIAL","VIGENTE")))</f>
        <v/>
      </c>
      <c r="Q137" s="19" t="str">
        <f aca="false">IF(OR(I137="",I137&lt;1,O137=""),"",O137+0)</f>
        <v/>
      </c>
      <c r="R137" s="19" t="str">
        <f aca="false">IF(OR(I137="",I137&lt;2,O137=""),"",O137+30)</f>
        <v/>
      </c>
      <c r="S137" s="19" t="str">
        <f aca="false">IF(OR(I137="",I137&lt;3,O137=""),"",O137+60)</f>
        <v/>
      </c>
      <c r="T137" s="19" t="str">
        <f aca="false">IF(OR(I137="",I137&lt;4,O137=""),"",O137+90)</f>
        <v/>
      </c>
      <c r="U137" s="19" t="str">
        <f aca="false">IF(OR(I137="",I137&lt;5,O137=""),"",O137+120)</f>
        <v/>
      </c>
      <c r="V137" s="19" t="str">
        <f aca="false">IF(OR(I137="",I137&lt;6,O137=""),"",O137+150)</f>
        <v/>
      </c>
      <c r="W137" s="19" t="str">
        <f aca="false">IF(OR(I137="",I137&lt;7,O137=""),"",O137+180)</f>
        <v/>
      </c>
      <c r="X137" s="19" t="str">
        <f aca="false">IF(OR(I137="",I137&lt;8,O137=""),"",O137+210)</f>
        <v/>
      </c>
      <c r="Y137" s="19" t="str">
        <f aca="false">IF(OR(I137="",I137&lt;9,O137=""),"",O137+240)</f>
        <v/>
      </c>
      <c r="Z137" s="19" t="str">
        <f aca="false">IF(OR(I137="",I137&lt;10,O137=""),"",O137+270)</f>
        <v/>
      </c>
      <c r="AA137" s="19" t="str">
        <f aca="false">IF(OR(I137="",I137&lt;11,O137=""),"",O137+300)</f>
        <v/>
      </c>
      <c r="AB137" s="19" t="str">
        <f aca="false">IF(OR(I137="",I137&lt;12,O137=""),"",O137+330)</f>
        <v/>
      </c>
      <c r="AC137" s="19" t="str">
        <f aca="false">IF(OR(I137="",I137&lt;13,O137=""),"",O137+360)</f>
        <v/>
      </c>
      <c r="AD137" s="19" t="str">
        <f aca="false">IF(OR(I137="",I137&lt;14,O137=""),"",O137+390)</f>
        <v/>
      </c>
      <c r="AE137" s="19" t="str">
        <f aca="false">IF(OR(I137="",I137&lt;15,O137=""),"",O137+420)</f>
        <v/>
      </c>
      <c r="AF137" s="19" t="str">
        <f aca="false">IF(OR(I137="",I137&lt;16,O137=""),"",O137+450)</f>
        <v/>
      </c>
      <c r="AG137" s="19" t="str">
        <f aca="false">IF(OR(I137="",I137&lt;17,O137=""),"",O137+480)</f>
        <v/>
      </c>
      <c r="AH137" s="19" t="str">
        <f aca="false">IF(OR(I137="",I137&lt;18,O137=""),"",O137+510)</f>
        <v/>
      </c>
      <c r="AI137" s="19" t="str">
        <f aca="false">IF(OR(I137="",I137&lt;19,O137=""),"",O137+540)</f>
        <v/>
      </c>
      <c r="AJ137" s="19" t="str">
        <f aca="false">IF(OR(I137="",I137&lt;20,O137=""),"",O137+570)</f>
        <v/>
      </c>
      <c r="AK137" s="19" t="str">
        <f aca="false">IF(OR(I137="",I137&lt;21,O137=""),"",O137+600)</f>
        <v/>
      </c>
      <c r="AL137" s="19" t="str">
        <f aca="false">IF(OR(I137="",I137&lt;22,O137=""),"",O137+630)</f>
        <v/>
      </c>
      <c r="AM137" s="19" t="str">
        <f aca="false">IF(OR(I137="",I137&lt;23,O137=""),"",O137+660)</f>
        <v/>
      </c>
      <c r="AN137" s="19" t="str">
        <f aca="false">IF(OR(I137="",I137&lt;24,O137=""),"",O137+690)</f>
        <v/>
      </c>
      <c r="AO137" s="15" t="str">
        <f aca="false">IF(J137="","",COUNTIF(Q137:AN137,TRUE())*J137)</f>
        <v/>
      </c>
      <c r="AP137" s="15" t="str">
        <f aca="false">IF(K137="","",K137-AO137)</f>
        <v/>
      </c>
      <c r="AQ137" s="15" t="str">
        <f aca="false">IF(K137="","",K137-F137-IF(N137="",0,N137))</f>
        <v/>
      </c>
    </row>
    <row r="138" customFormat="false" ht="15" hidden="false" customHeight="false" outlineLevel="0" collapsed="false">
      <c r="A138" s="4"/>
      <c r="B138" s="4"/>
      <c r="C138" s="4"/>
      <c r="D138" s="5"/>
      <c r="E138" s="5"/>
      <c r="F138" s="6"/>
      <c r="G138" s="4"/>
      <c r="H138" s="4"/>
      <c r="I138" s="4"/>
      <c r="J138" s="6"/>
      <c r="K138" s="7" t="str">
        <f aca="false">IF(OR(I138="",J138=""),"",I138*J138)</f>
        <v/>
      </c>
      <c r="L138" s="4"/>
      <c r="M138" s="8"/>
      <c r="N138" s="7" t="str">
        <f aca="false">IF(OR(L138="",M138="",K138=""),"",IF(L138="GANANCIA",(K138-F138)*M138,IF(L138="BRUTO",K138*M138,"")))</f>
        <v/>
      </c>
      <c r="O138" s="9" t="str">
        <f aca="false">IF(D138="","",D138)</f>
        <v/>
      </c>
      <c r="P138" s="10" t="str">
        <f aca="false">IF(I138="","",IF(COUNTIF(Q138:AN138,TRUE())&gt;=I138,"PAGADO",IF(COUNTIF(Q138:AN138,TRUE())&gt;0,"PARCIAL","VIGENTE")))</f>
        <v/>
      </c>
      <c r="Q138" s="11" t="str">
        <f aca="false">IF(OR(I138="",I138&lt;1,O138=""),"",O138+0)</f>
        <v/>
      </c>
      <c r="R138" s="11" t="str">
        <f aca="false">IF(OR(I138="",I138&lt;2,O138=""),"",O138+30)</f>
        <v/>
      </c>
      <c r="S138" s="11" t="str">
        <f aca="false">IF(OR(I138="",I138&lt;3,O138=""),"",O138+60)</f>
        <v/>
      </c>
      <c r="T138" s="11" t="str">
        <f aca="false">IF(OR(I138="",I138&lt;4,O138=""),"",O138+90)</f>
        <v/>
      </c>
      <c r="U138" s="11" t="str">
        <f aca="false">IF(OR(I138="",I138&lt;5,O138=""),"",O138+120)</f>
        <v/>
      </c>
      <c r="V138" s="11" t="str">
        <f aca="false">IF(OR(I138="",I138&lt;6,O138=""),"",O138+150)</f>
        <v/>
      </c>
      <c r="W138" s="11" t="str">
        <f aca="false">IF(OR(I138="",I138&lt;7,O138=""),"",O138+180)</f>
        <v/>
      </c>
      <c r="X138" s="11" t="str">
        <f aca="false">IF(OR(I138="",I138&lt;8,O138=""),"",O138+210)</f>
        <v/>
      </c>
      <c r="Y138" s="11" t="str">
        <f aca="false">IF(OR(I138="",I138&lt;9,O138=""),"",O138+240)</f>
        <v/>
      </c>
      <c r="Z138" s="11" t="str">
        <f aca="false">IF(OR(I138="",I138&lt;10,O138=""),"",O138+270)</f>
        <v/>
      </c>
      <c r="AA138" s="11" t="str">
        <f aca="false">IF(OR(I138="",I138&lt;11,O138=""),"",O138+300)</f>
        <v/>
      </c>
      <c r="AB138" s="11" t="str">
        <f aca="false">IF(OR(I138="",I138&lt;12,O138=""),"",O138+330)</f>
        <v/>
      </c>
      <c r="AC138" s="11" t="str">
        <f aca="false">IF(OR(I138="",I138&lt;13,O138=""),"",O138+360)</f>
        <v/>
      </c>
      <c r="AD138" s="11" t="str">
        <f aca="false">IF(OR(I138="",I138&lt;14,O138=""),"",O138+390)</f>
        <v/>
      </c>
      <c r="AE138" s="11" t="str">
        <f aca="false">IF(OR(I138="",I138&lt;15,O138=""),"",O138+420)</f>
        <v/>
      </c>
      <c r="AF138" s="11" t="str">
        <f aca="false">IF(OR(I138="",I138&lt;16,O138=""),"",O138+450)</f>
        <v/>
      </c>
      <c r="AG138" s="11" t="str">
        <f aca="false">IF(OR(I138="",I138&lt;17,O138=""),"",O138+480)</f>
        <v/>
      </c>
      <c r="AH138" s="11" t="str">
        <f aca="false">IF(OR(I138="",I138&lt;18,O138=""),"",O138+510)</f>
        <v/>
      </c>
      <c r="AI138" s="11" t="str">
        <f aca="false">IF(OR(I138="",I138&lt;19,O138=""),"",O138+540)</f>
        <v/>
      </c>
      <c r="AJ138" s="11" t="str">
        <f aca="false">IF(OR(I138="",I138&lt;20,O138=""),"",O138+570)</f>
        <v/>
      </c>
      <c r="AK138" s="11" t="str">
        <f aca="false">IF(OR(I138="",I138&lt;21,O138=""),"",O138+600)</f>
        <v/>
      </c>
      <c r="AL138" s="11" t="str">
        <f aca="false">IF(OR(I138="",I138&lt;22,O138=""),"",O138+630)</f>
        <v/>
      </c>
      <c r="AM138" s="11" t="str">
        <f aca="false">IF(OR(I138="",I138&lt;23,O138=""),"",O138+660)</f>
        <v/>
      </c>
      <c r="AN138" s="11" t="str">
        <f aca="false">IF(OR(I138="",I138&lt;24,O138=""),"",O138+690)</f>
        <v/>
      </c>
      <c r="AO138" s="7" t="str">
        <f aca="false">IF(J138="","",COUNTIF(Q138:AN138,TRUE())*J138)</f>
        <v/>
      </c>
      <c r="AP138" s="7" t="str">
        <f aca="false">IF(K138="","",K138-AO138)</f>
        <v/>
      </c>
      <c r="AQ138" s="7" t="str">
        <f aca="false">IF(K138="","",K138-F138-IF(N138="",0,N138))</f>
        <v/>
      </c>
    </row>
    <row r="139" customFormat="false" ht="15" hidden="false" customHeight="false" outlineLevel="0" collapsed="false">
      <c r="A139" s="12"/>
      <c r="B139" s="12"/>
      <c r="C139" s="12"/>
      <c r="D139" s="13"/>
      <c r="E139" s="13"/>
      <c r="F139" s="14"/>
      <c r="G139" s="12"/>
      <c r="H139" s="12"/>
      <c r="I139" s="12"/>
      <c r="J139" s="14"/>
      <c r="K139" s="15" t="str">
        <f aca="false">IF(OR(I139="",J139=""),"",I139*J139)</f>
        <v/>
      </c>
      <c r="L139" s="12"/>
      <c r="M139" s="16"/>
      <c r="N139" s="15" t="str">
        <f aca="false">IF(OR(L139="",M139="",K139=""),"",IF(L139="GANANCIA",(K139-F139)*M139,IF(L139="BRUTO",K139*M139,"")))</f>
        <v/>
      </c>
      <c r="O139" s="17" t="str">
        <f aca="false">IF(D139="","",D139)</f>
        <v/>
      </c>
      <c r="P139" s="18" t="str">
        <f aca="false">IF(I139="","",IF(COUNTIF(Q139:AN139,TRUE())&gt;=I139,"PAGADO",IF(COUNTIF(Q139:AN139,TRUE())&gt;0,"PARCIAL","VIGENTE")))</f>
        <v/>
      </c>
      <c r="Q139" s="19" t="str">
        <f aca="false">IF(OR(I139="",I139&lt;1,O139=""),"",O139+0)</f>
        <v/>
      </c>
      <c r="R139" s="19" t="str">
        <f aca="false">IF(OR(I139="",I139&lt;2,O139=""),"",O139+30)</f>
        <v/>
      </c>
      <c r="S139" s="19" t="str">
        <f aca="false">IF(OR(I139="",I139&lt;3,O139=""),"",O139+60)</f>
        <v/>
      </c>
      <c r="T139" s="19" t="str">
        <f aca="false">IF(OR(I139="",I139&lt;4,O139=""),"",O139+90)</f>
        <v/>
      </c>
      <c r="U139" s="19" t="str">
        <f aca="false">IF(OR(I139="",I139&lt;5,O139=""),"",O139+120)</f>
        <v/>
      </c>
      <c r="V139" s="19" t="str">
        <f aca="false">IF(OR(I139="",I139&lt;6,O139=""),"",O139+150)</f>
        <v/>
      </c>
      <c r="W139" s="19" t="str">
        <f aca="false">IF(OR(I139="",I139&lt;7,O139=""),"",O139+180)</f>
        <v/>
      </c>
      <c r="X139" s="19" t="str">
        <f aca="false">IF(OR(I139="",I139&lt;8,O139=""),"",O139+210)</f>
        <v/>
      </c>
      <c r="Y139" s="19" t="str">
        <f aca="false">IF(OR(I139="",I139&lt;9,O139=""),"",O139+240)</f>
        <v/>
      </c>
      <c r="Z139" s="19" t="str">
        <f aca="false">IF(OR(I139="",I139&lt;10,O139=""),"",O139+270)</f>
        <v/>
      </c>
      <c r="AA139" s="19" t="str">
        <f aca="false">IF(OR(I139="",I139&lt;11,O139=""),"",O139+300)</f>
        <v/>
      </c>
      <c r="AB139" s="19" t="str">
        <f aca="false">IF(OR(I139="",I139&lt;12,O139=""),"",O139+330)</f>
        <v/>
      </c>
      <c r="AC139" s="19" t="str">
        <f aca="false">IF(OR(I139="",I139&lt;13,O139=""),"",O139+360)</f>
        <v/>
      </c>
      <c r="AD139" s="19" t="str">
        <f aca="false">IF(OR(I139="",I139&lt;14,O139=""),"",O139+390)</f>
        <v/>
      </c>
      <c r="AE139" s="19" t="str">
        <f aca="false">IF(OR(I139="",I139&lt;15,O139=""),"",O139+420)</f>
        <v/>
      </c>
      <c r="AF139" s="19" t="str">
        <f aca="false">IF(OR(I139="",I139&lt;16,O139=""),"",O139+450)</f>
        <v/>
      </c>
      <c r="AG139" s="19" t="str">
        <f aca="false">IF(OR(I139="",I139&lt;17,O139=""),"",O139+480)</f>
        <v/>
      </c>
      <c r="AH139" s="19" t="str">
        <f aca="false">IF(OR(I139="",I139&lt;18,O139=""),"",O139+510)</f>
        <v/>
      </c>
      <c r="AI139" s="19" t="str">
        <f aca="false">IF(OR(I139="",I139&lt;19,O139=""),"",O139+540)</f>
        <v/>
      </c>
      <c r="AJ139" s="19" t="str">
        <f aca="false">IF(OR(I139="",I139&lt;20,O139=""),"",O139+570)</f>
        <v/>
      </c>
      <c r="AK139" s="19" t="str">
        <f aca="false">IF(OR(I139="",I139&lt;21,O139=""),"",O139+600)</f>
        <v/>
      </c>
      <c r="AL139" s="19" t="str">
        <f aca="false">IF(OR(I139="",I139&lt;22,O139=""),"",O139+630)</f>
        <v/>
      </c>
      <c r="AM139" s="19" t="str">
        <f aca="false">IF(OR(I139="",I139&lt;23,O139=""),"",O139+660)</f>
        <v/>
      </c>
      <c r="AN139" s="19" t="str">
        <f aca="false">IF(OR(I139="",I139&lt;24,O139=""),"",O139+690)</f>
        <v/>
      </c>
      <c r="AO139" s="15" t="str">
        <f aca="false">IF(J139="","",COUNTIF(Q139:AN139,TRUE())*J139)</f>
        <v/>
      </c>
      <c r="AP139" s="15" t="str">
        <f aca="false">IF(K139="","",K139-AO139)</f>
        <v/>
      </c>
      <c r="AQ139" s="15" t="str">
        <f aca="false">IF(K139="","",K139-F139-IF(N139="",0,N139))</f>
        <v/>
      </c>
    </row>
    <row r="140" customFormat="false" ht="15" hidden="false" customHeight="false" outlineLevel="0" collapsed="false">
      <c r="A140" s="4"/>
      <c r="B140" s="4"/>
      <c r="C140" s="4"/>
      <c r="D140" s="5"/>
      <c r="E140" s="5"/>
      <c r="F140" s="6"/>
      <c r="G140" s="4"/>
      <c r="H140" s="4"/>
      <c r="I140" s="4"/>
      <c r="J140" s="6"/>
      <c r="K140" s="7" t="str">
        <f aca="false">IF(OR(I140="",J140=""),"",I140*J140)</f>
        <v/>
      </c>
      <c r="L140" s="4"/>
      <c r="M140" s="8"/>
      <c r="N140" s="7" t="str">
        <f aca="false">IF(OR(L140="",M140="",K140=""),"",IF(L140="GANANCIA",(K140-F140)*M140,IF(L140="BRUTO",K140*M140,"")))</f>
        <v/>
      </c>
      <c r="O140" s="9" t="str">
        <f aca="false">IF(D140="","",D140)</f>
        <v/>
      </c>
      <c r="P140" s="10" t="str">
        <f aca="false">IF(I140="","",IF(COUNTIF(Q140:AN140,TRUE())&gt;=I140,"PAGADO",IF(COUNTIF(Q140:AN140,TRUE())&gt;0,"PARCIAL","VIGENTE")))</f>
        <v/>
      </c>
      <c r="Q140" s="11" t="str">
        <f aca="false">IF(OR(I140="",I140&lt;1,O140=""),"",O140+0)</f>
        <v/>
      </c>
      <c r="R140" s="11" t="str">
        <f aca="false">IF(OR(I140="",I140&lt;2,O140=""),"",O140+30)</f>
        <v/>
      </c>
      <c r="S140" s="11" t="str">
        <f aca="false">IF(OR(I140="",I140&lt;3,O140=""),"",O140+60)</f>
        <v/>
      </c>
      <c r="T140" s="11" t="str">
        <f aca="false">IF(OR(I140="",I140&lt;4,O140=""),"",O140+90)</f>
        <v/>
      </c>
      <c r="U140" s="11" t="str">
        <f aca="false">IF(OR(I140="",I140&lt;5,O140=""),"",O140+120)</f>
        <v/>
      </c>
      <c r="V140" s="11" t="str">
        <f aca="false">IF(OR(I140="",I140&lt;6,O140=""),"",O140+150)</f>
        <v/>
      </c>
      <c r="W140" s="11" t="str">
        <f aca="false">IF(OR(I140="",I140&lt;7,O140=""),"",O140+180)</f>
        <v/>
      </c>
      <c r="X140" s="11" t="str">
        <f aca="false">IF(OR(I140="",I140&lt;8,O140=""),"",O140+210)</f>
        <v/>
      </c>
      <c r="Y140" s="11" t="str">
        <f aca="false">IF(OR(I140="",I140&lt;9,O140=""),"",O140+240)</f>
        <v/>
      </c>
      <c r="Z140" s="11" t="str">
        <f aca="false">IF(OR(I140="",I140&lt;10,O140=""),"",O140+270)</f>
        <v/>
      </c>
      <c r="AA140" s="11" t="str">
        <f aca="false">IF(OR(I140="",I140&lt;11,O140=""),"",O140+300)</f>
        <v/>
      </c>
      <c r="AB140" s="11" t="str">
        <f aca="false">IF(OR(I140="",I140&lt;12,O140=""),"",O140+330)</f>
        <v/>
      </c>
      <c r="AC140" s="11" t="str">
        <f aca="false">IF(OR(I140="",I140&lt;13,O140=""),"",O140+360)</f>
        <v/>
      </c>
      <c r="AD140" s="11" t="str">
        <f aca="false">IF(OR(I140="",I140&lt;14,O140=""),"",O140+390)</f>
        <v/>
      </c>
      <c r="AE140" s="11" t="str">
        <f aca="false">IF(OR(I140="",I140&lt;15,O140=""),"",O140+420)</f>
        <v/>
      </c>
      <c r="AF140" s="11" t="str">
        <f aca="false">IF(OR(I140="",I140&lt;16,O140=""),"",O140+450)</f>
        <v/>
      </c>
      <c r="AG140" s="11" t="str">
        <f aca="false">IF(OR(I140="",I140&lt;17,O140=""),"",O140+480)</f>
        <v/>
      </c>
      <c r="AH140" s="11" t="str">
        <f aca="false">IF(OR(I140="",I140&lt;18,O140=""),"",O140+510)</f>
        <v/>
      </c>
      <c r="AI140" s="11" t="str">
        <f aca="false">IF(OR(I140="",I140&lt;19,O140=""),"",O140+540)</f>
        <v/>
      </c>
      <c r="AJ140" s="11" t="str">
        <f aca="false">IF(OR(I140="",I140&lt;20,O140=""),"",O140+570)</f>
        <v/>
      </c>
      <c r="AK140" s="11" t="str">
        <f aca="false">IF(OR(I140="",I140&lt;21,O140=""),"",O140+600)</f>
        <v/>
      </c>
      <c r="AL140" s="11" t="str">
        <f aca="false">IF(OR(I140="",I140&lt;22,O140=""),"",O140+630)</f>
        <v/>
      </c>
      <c r="AM140" s="11" t="str">
        <f aca="false">IF(OR(I140="",I140&lt;23,O140=""),"",O140+660)</f>
        <v/>
      </c>
      <c r="AN140" s="11" t="str">
        <f aca="false">IF(OR(I140="",I140&lt;24,O140=""),"",O140+690)</f>
        <v/>
      </c>
      <c r="AO140" s="7" t="str">
        <f aca="false">IF(J140="","",COUNTIF(Q140:AN140,TRUE())*J140)</f>
        <v/>
      </c>
      <c r="AP140" s="7" t="str">
        <f aca="false">IF(K140="","",K140-AO140)</f>
        <v/>
      </c>
      <c r="AQ140" s="7" t="str">
        <f aca="false">IF(K140="","",K140-F140-IF(N140="",0,N140))</f>
        <v/>
      </c>
    </row>
    <row r="141" customFormat="false" ht="15" hidden="false" customHeight="false" outlineLevel="0" collapsed="false">
      <c r="A141" s="12"/>
      <c r="B141" s="12"/>
      <c r="C141" s="12"/>
      <c r="D141" s="13"/>
      <c r="E141" s="13"/>
      <c r="F141" s="14"/>
      <c r="G141" s="12"/>
      <c r="H141" s="12"/>
      <c r="I141" s="12"/>
      <c r="J141" s="14"/>
      <c r="K141" s="15" t="str">
        <f aca="false">IF(OR(I141="",J141=""),"",I141*J141)</f>
        <v/>
      </c>
      <c r="L141" s="12"/>
      <c r="M141" s="16"/>
      <c r="N141" s="15" t="str">
        <f aca="false">IF(OR(L141="",M141="",K141=""),"",IF(L141="GANANCIA",(K141-F141)*M141,IF(L141="BRUTO",K141*M141,"")))</f>
        <v/>
      </c>
      <c r="O141" s="17" t="str">
        <f aca="false">IF(D141="","",D141)</f>
        <v/>
      </c>
      <c r="P141" s="18" t="str">
        <f aca="false">IF(I141="","",IF(COUNTIF(Q141:AN141,TRUE())&gt;=I141,"PAGADO",IF(COUNTIF(Q141:AN141,TRUE())&gt;0,"PARCIAL","VIGENTE")))</f>
        <v/>
      </c>
      <c r="Q141" s="19" t="str">
        <f aca="false">IF(OR(I141="",I141&lt;1,O141=""),"",O141+0)</f>
        <v/>
      </c>
      <c r="R141" s="19" t="str">
        <f aca="false">IF(OR(I141="",I141&lt;2,O141=""),"",O141+30)</f>
        <v/>
      </c>
      <c r="S141" s="19" t="str">
        <f aca="false">IF(OR(I141="",I141&lt;3,O141=""),"",O141+60)</f>
        <v/>
      </c>
      <c r="T141" s="19" t="str">
        <f aca="false">IF(OR(I141="",I141&lt;4,O141=""),"",O141+90)</f>
        <v/>
      </c>
      <c r="U141" s="19" t="str">
        <f aca="false">IF(OR(I141="",I141&lt;5,O141=""),"",O141+120)</f>
        <v/>
      </c>
      <c r="V141" s="19" t="str">
        <f aca="false">IF(OR(I141="",I141&lt;6,O141=""),"",O141+150)</f>
        <v/>
      </c>
      <c r="W141" s="19" t="str">
        <f aca="false">IF(OR(I141="",I141&lt;7,O141=""),"",O141+180)</f>
        <v/>
      </c>
      <c r="X141" s="19" t="str">
        <f aca="false">IF(OR(I141="",I141&lt;8,O141=""),"",O141+210)</f>
        <v/>
      </c>
      <c r="Y141" s="19" t="str">
        <f aca="false">IF(OR(I141="",I141&lt;9,O141=""),"",O141+240)</f>
        <v/>
      </c>
      <c r="Z141" s="19" t="str">
        <f aca="false">IF(OR(I141="",I141&lt;10,O141=""),"",O141+270)</f>
        <v/>
      </c>
      <c r="AA141" s="19" t="str">
        <f aca="false">IF(OR(I141="",I141&lt;11,O141=""),"",O141+300)</f>
        <v/>
      </c>
      <c r="AB141" s="19" t="str">
        <f aca="false">IF(OR(I141="",I141&lt;12,O141=""),"",O141+330)</f>
        <v/>
      </c>
      <c r="AC141" s="19" t="str">
        <f aca="false">IF(OR(I141="",I141&lt;13,O141=""),"",O141+360)</f>
        <v/>
      </c>
      <c r="AD141" s="19" t="str">
        <f aca="false">IF(OR(I141="",I141&lt;14,O141=""),"",O141+390)</f>
        <v/>
      </c>
      <c r="AE141" s="19" t="str">
        <f aca="false">IF(OR(I141="",I141&lt;15,O141=""),"",O141+420)</f>
        <v/>
      </c>
      <c r="AF141" s="19" t="str">
        <f aca="false">IF(OR(I141="",I141&lt;16,O141=""),"",O141+450)</f>
        <v/>
      </c>
      <c r="AG141" s="19" t="str">
        <f aca="false">IF(OR(I141="",I141&lt;17,O141=""),"",O141+480)</f>
        <v/>
      </c>
      <c r="AH141" s="19" t="str">
        <f aca="false">IF(OR(I141="",I141&lt;18,O141=""),"",O141+510)</f>
        <v/>
      </c>
      <c r="AI141" s="19" t="str">
        <f aca="false">IF(OR(I141="",I141&lt;19,O141=""),"",O141+540)</f>
        <v/>
      </c>
      <c r="AJ141" s="19" t="str">
        <f aca="false">IF(OR(I141="",I141&lt;20,O141=""),"",O141+570)</f>
        <v/>
      </c>
      <c r="AK141" s="19" t="str">
        <f aca="false">IF(OR(I141="",I141&lt;21,O141=""),"",O141+600)</f>
        <v/>
      </c>
      <c r="AL141" s="19" t="str">
        <f aca="false">IF(OR(I141="",I141&lt;22,O141=""),"",O141+630)</f>
        <v/>
      </c>
      <c r="AM141" s="19" t="str">
        <f aca="false">IF(OR(I141="",I141&lt;23,O141=""),"",O141+660)</f>
        <v/>
      </c>
      <c r="AN141" s="19" t="str">
        <f aca="false">IF(OR(I141="",I141&lt;24,O141=""),"",O141+690)</f>
        <v/>
      </c>
      <c r="AO141" s="15" t="str">
        <f aca="false">IF(J141="","",COUNTIF(Q141:AN141,TRUE())*J141)</f>
        <v/>
      </c>
      <c r="AP141" s="15" t="str">
        <f aca="false">IF(K141="","",K141-AO141)</f>
        <v/>
      </c>
      <c r="AQ141" s="15" t="str">
        <f aca="false">IF(K141="","",K141-F141-IF(N141="",0,N141))</f>
        <v/>
      </c>
    </row>
    <row r="142" customFormat="false" ht="15" hidden="false" customHeight="false" outlineLevel="0" collapsed="false">
      <c r="A142" s="4"/>
      <c r="B142" s="4"/>
      <c r="C142" s="4"/>
      <c r="D142" s="5"/>
      <c r="E142" s="5"/>
      <c r="F142" s="6"/>
      <c r="G142" s="4"/>
      <c r="H142" s="4"/>
      <c r="I142" s="4"/>
      <c r="J142" s="6"/>
      <c r="K142" s="7" t="str">
        <f aca="false">IF(OR(I142="",J142=""),"",I142*J142)</f>
        <v/>
      </c>
      <c r="L142" s="4"/>
      <c r="M142" s="8"/>
      <c r="N142" s="7" t="str">
        <f aca="false">IF(OR(L142="",M142="",K142=""),"",IF(L142="GANANCIA",(K142-F142)*M142,IF(L142="BRUTO",K142*M142,"")))</f>
        <v/>
      </c>
      <c r="O142" s="9" t="str">
        <f aca="false">IF(D142="","",D142)</f>
        <v/>
      </c>
      <c r="P142" s="10" t="str">
        <f aca="false">IF(I142="","",IF(COUNTIF(Q142:AN142,TRUE())&gt;=I142,"PAGADO",IF(COUNTIF(Q142:AN142,TRUE())&gt;0,"PARCIAL","VIGENTE")))</f>
        <v/>
      </c>
      <c r="Q142" s="11" t="str">
        <f aca="false">IF(OR(I142="",I142&lt;1,O142=""),"",O142+0)</f>
        <v/>
      </c>
      <c r="R142" s="11" t="str">
        <f aca="false">IF(OR(I142="",I142&lt;2,O142=""),"",O142+30)</f>
        <v/>
      </c>
      <c r="S142" s="11" t="str">
        <f aca="false">IF(OR(I142="",I142&lt;3,O142=""),"",O142+60)</f>
        <v/>
      </c>
      <c r="T142" s="11" t="str">
        <f aca="false">IF(OR(I142="",I142&lt;4,O142=""),"",O142+90)</f>
        <v/>
      </c>
      <c r="U142" s="11" t="str">
        <f aca="false">IF(OR(I142="",I142&lt;5,O142=""),"",O142+120)</f>
        <v/>
      </c>
      <c r="V142" s="11" t="str">
        <f aca="false">IF(OR(I142="",I142&lt;6,O142=""),"",O142+150)</f>
        <v/>
      </c>
      <c r="W142" s="11" t="str">
        <f aca="false">IF(OR(I142="",I142&lt;7,O142=""),"",O142+180)</f>
        <v/>
      </c>
      <c r="X142" s="11" t="str">
        <f aca="false">IF(OR(I142="",I142&lt;8,O142=""),"",O142+210)</f>
        <v/>
      </c>
      <c r="Y142" s="11" t="str">
        <f aca="false">IF(OR(I142="",I142&lt;9,O142=""),"",O142+240)</f>
        <v/>
      </c>
      <c r="Z142" s="11" t="str">
        <f aca="false">IF(OR(I142="",I142&lt;10,O142=""),"",O142+270)</f>
        <v/>
      </c>
      <c r="AA142" s="11" t="str">
        <f aca="false">IF(OR(I142="",I142&lt;11,O142=""),"",O142+300)</f>
        <v/>
      </c>
      <c r="AB142" s="11" t="str">
        <f aca="false">IF(OR(I142="",I142&lt;12,O142=""),"",O142+330)</f>
        <v/>
      </c>
      <c r="AC142" s="11" t="str">
        <f aca="false">IF(OR(I142="",I142&lt;13,O142=""),"",O142+360)</f>
        <v/>
      </c>
      <c r="AD142" s="11" t="str">
        <f aca="false">IF(OR(I142="",I142&lt;14,O142=""),"",O142+390)</f>
        <v/>
      </c>
      <c r="AE142" s="11" t="str">
        <f aca="false">IF(OR(I142="",I142&lt;15,O142=""),"",O142+420)</f>
        <v/>
      </c>
      <c r="AF142" s="11" t="str">
        <f aca="false">IF(OR(I142="",I142&lt;16,O142=""),"",O142+450)</f>
        <v/>
      </c>
      <c r="AG142" s="11" t="str">
        <f aca="false">IF(OR(I142="",I142&lt;17,O142=""),"",O142+480)</f>
        <v/>
      </c>
      <c r="AH142" s="11" t="str">
        <f aca="false">IF(OR(I142="",I142&lt;18,O142=""),"",O142+510)</f>
        <v/>
      </c>
      <c r="AI142" s="11" t="str">
        <f aca="false">IF(OR(I142="",I142&lt;19,O142=""),"",O142+540)</f>
        <v/>
      </c>
      <c r="AJ142" s="11" t="str">
        <f aca="false">IF(OR(I142="",I142&lt;20,O142=""),"",O142+570)</f>
        <v/>
      </c>
      <c r="AK142" s="11" t="str">
        <f aca="false">IF(OR(I142="",I142&lt;21,O142=""),"",O142+600)</f>
        <v/>
      </c>
      <c r="AL142" s="11" t="str">
        <f aca="false">IF(OR(I142="",I142&lt;22,O142=""),"",O142+630)</f>
        <v/>
      </c>
      <c r="AM142" s="11" t="str">
        <f aca="false">IF(OR(I142="",I142&lt;23,O142=""),"",O142+660)</f>
        <v/>
      </c>
      <c r="AN142" s="11" t="str">
        <f aca="false">IF(OR(I142="",I142&lt;24,O142=""),"",O142+690)</f>
        <v/>
      </c>
      <c r="AO142" s="7" t="str">
        <f aca="false">IF(J142="","",COUNTIF(Q142:AN142,TRUE())*J142)</f>
        <v/>
      </c>
      <c r="AP142" s="7" t="str">
        <f aca="false">IF(K142="","",K142-AO142)</f>
        <v/>
      </c>
      <c r="AQ142" s="7" t="str">
        <f aca="false">IF(K142="","",K142-F142-IF(N142="",0,N142))</f>
        <v/>
      </c>
    </row>
    <row r="143" customFormat="false" ht="15" hidden="false" customHeight="false" outlineLevel="0" collapsed="false">
      <c r="A143" s="12"/>
      <c r="B143" s="12"/>
      <c r="C143" s="12"/>
      <c r="D143" s="13"/>
      <c r="E143" s="13"/>
      <c r="F143" s="14"/>
      <c r="G143" s="12"/>
      <c r="H143" s="12"/>
      <c r="I143" s="12"/>
      <c r="J143" s="14"/>
      <c r="K143" s="15" t="str">
        <f aca="false">IF(OR(I143="",J143=""),"",I143*J143)</f>
        <v/>
      </c>
      <c r="L143" s="12"/>
      <c r="M143" s="16"/>
      <c r="N143" s="15" t="str">
        <f aca="false">IF(OR(L143="",M143="",K143=""),"",IF(L143="GANANCIA",(K143-F143)*M143,IF(L143="BRUTO",K143*M143,"")))</f>
        <v/>
      </c>
      <c r="O143" s="17" t="str">
        <f aca="false">IF(D143="","",D143)</f>
        <v/>
      </c>
      <c r="P143" s="18" t="str">
        <f aca="false">IF(I143="","",IF(COUNTIF(Q143:AN143,TRUE())&gt;=I143,"PAGADO",IF(COUNTIF(Q143:AN143,TRUE())&gt;0,"PARCIAL","VIGENTE")))</f>
        <v/>
      </c>
      <c r="Q143" s="19" t="str">
        <f aca="false">IF(OR(I143="",I143&lt;1,O143=""),"",O143+0)</f>
        <v/>
      </c>
      <c r="R143" s="19" t="str">
        <f aca="false">IF(OR(I143="",I143&lt;2,O143=""),"",O143+30)</f>
        <v/>
      </c>
      <c r="S143" s="19" t="str">
        <f aca="false">IF(OR(I143="",I143&lt;3,O143=""),"",O143+60)</f>
        <v/>
      </c>
      <c r="T143" s="19" t="str">
        <f aca="false">IF(OR(I143="",I143&lt;4,O143=""),"",O143+90)</f>
        <v/>
      </c>
      <c r="U143" s="19" t="str">
        <f aca="false">IF(OR(I143="",I143&lt;5,O143=""),"",O143+120)</f>
        <v/>
      </c>
      <c r="V143" s="19" t="str">
        <f aca="false">IF(OR(I143="",I143&lt;6,O143=""),"",O143+150)</f>
        <v/>
      </c>
      <c r="W143" s="19" t="str">
        <f aca="false">IF(OR(I143="",I143&lt;7,O143=""),"",O143+180)</f>
        <v/>
      </c>
      <c r="X143" s="19" t="str">
        <f aca="false">IF(OR(I143="",I143&lt;8,O143=""),"",O143+210)</f>
        <v/>
      </c>
      <c r="Y143" s="19" t="str">
        <f aca="false">IF(OR(I143="",I143&lt;9,O143=""),"",O143+240)</f>
        <v/>
      </c>
      <c r="Z143" s="19" t="str">
        <f aca="false">IF(OR(I143="",I143&lt;10,O143=""),"",O143+270)</f>
        <v/>
      </c>
      <c r="AA143" s="19" t="str">
        <f aca="false">IF(OR(I143="",I143&lt;11,O143=""),"",O143+300)</f>
        <v/>
      </c>
      <c r="AB143" s="19" t="str">
        <f aca="false">IF(OR(I143="",I143&lt;12,O143=""),"",O143+330)</f>
        <v/>
      </c>
      <c r="AC143" s="19" t="str">
        <f aca="false">IF(OR(I143="",I143&lt;13,O143=""),"",O143+360)</f>
        <v/>
      </c>
      <c r="AD143" s="19" t="str">
        <f aca="false">IF(OR(I143="",I143&lt;14,O143=""),"",O143+390)</f>
        <v/>
      </c>
      <c r="AE143" s="19" t="str">
        <f aca="false">IF(OR(I143="",I143&lt;15,O143=""),"",O143+420)</f>
        <v/>
      </c>
      <c r="AF143" s="19" t="str">
        <f aca="false">IF(OR(I143="",I143&lt;16,O143=""),"",O143+450)</f>
        <v/>
      </c>
      <c r="AG143" s="19" t="str">
        <f aca="false">IF(OR(I143="",I143&lt;17,O143=""),"",O143+480)</f>
        <v/>
      </c>
      <c r="AH143" s="19" t="str">
        <f aca="false">IF(OR(I143="",I143&lt;18,O143=""),"",O143+510)</f>
        <v/>
      </c>
      <c r="AI143" s="19" t="str">
        <f aca="false">IF(OR(I143="",I143&lt;19,O143=""),"",O143+540)</f>
        <v/>
      </c>
      <c r="AJ143" s="19" t="str">
        <f aca="false">IF(OR(I143="",I143&lt;20,O143=""),"",O143+570)</f>
        <v/>
      </c>
      <c r="AK143" s="19" t="str">
        <f aca="false">IF(OR(I143="",I143&lt;21,O143=""),"",O143+600)</f>
        <v/>
      </c>
      <c r="AL143" s="19" t="str">
        <f aca="false">IF(OR(I143="",I143&lt;22,O143=""),"",O143+630)</f>
        <v/>
      </c>
      <c r="AM143" s="19" t="str">
        <f aca="false">IF(OR(I143="",I143&lt;23,O143=""),"",O143+660)</f>
        <v/>
      </c>
      <c r="AN143" s="19" t="str">
        <f aca="false">IF(OR(I143="",I143&lt;24,O143=""),"",O143+690)</f>
        <v/>
      </c>
      <c r="AO143" s="15" t="str">
        <f aca="false">IF(J143="","",COUNTIF(Q143:AN143,TRUE())*J143)</f>
        <v/>
      </c>
      <c r="AP143" s="15" t="str">
        <f aca="false">IF(K143="","",K143-AO143)</f>
        <v/>
      </c>
      <c r="AQ143" s="15" t="str">
        <f aca="false">IF(K143="","",K143-F143-IF(N143="",0,N143))</f>
        <v/>
      </c>
    </row>
    <row r="144" customFormat="false" ht="15" hidden="false" customHeight="false" outlineLevel="0" collapsed="false">
      <c r="A144" s="4"/>
      <c r="B144" s="4"/>
      <c r="C144" s="4"/>
      <c r="D144" s="5"/>
      <c r="E144" s="5"/>
      <c r="F144" s="6"/>
      <c r="G144" s="4"/>
      <c r="H144" s="4"/>
      <c r="I144" s="4"/>
      <c r="J144" s="6"/>
      <c r="K144" s="7" t="str">
        <f aca="false">IF(OR(I144="",J144=""),"",I144*J144)</f>
        <v/>
      </c>
      <c r="L144" s="4"/>
      <c r="M144" s="8"/>
      <c r="N144" s="7" t="str">
        <f aca="false">IF(OR(L144="",M144="",K144=""),"",IF(L144="GANANCIA",(K144-F144)*M144,IF(L144="BRUTO",K144*M144,"")))</f>
        <v/>
      </c>
      <c r="O144" s="9" t="str">
        <f aca="false">IF(D144="","",D144)</f>
        <v/>
      </c>
      <c r="P144" s="10" t="str">
        <f aca="false">IF(I144="","",IF(COUNTIF(Q144:AN144,TRUE())&gt;=I144,"PAGADO",IF(COUNTIF(Q144:AN144,TRUE())&gt;0,"PARCIAL","VIGENTE")))</f>
        <v/>
      </c>
      <c r="Q144" s="11" t="str">
        <f aca="false">IF(OR(I144="",I144&lt;1,O144=""),"",O144+0)</f>
        <v/>
      </c>
      <c r="R144" s="11" t="str">
        <f aca="false">IF(OR(I144="",I144&lt;2,O144=""),"",O144+30)</f>
        <v/>
      </c>
      <c r="S144" s="11" t="str">
        <f aca="false">IF(OR(I144="",I144&lt;3,O144=""),"",O144+60)</f>
        <v/>
      </c>
      <c r="T144" s="11" t="str">
        <f aca="false">IF(OR(I144="",I144&lt;4,O144=""),"",O144+90)</f>
        <v/>
      </c>
      <c r="U144" s="11" t="str">
        <f aca="false">IF(OR(I144="",I144&lt;5,O144=""),"",O144+120)</f>
        <v/>
      </c>
      <c r="V144" s="11" t="str">
        <f aca="false">IF(OR(I144="",I144&lt;6,O144=""),"",O144+150)</f>
        <v/>
      </c>
      <c r="W144" s="11" t="str">
        <f aca="false">IF(OR(I144="",I144&lt;7,O144=""),"",O144+180)</f>
        <v/>
      </c>
      <c r="X144" s="11" t="str">
        <f aca="false">IF(OR(I144="",I144&lt;8,O144=""),"",O144+210)</f>
        <v/>
      </c>
      <c r="Y144" s="11" t="str">
        <f aca="false">IF(OR(I144="",I144&lt;9,O144=""),"",O144+240)</f>
        <v/>
      </c>
      <c r="Z144" s="11" t="str">
        <f aca="false">IF(OR(I144="",I144&lt;10,O144=""),"",O144+270)</f>
        <v/>
      </c>
      <c r="AA144" s="11" t="str">
        <f aca="false">IF(OR(I144="",I144&lt;11,O144=""),"",O144+300)</f>
        <v/>
      </c>
      <c r="AB144" s="11" t="str">
        <f aca="false">IF(OR(I144="",I144&lt;12,O144=""),"",O144+330)</f>
        <v/>
      </c>
      <c r="AC144" s="11" t="str">
        <f aca="false">IF(OR(I144="",I144&lt;13,O144=""),"",O144+360)</f>
        <v/>
      </c>
      <c r="AD144" s="11" t="str">
        <f aca="false">IF(OR(I144="",I144&lt;14,O144=""),"",O144+390)</f>
        <v/>
      </c>
      <c r="AE144" s="11" t="str">
        <f aca="false">IF(OR(I144="",I144&lt;15,O144=""),"",O144+420)</f>
        <v/>
      </c>
      <c r="AF144" s="11" t="str">
        <f aca="false">IF(OR(I144="",I144&lt;16,O144=""),"",O144+450)</f>
        <v/>
      </c>
      <c r="AG144" s="11" t="str">
        <f aca="false">IF(OR(I144="",I144&lt;17,O144=""),"",O144+480)</f>
        <v/>
      </c>
      <c r="AH144" s="11" t="str">
        <f aca="false">IF(OR(I144="",I144&lt;18,O144=""),"",O144+510)</f>
        <v/>
      </c>
      <c r="AI144" s="11" t="str">
        <f aca="false">IF(OR(I144="",I144&lt;19,O144=""),"",O144+540)</f>
        <v/>
      </c>
      <c r="AJ144" s="11" t="str">
        <f aca="false">IF(OR(I144="",I144&lt;20,O144=""),"",O144+570)</f>
        <v/>
      </c>
      <c r="AK144" s="11" t="str">
        <f aca="false">IF(OR(I144="",I144&lt;21,O144=""),"",O144+600)</f>
        <v/>
      </c>
      <c r="AL144" s="11" t="str">
        <f aca="false">IF(OR(I144="",I144&lt;22,O144=""),"",O144+630)</f>
        <v/>
      </c>
      <c r="AM144" s="11" t="str">
        <f aca="false">IF(OR(I144="",I144&lt;23,O144=""),"",O144+660)</f>
        <v/>
      </c>
      <c r="AN144" s="11" t="str">
        <f aca="false">IF(OR(I144="",I144&lt;24,O144=""),"",O144+690)</f>
        <v/>
      </c>
      <c r="AO144" s="7" t="str">
        <f aca="false">IF(J144="","",COUNTIF(Q144:AN144,TRUE())*J144)</f>
        <v/>
      </c>
      <c r="AP144" s="7" t="str">
        <f aca="false">IF(K144="","",K144-AO144)</f>
        <v/>
      </c>
      <c r="AQ144" s="7" t="str">
        <f aca="false">IF(K144="","",K144-F144-IF(N144="",0,N144))</f>
        <v/>
      </c>
    </row>
    <row r="145" customFormat="false" ht="15" hidden="false" customHeight="false" outlineLevel="0" collapsed="false">
      <c r="A145" s="12"/>
      <c r="B145" s="12"/>
      <c r="C145" s="12"/>
      <c r="D145" s="13"/>
      <c r="E145" s="13"/>
      <c r="F145" s="14"/>
      <c r="G145" s="12"/>
      <c r="H145" s="12"/>
      <c r="I145" s="12"/>
      <c r="J145" s="14"/>
      <c r="K145" s="15" t="str">
        <f aca="false">IF(OR(I145="",J145=""),"",I145*J145)</f>
        <v/>
      </c>
      <c r="L145" s="12"/>
      <c r="M145" s="16"/>
      <c r="N145" s="15" t="str">
        <f aca="false">IF(OR(L145="",M145="",K145=""),"",IF(L145="GANANCIA",(K145-F145)*M145,IF(L145="BRUTO",K145*M145,"")))</f>
        <v/>
      </c>
      <c r="O145" s="17" t="str">
        <f aca="false">IF(D145="","",D145)</f>
        <v/>
      </c>
      <c r="P145" s="18" t="str">
        <f aca="false">IF(I145="","",IF(COUNTIF(Q145:AN145,TRUE())&gt;=I145,"PAGADO",IF(COUNTIF(Q145:AN145,TRUE())&gt;0,"PARCIAL","VIGENTE")))</f>
        <v/>
      </c>
      <c r="Q145" s="19" t="str">
        <f aca="false">IF(OR(I145="",I145&lt;1,O145=""),"",O145+0)</f>
        <v/>
      </c>
      <c r="R145" s="19" t="str">
        <f aca="false">IF(OR(I145="",I145&lt;2,O145=""),"",O145+30)</f>
        <v/>
      </c>
      <c r="S145" s="19" t="str">
        <f aca="false">IF(OR(I145="",I145&lt;3,O145=""),"",O145+60)</f>
        <v/>
      </c>
      <c r="T145" s="19" t="str">
        <f aca="false">IF(OR(I145="",I145&lt;4,O145=""),"",O145+90)</f>
        <v/>
      </c>
      <c r="U145" s="19" t="str">
        <f aca="false">IF(OR(I145="",I145&lt;5,O145=""),"",O145+120)</f>
        <v/>
      </c>
      <c r="V145" s="19" t="str">
        <f aca="false">IF(OR(I145="",I145&lt;6,O145=""),"",O145+150)</f>
        <v/>
      </c>
      <c r="W145" s="19" t="str">
        <f aca="false">IF(OR(I145="",I145&lt;7,O145=""),"",O145+180)</f>
        <v/>
      </c>
      <c r="X145" s="19" t="str">
        <f aca="false">IF(OR(I145="",I145&lt;8,O145=""),"",O145+210)</f>
        <v/>
      </c>
      <c r="Y145" s="19" t="str">
        <f aca="false">IF(OR(I145="",I145&lt;9,O145=""),"",O145+240)</f>
        <v/>
      </c>
      <c r="Z145" s="19" t="str">
        <f aca="false">IF(OR(I145="",I145&lt;10,O145=""),"",O145+270)</f>
        <v/>
      </c>
      <c r="AA145" s="19" t="str">
        <f aca="false">IF(OR(I145="",I145&lt;11,O145=""),"",O145+300)</f>
        <v/>
      </c>
      <c r="AB145" s="19" t="str">
        <f aca="false">IF(OR(I145="",I145&lt;12,O145=""),"",O145+330)</f>
        <v/>
      </c>
      <c r="AC145" s="19" t="str">
        <f aca="false">IF(OR(I145="",I145&lt;13,O145=""),"",O145+360)</f>
        <v/>
      </c>
      <c r="AD145" s="19" t="str">
        <f aca="false">IF(OR(I145="",I145&lt;14,O145=""),"",O145+390)</f>
        <v/>
      </c>
      <c r="AE145" s="19" t="str">
        <f aca="false">IF(OR(I145="",I145&lt;15,O145=""),"",O145+420)</f>
        <v/>
      </c>
      <c r="AF145" s="19" t="str">
        <f aca="false">IF(OR(I145="",I145&lt;16,O145=""),"",O145+450)</f>
        <v/>
      </c>
      <c r="AG145" s="19" t="str">
        <f aca="false">IF(OR(I145="",I145&lt;17,O145=""),"",O145+480)</f>
        <v/>
      </c>
      <c r="AH145" s="19" t="str">
        <f aca="false">IF(OR(I145="",I145&lt;18,O145=""),"",O145+510)</f>
        <v/>
      </c>
      <c r="AI145" s="19" t="str">
        <f aca="false">IF(OR(I145="",I145&lt;19,O145=""),"",O145+540)</f>
        <v/>
      </c>
      <c r="AJ145" s="19" t="str">
        <f aca="false">IF(OR(I145="",I145&lt;20,O145=""),"",O145+570)</f>
        <v/>
      </c>
      <c r="AK145" s="19" t="str">
        <f aca="false">IF(OR(I145="",I145&lt;21,O145=""),"",O145+600)</f>
        <v/>
      </c>
      <c r="AL145" s="19" t="str">
        <f aca="false">IF(OR(I145="",I145&lt;22,O145=""),"",O145+630)</f>
        <v/>
      </c>
      <c r="AM145" s="19" t="str">
        <f aca="false">IF(OR(I145="",I145&lt;23,O145=""),"",O145+660)</f>
        <v/>
      </c>
      <c r="AN145" s="19" t="str">
        <f aca="false">IF(OR(I145="",I145&lt;24,O145=""),"",O145+690)</f>
        <v/>
      </c>
      <c r="AO145" s="15" t="str">
        <f aca="false">IF(J145="","",COUNTIF(Q145:AN145,TRUE())*J145)</f>
        <v/>
      </c>
      <c r="AP145" s="15" t="str">
        <f aca="false">IF(K145="","",K145-AO145)</f>
        <v/>
      </c>
      <c r="AQ145" s="15" t="str">
        <f aca="false">IF(K145="","",K145-F145-IF(N145="",0,N145))</f>
        <v/>
      </c>
    </row>
    <row r="146" customFormat="false" ht="15" hidden="false" customHeight="false" outlineLevel="0" collapsed="false">
      <c r="A146" s="4"/>
      <c r="B146" s="4"/>
      <c r="C146" s="4"/>
      <c r="D146" s="5"/>
      <c r="E146" s="5"/>
      <c r="F146" s="6"/>
      <c r="G146" s="4"/>
      <c r="H146" s="4"/>
      <c r="I146" s="4"/>
      <c r="J146" s="6"/>
      <c r="K146" s="7" t="str">
        <f aca="false">IF(OR(I146="",J146=""),"",I146*J146)</f>
        <v/>
      </c>
      <c r="L146" s="4"/>
      <c r="M146" s="8"/>
      <c r="N146" s="7" t="str">
        <f aca="false">IF(OR(L146="",M146="",K146=""),"",IF(L146="GANANCIA",(K146-F146)*M146,IF(L146="BRUTO",K146*M146,"")))</f>
        <v/>
      </c>
      <c r="O146" s="9" t="str">
        <f aca="false">IF(D146="","",D146)</f>
        <v/>
      </c>
      <c r="P146" s="10" t="str">
        <f aca="false">IF(I146="","",IF(COUNTIF(Q146:AN146,TRUE())&gt;=I146,"PAGADO",IF(COUNTIF(Q146:AN146,TRUE())&gt;0,"PARCIAL","VIGENTE")))</f>
        <v/>
      </c>
      <c r="Q146" s="11" t="str">
        <f aca="false">IF(OR(I146="",I146&lt;1,O146=""),"",O146+0)</f>
        <v/>
      </c>
      <c r="R146" s="11" t="str">
        <f aca="false">IF(OR(I146="",I146&lt;2,O146=""),"",O146+30)</f>
        <v/>
      </c>
      <c r="S146" s="11" t="str">
        <f aca="false">IF(OR(I146="",I146&lt;3,O146=""),"",O146+60)</f>
        <v/>
      </c>
      <c r="T146" s="11" t="str">
        <f aca="false">IF(OR(I146="",I146&lt;4,O146=""),"",O146+90)</f>
        <v/>
      </c>
      <c r="U146" s="11" t="str">
        <f aca="false">IF(OR(I146="",I146&lt;5,O146=""),"",O146+120)</f>
        <v/>
      </c>
      <c r="V146" s="11" t="str">
        <f aca="false">IF(OR(I146="",I146&lt;6,O146=""),"",O146+150)</f>
        <v/>
      </c>
      <c r="W146" s="11" t="str">
        <f aca="false">IF(OR(I146="",I146&lt;7,O146=""),"",O146+180)</f>
        <v/>
      </c>
      <c r="X146" s="11" t="str">
        <f aca="false">IF(OR(I146="",I146&lt;8,O146=""),"",O146+210)</f>
        <v/>
      </c>
      <c r="Y146" s="11" t="str">
        <f aca="false">IF(OR(I146="",I146&lt;9,O146=""),"",O146+240)</f>
        <v/>
      </c>
      <c r="Z146" s="11" t="str">
        <f aca="false">IF(OR(I146="",I146&lt;10,O146=""),"",O146+270)</f>
        <v/>
      </c>
      <c r="AA146" s="11" t="str">
        <f aca="false">IF(OR(I146="",I146&lt;11,O146=""),"",O146+300)</f>
        <v/>
      </c>
      <c r="AB146" s="11" t="str">
        <f aca="false">IF(OR(I146="",I146&lt;12,O146=""),"",O146+330)</f>
        <v/>
      </c>
      <c r="AC146" s="11" t="str">
        <f aca="false">IF(OR(I146="",I146&lt;13,O146=""),"",O146+360)</f>
        <v/>
      </c>
      <c r="AD146" s="11" t="str">
        <f aca="false">IF(OR(I146="",I146&lt;14,O146=""),"",O146+390)</f>
        <v/>
      </c>
      <c r="AE146" s="11" t="str">
        <f aca="false">IF(OR(I146="",I146&lt;15,O146=""),"",O146+420)</f>
        <v/>
      </c>
      <c r="AF146" s="11" t="str">
        <f aca="false">IF(OR(I146="",I146&lt;16,O146=""),"",O146+450)</f>
        <v/>
      </c>
      <c r="AG146" s="11" t="str">
        <f aca="false">IF(OR(I146="",I146&lt;17,O146=""),"",O146+480)</f>
        <v/>
      </c>
      <c r="AH146" s="11" t="str">
        <f aca="false">IF(OR(I146="",I146&lt;18,O146=""),"",O146+510)</f>
        <v/>
      </c>
      <c r="AI146" s="11" t="str">
        <f aca="false">IF(OR(I146="",I146&lt;19,O146=""),"",O146+540)</f>
        <v/>
      </c>
      <c r="AJ146" s="11" t="str">
        <f aca="false">IF(OR(I146="",I146&lt;20,O146=""),"",O146+570)</f>
        <v/>
      </c>
      <c r="AK146" s="11" t="str">
        <f aca="false">IF(OR(I146="",I146&lt;21,O146=""),"",O146+600)</f>
        <v/>
      </c>
      <c r="AL146" s="11" t="str">
        <f aca="false">IF(OR(I146="",I146&lt;22,O146=""),"",O146+630)</f>
        <v/>
      </c>
      <c r="AM146" s="11" t="str">
        <f aca="false">IF(OR(I146="",I146&lt;23,O146=""),"",O146+660)</f>
        <v/>
      </c>
      <c r="AN146" s="11" t="str">
        <f aca="false">IF(OR(I146="",I146&lt;24,O146=""),"",O146+690)</f>
        <v/>
      </c>
      <c r="AO146" s="7" t="str">
        <f aca="false">IF(J146="","",COUNTIF(Q146:AN146,TRUE())*J146)</f>
        <v/>
      </c>
      <c r="AP146" s="7" t="str">
        <f aca="false">IF(K146="","",K146-AO146)</f>
        <v/>
      </c>
      <c r="AQ146" s="7" t="str">
        <f aca="false">IF(K146="","",K146-F146-IF(N146="",0,N146))</f>
        <v/>
      </c>
    </row>
    <row r="147" customFormat="false" ht="15" hidden="false" customHeight="false" outlineLevel="0" collapsed="false">
      <c r="A147" s="12"/>
      <c r="B147" s="12"/>
      <c r="C147" s="12"/>
      <c r="D147" s="13"/>
      <c r="E147" s="13"/>
      <c r="F147" s="14"/>
      <c r="G147" s="12"/>
      <c r="H147" s="12"/>
      <c r="I147" s="12"/>
      <c r="J147" s="14"/>
      <c r="K147" s="15" t="str">
        <f aca="false">IF(OR(I147="",J147=""),"",I147*J147)</f>
        <v/>
      </c>
      <c r="L147" s="12"/>
      <c r="M147" s="16"/>
      <c r="N147" s="15" t="str">
        <f aca="false">IF(OR(L147="",M147="",K147=""),"",IF(L147="GANANCIA",(K147-F147)*M147,IF(L147="BRUTO",K147*M147,"")))</f>
        <v/>
      </c>
      <c r="O147" s="17" t="str">
        <f aca="false">IF(D147="","",D147)</f>
        <v/>
      </c>
      <c r="P147" s="18" t="str">
        <f aca="false">IF(I147="","",IF(COUNTIF(Q147:AN147,TRUE())&gt;=I147,"PAGADO",IF(COUNTIF(Q147:AN147,TRUE())&gt;0,"PARCIAL","VIGENTE")))</f>
        <v/>
      </c>
      <c r="Q147" s="19" t="str">
        <f aca="false">IF(OR(I147="",I147&lt;1,O147=""),"",O147+0)</f>
        <v/>
      </c>
      <c r="R147" s="19" t="str">
        <f aca="false">IF(OR(I147="",I147&lt;2,O147=""),"",O147+30)</f>
        <v/>
      </c>
      <c r="S147" s="19" t="str">
        <f aca="false">IF(OR(I147="",I147&lt;3,O147=""),"",O147+60)</f>
        <v/>
      </c>
      <c r="T147" s="19" t="str">
        <f aca="false">IF(OR(I147="",I147&lt;4,O147=""),"",O147+90)</f>
        <v/>
      </c>
      <c r="U147" s="19" t="str">
        <f aca="false">IF(OR(I147="",I147&lt;5,O147=""),"",O147+120)</f>
        <v/>
      </c>
      <c r="V147" s="19" t="str">
        <f aca="false">IF(OR(I147="",I147&lt;6,O147=""),"",O147+150)</f>
        <v/>
      </c>
      <c r="W147" s="19" t="str">
        <f aca="false">IF(OR(I147="",I147&lt;7,O147=""),"",O147+180)</f>
        <v/>
      </c>
      <c r="X147" s="19" t="str">
        <f aca="false">IF(OR(I147="",I147&lt;8,O147=""),"",O147+210)</f>
        <v/>
      </c>
      <c r="Y147" s="19" t="str">
        <f aca="false">IF(OR(I147="",I147&lt;9,O147=""),"",O147+240)</f>
        <v/>
      </c>
      <c r="Z147" s="19" t="str">
        <f aca="false">IF(OR(I147="",I147&lt;10,O147=""),"",O147+270)</f>
        <v/>
      </c>
      <c r="AA147" s="19" t="str">
        <f aca="false">IF(OR(I147="",I147&lt;11,O147=""),"",O147+300)</f>
        <v/>
      </c>
      <c r="AB147" s="19" t="str">
        <f aca="false">IF(OR(I147="",I147&lt;12,O147=""),"",O147+330)</f>
        <v/>
      </c>
      <c r="AC147" s="19" t="str">
        <f aca="false">IF(OR(I147="",I147&lt;13,O147=""),"",O147+360)</f>
        <v/>
      </c>
      <c r="AD147" s="19" t="str">
        <f aca="false">IF(OR(I147="",I147&lt;14,O147=""),"",O147+390)</f>
        <v/>
      </c>
      <c r="AE147" s="19" t="str">
        <f aca="false">IF(OR(I147="",I147&lt;15,O147=""),"",O147+420)</f>
        <v/>
      </c>
      <c r="AF147" s="19" t="str">
        <f aca="false">IF(OR(I147="",I147&lt;16,O147=""),"",O147+450)</f>
        <v/>
      </c>
      <c r="AG147" s="19" t="str">
        <f aca="false">IF(OR(I147="",I147&lt;17,O147=""),"",O147+480)</f>
        <v/>
      </c>
      <c r="AH147" s="19" t="str">
        <f aca="false">IF(OR(I147="",I147&lt;18,O147=""),"",O147+510)</f>
        <v/>
      </c>
      <c r="AI147" s="19" t="str">
        <f aca="false">IF(OR(I147="",I147&lt;19,O147=""),"",O147+540)</f>
        <v/>
      </c>
      <c r="AJ147" s="19" t="str">
        <f aca="false">IF(OR(I147="",I147&lt;20,O147=""),"",O147+570)</f>
        <v/>
      </c>
      <c r="AK147" s="19" t="str">
        <f aca="false">IF(OR(I147="",I147&lt;21,O147=""),"",O147+600)</f>
        <v/>
      </c>
      <c r="AL147" s="19" t="str">
        <f aca="false">IF(OR(I147="",I147&lt;22,O147=""),"",O147+630)</f>
        <v/>
      </c>
      <c r="AM147" s="19" t="str">
        <f aca="false">IF(OR(I147="",I147&lt;23,O147=""),"",O147+660)</f>
        <v/>
      </c>
      <c r="AN147" s="19" t="str">
        <f aca="false">IF(OR(I147="",I147&lt;24,O147=""),"",O147+690)</f>
        <v/>
      </c>
      <c r="AO147" s="15" t="str">
        <f aca="false">IF(J147="","",COUNTIF(Q147:AN147,TRUE())*J147)</f>
        <v/>
      </c>
      <c r="AP147" s="15" t="str">
        <f aca="false">IF(K147="","",K147-AO147)</f>
        <v/>
      </c>
      <c r="AQ147" s="15" t="str">
        <f aca="false">IF(K147="","",K147-F147-IF(N147="",0,N147))</f>
        <v/>
      </c>
    </row>
    <row r="148" customFormat="false" ht="15" hidden="false" customHeight="false" outlineLevel="0" collapsed="false">
      <c r="A148" s="4"/>
      <c r="B148" s="4"/>
      <c r="C148" s="4"/>
      <c r="D148" s="5"/>
      <c r="E148" s="5"/>
      <c r="F148" s="6"/>
      <c r="G148" s="4"/>
      <c r="H148" s="4"/>
      <c r="I148" s="4"/>
      <c r="J148" s="6"/>
      <c r="K148" s="7" t="str">
        <f aca="false">IF(OR(I148="",J148=""),"",I148*J148)</f>
        <v/>
      </c>
      <c r="L148" s="4"/>
      <c r="M148" s="8"/>
      <c r="N148" s="7" t="str">
        <f aca="false">IF(OR(L148="",M148="",K148=""),"",IF(L148="GANANCIA",(K148-F148)*M148,IF(L148="BRUTO",K148*M148,"")))</f>
        <v/>
      </c>
      <c r="O148" s="9" t="str">
        <f aca="false">IF(D148="","",D148)</f>
        <v/>
      </c>
      <c r="P148" s="10" t="str">
        <f aca="false">IF(I148="","",IF(COUNTIF(Q148:AN148,TRUE())&gt;=I148,"PAGADO",IF(COUNTIF(Q148:AN148,TRUE())&gt;0,"PARCIAL","VIGENTE")))</f>
        <v/>
      </c>
      <c r="Q148" s="11" t="str">
        <f aca="false">IF(OR(I148="",I148&lt;1,O148=""),"",O148+0)</f>
        <v/>
      </c>
      <c r="R148" s="11" t="str">
        <f aca="false">IF(OR(I148="",I148&lt;2,O148=""),"",O148+30)</f>
        <v/>
      </c>
      <c r="S148" s="11" t="str">
        <f aca="false">IF(OR(I148="",I148&lt;3,O148=""),"",O148+60)</f>
        <v/>
      </c>
      <c r="T148" s="11" t="str">
        <f aca="false">IF(OR(I148="",I148&lt;4,O148=""),"",O148+90)</f>
        <v/>
      </c>
      <c r="U148" s="11" t="str">
        <f aca="false">IF(OR(I148="",I148&lt;5,O148=""),"",O148+120)</f>
        <v/>
      </c>
      <c r="V148" s="11" t="str">
        <f aca="false">IF(OR(I148="",I148&lt;6,O148=""),"",O148+150)</f>
        <v/>
      </c>
      <c r="W148" s="11" t="str">
        <f aca="false">IF(OR(I148="",I148&lt;7,O148=""),"",O148+180)</f>
        <v/>
      </c>
      <c r="X148" s="11" t="str">
        <f aca="false">IF(OR(I148="",I148&lt;8,O148=""),"",O148+210)</f>
        <v/>
      </c>
      <c r="Y148" s="11" t="str">
        <f aca="false">IF(OR(I148="",I148&lt;9,O148=""),"",O148+240)</f>
        <v/>
      </c>
      <c r="Z148" s="11" t="str">
        <f aca="false">IF(OR(I148="",I148&lt;10,O148=""),"",O148+270)</f>
        <v/>
      </c>
      <c r="AA148" s="11" t="str">
        <f aca="false">IF(OR(I148="",I148&lt;11,O148=""),"",O148+300)</f>
        <v/>
      </c>
      <c r="AB148" s="11" t="str">
        <f aca="false">IF(OR(I148="",I148&lt;12,O148=""),"",O148+330)</f>
        <v/>
      </c>
      <c r="AC148" s="11" t="str">
        <f aca="false">IF(OR(I148="",I148&lt;13,O148=""),"",O148+360)</f>
        <v/>
      </c>
      <c r="AD148" s="11" t="str">
        <f aca="false">IF(OR(I148="",I148&lt;14,O148=""),"",O148+390)</f>
        <v/>
      </c>
      <c r="AE148" s="11" t="str">
        <f aca="false">IF(OR(I148="",I148&lt;15,O148=""),"",O148+420)</f>
        <v/>
      </c>
      <c r="AF148" s="11" t="str">
        <f aca="false">IF(OR(I148="",I148&lt;16,O148=""),"",O148+450)</f>
        <v/>
      </c>
      <c r="AG148" s="11" t="str">
        <f aca="false">IF(OR(I148="",I148&lt;17,O148=""),"",O148+480)</f>
        <v/>
      </c>
      <c r="AH148" s="11" t="str">
        <f aca="false">IF(OR(I148="",I148&lt;18,O148=""),"",O148+510)</f>
        <v/>
      </c>
      <c r="AI148" s="11" t="str">
        <f aca="false">IF(OR(I148="",I148&lt;19,O148=""),"",O148+540)</f>
        <v/>
      </c>
      <c r="AJ148" s="11" t="str">
        <f aca="false">IF(OR(I148="",I148&lt;20,O148=""),"",O148+570)</f>
        <v/>
      </c>
      <c r="AK148" s="11" t="str">
        <f aca="false">IF(OR(I148="",I148&lt;21,O148=""),"",O148+600)</f>
        <v/>
      </c>
      <c r="AL148" s="11" t="str">
        <f aca="false">IF(OR(I148="",I148&lt;22,O148=""),"",O148+630)</f>
        <v/>
      </c>
      <c r="AM148" s="11" t="str">
        <f aca="false">IF(OR(I148="",I148&lt;23,O148=""),"",O148+660)</f>
        <v/>
      </c>
      <c r="AN148" s="11" t="str">
        <f aca="false">IF(OR(I148="",I148&lt;24,O148=""),"",O148+690)</f>
        <v/>
      </c>
      <c r="AO148" s="7" t="str">
        <f aca="false">IF(J148="","",COUNTIF(Q148:AN148,TRUE())*J148)</f>
        <v/>
      </c>
      <c r="AP148" s="7" t="str">
        <f aca="false">IF(K148="","",K148-AO148)</f>
        <v/>
      </c>
      <c r="AQ148" s="7" t="str">
        <f aca="false">IF(K148="","",K148-F148-IF(N148="",0,N148))</f>
        <v/>
      </c>
    </row>
    <row r="149" customFormat="false" ht="15" hidden="false" customHeight="false" outlineLevel="0" collapsed="false">
      <c r="A149" s="12"/>
      <c r="B149" s="12"/>
      <c r="C149" s="12"/>
      <c r="D149" s="13"/>
      <c r="E149" s="13"/>
      <c r="F149" s="14"/>
      <c r="G149" s="12"/>
      <c r="H149" s="12"/>
      <c r="I149" s="12"/>
      <c r="J149" s="14"/>
      <c r="K149" s="15" t="str">
        <f aca="false">IF(OR(I149="",J149=""),"",I149*J149)</f>
        <v/>
      </c>
      <c r="L149" s="12"/>
      <c r="M149" s="16"/>
      <c r="N149" s="15" t="str">
        <f aca="false">IF(OR(L149="",M149="",K149=""),"",IF(L149="GANANCIA",(K149-F149)*M149,IF(L149="BRUTO",K149*M149,"")))</f>
        <v/>
      </c>
      <c r="O149" s="17" t="str">
        <f aca="false">IF(D149="","",D149)</f>
        <v/>
      </c>
      <c r="P149" s="18" t="str">
        <f aca="false">IF(I149="","",IF(COUNTIF(Q149:AN149,TRUE())&gt;=I149,"PAGADO",IF(COUNTIF(Q149:AN149,TRUE())&gt;0,"PARCIAL","VIGENTE")))</f>
        <v/>
      </c>
      <c r="Q149" s="19" t="str">
        <f aca="false">IF(OR(I149="",I149&lt;1,O149=""),"",O149+0)</f>
        <v/>
      </c>
      <c r="R149" s="19" t="str">
        <f aca="false">IF(OR(I149="",I149&lt;2,O149=""),"",O149+30)</f>
        <v/>
      </c>
      <c r="S149" s="19" t="str">
        <f aca="false">IF(OR(I149="",I149&lt;3,O149=""),"",O149+60)</f>
        <v/>
      </c>
      <c r="T149" s="19" t="str">
        <f aca="false">IF(OR(I149="",I149&lt;4,O149=""),"",O149+90)</f>
        <v/>
      </c>
      <c r="U149" s="19" t="str">
        <f aca="false">IF(OR(I149="",I149&lt;5,O149=""),"",O149+120)</f>
        <v/>
      </c>
      <c r="V149" s="19" t="str">
        <f aca="false">IF(OR(I149="",I149&lt;6,O149=""),"",O149+150)</f>
        <v/>
      </c>
      <c r="W149" s="19" t="str">
        <f aca="false">IF(OR(I149="",I149&lt;7,O149=""),"",O149+180)</f>
        <v/>
      </c>
      <c r="X149" s="19" t="str">
        <f aca="false">IF(OR(I149="",I149&lt;8,O149=""),"",O149+210)</f>
        <v/>
      </c>
      <c r="Y149" s="19" t="str">
        <f aca="false">IF(OR(I149="",I149&lt;9,O149=""),"",O149+240)</f>
        <v/>
      </c>
      <c r="Z149" s="19" t="str">
        <f aca="false">IF(OR(I149="",I149&lt;10,O149=""),"",O149+270)</f>
        <v/>
      </c>
      <c r="AA149" s="19" t="str">
        <f aca="false">IF(OR(I149="",I149&lt;11,O149=""),"",O149+300)</f>
        <v/>
      </c>
      <c r="AB149" s="19" t="str">
        <f aca="false">IF(OR(I149="",I149&lt;12,O149=""),"",O149+330)</f>
        <v/>
      </c>
      <c r="AC149" s="19" t="str">
        <f aca="false">IF(OR(I149="",I149&lt;13,O149=""),"",O149+360)</f>
        <v/>
      </c>
      <c r="AD149" s="19" t="str">
        <f aca="false">IF(OR(I149="",I149&lt;14,O149=""),"",O149+390)</f>
        <v/>
      </c>
      <c r="AE149" s="19" t="str">
        <f aca="false">IF(OR(I149="",I149&lt;15,O149=""),"",O149+420)</f>
        <v/>
      </c>
      <c r="AF149" s="19" t="str">
        <f aca="false">IF(OR(I149="",I149&lt;16,O149=""),"",O149+450)</f>
        <v/>
      </c>
      <c r="AG149" s="19" t="str">
        <f aca="false">IF(OR(I149="",I149&lt;17,O149=""),"",O149+480)</f>
        <v/>
      </c>
      <c r="AH149" s="19" t="str">
        <f aca="false">IF(OR(I149="",I149&lt;18,O149=""),"",O149+510)</f>
        <v/>
      </c>
      <c r="AI149" s="19" t="str">
        <f aca="false">IF(OR(I149="",I149&lt;19,O149=""),"",O149+540)</f>
        <v/>
      </c>
      <c r="AJ149" s="19" t="str">
        <f aca="false">IF(OR(I149="",I149&lt;20,O149=""),"",O149+570)</f>
        <v/>
      </c>
      <c r="AK149" s="19" t="str">
        <f aca="false">IF(OR(I149="",I149&lt;21,O149=""),"",O149+600)</f>
        <v/>
      </c>
      <c r="AL149" s="19" t="str">
        <f aca="false">IF(OR(I149="",I149&lt;22,O149=""),"",O149+630)</f>
        <v/>
      </c>
      <c r="AM149" s="19" t="str">
        <f aca="false">IF(OR(I149="",I149&lt;23,O149=""),"",O149+660)</f>
        <v/>
      </c>
      <c r="AN149" s="19" t="str">
        <f aca="false">IF(OR(I149="",I149&lt;24,O149=""),"",O149+690)</f>
        <v/>
      </c>
      <c r="AO149" s="15" t="str">
        <f aca="false">IF(J149="","",COUNTIF(Q149:AN149,TRUE())*J149)</f>
        <v/>
      </c>
      <c r="AP149" s="15" t="str">
        <f aca="false">IF(K149="","",K149-AO149)</f>
        <v/>
      </c>
      <c r="AQ149" s="15" t="str">
        <f aca="false">IF(K149="","",K149-F149-IF(N149="",0,N149))</f>
        <v/>
      </c>
    </row>
    <row r="150" customFormat="false" ht="15" hidden="false" customHeight="false" outlineLevel="0" collapsed="false">
      <c r="A150" s="4"/>
      <c r="B150" s="4"/>
      <c r="C150" s="4"/>
      <c r="D150" s="5"/>
      <c r="E150" s="5"/>
      <c r="F150" s="6"/>
      <c r="G150" s="4"/>
      <c r="H150" s="4"/>
      <c r="I150" s="4"/>
      <c r="J150" s="6"/>
      <c r="K150" s="7" t="str">
        <f aca="false">IF(OR(I150="",J150=""),"",I150*J150)</f>
        <v/>
      </c>
      <c r="L150" s="4"/>
      <c r="M150" s="8"/>
      <c r="N150" s="7" t="str">
        <f aca="false">IF(OR(L150="",M150="",K150=""),"",IF(L150="GANANCIA",(K150-F150)*M150,IF(L150="BRUTO",K150*M150,"")))</f>
        <v/>
      </c>
      <c r="O150" s="9" t="str">
        <f aca="false">IF(D150="","",D150)</f>
        <v/>
      </c>
      <c r="P150" s="10" t="str">
        <f aca="false">IF(I150="","",IF(COUNTIF(Q150:AN150,TRUE())&gt;=I150,"PAGADO",IF(COUNTIF(Q150:AN150,TRUE())&gt;0,"PARCIAL","VIGENTE")))</f>
        <v/>
      </c>
      <c r="Q150" s="11" t="str">
        <f aca="false">IF(OR(I150="",I150&lt;1,O150=""),"",O150+0)</f>
        <v/>
      </c>
      <c r="R150" s="11" t="str">
        <f aca="false">IF(OR(I150="",I150&lt;2,O150=""),"",O150+30)</f>
        <v/>
      </c>
      <c r="S150" s="11" t="str">
        <f aca="false">IF(OR(I150="",I150&lt;3,O150=""),"",O150+60)</f>
        <v/>
      </c>
      <c r="T150" s="11" t="str">
        <f aca="false">IF(OR(I150="",I150&lt;4,O150=""),"",O150+90)</f>
        <v/>
      </c>
      <c r="U150" s="11" t="str">
        <f aca="false">IF(OR(I150="",I150&lt;5,O150=""),"",O150+120)</f>
        <v/>
      </c>
      <c r="V150" s="11" t="str">
        <f aca="false">IF(OR(I150="",I150&lt;6,O150=""),"",O150+150)</f>
        <v/>
      </c>
      <c r="W150" s="11" t="str">
        <f aca="false">IF(OR(I150="",I150&lt;7,O150=""),"",O150+180)</f>
        <v/>
      </c>
      <c r="X150" s="11" t="str">
        <f aca="false">IF(OR(I150="",I150&lt;8,O150=""),"",O150+210)</f>
        <v/>
      </c>
      <c r="Y150" s="11" t="str">
        <f aca="false">IF(OR(I150="",I150&lt;9,O150=""),"",O150+240)</f>
        <v/>
      </c>
      <c r="Z150" s="11" t="str">
        <f aca="false">IF(OR(I150="",I150&lt;10,O150=""),"",O150+270)</f>
        <v/>
      </c>
      <c r="AA150" s="11" t="str">
        <f aca="false">IF(OR(I150="",I150&lt;11,O150=""),"",O150+300)</f>
        <v/>
      </c>
      <c r="AB150" s="11" t="str">
        <f aca="false">IF(OR(I150="",I150&lt;12,O150=""),"",O150+330)</f>
        <v/>
      </c>
      <c r="AC150" s="11" t="str">
        <f aca="false">IF(OR(I150="",I150&lt;13,O150=""),"",O150+360)</f>
        <v/>
      </c>
      <c r="AD150" s="11" t="str">
        <f aca="false">IF(OR(I150="",I150&lt;14,O150=""),"",O150+390)</f>
        <v/>
      </c>
      <c r="AE150" s="11" t="str">
        <f aca="false">IF(OR(I150="",I150&lt;15,O150=""),"",O150+420)</f>
        <v/>
      </c>
      <c r="AF150" s="11" t="str">
        <f aca="false">IF(OR(I150="",I150&lt;16,O150=""),"",O150+450)</f>
        <v/>
      </c>
      <c r="AG150" s="11" t="str">
        <f aca="false">IF(OR(I150="",I150&lt;17,O150=""),"",O150+480)</f>
        <v/>
      </c>
      <c r="AH150" s="11" t="str">
        <f aca="false">IF(OR(I150="",I150&lt;18,O150=""),"",O150+510)</f>
        <v/>
      </c>
      <c r="AI150" s="11" t="str">
        <f aca="false">IF(OR(I150="",I150&lt;19,O150=""),"",O150+540)</f>
        <v/>
      </c>
      <c r="AJ150" s="11" t="str">
        <f aca="false">IF(OR(I150="",I150&lt;20,O150=""),"",O150+570)</f>
        <v/>
      </c>
      <c r="AK150" s="11" t="str">
        <f aca="false">IF(OR(I150="",I150&lt;21,O150=""),"",O150+600)</f>
        <v/>
      </c>
      <c r="AL150" s="11" t="str">
        <f aca="false">IF(OR(I150="",I150&lt;22,O150=""),"",O150+630)</f>
        <v/>
      </c>
      <c r="AM150" s="11" t="str">
        <f aca="false">IF(OR(I150="",I150&lt;23,O150=""),"",O150+660)</f>
        <v/>
      </c>
      <c r="AN150" s="11" t="str">
        <f aca="false">IF(OR(I150="",I150&lt;24,O150=""),"",O150+690)</f>
        <v/>
      </c>
      <c r="AO150" s="7" t="str">
        <f aca="false">IF(J150="","",COUNTIF(Q150:AN150,TRUE())*J150)</f>
        <v/>
      </c>
      <c r="AP150" s="7" t="str">
        <f aca="false">IF(K150="","",K150-AO150)</f>
        <v/>
      </c>
      <c r="AQ150" s="7" t="str">
        <f aca="false">IF(K150="","",K150-F150-IF(N150="",0,N150))</f>
        <v/>
      </c>
    </row>
    <row r="151" customFormat="false" ht="15" hidden="false" customHeight="false" outlineLevel="0" collapsed="false">
      <c r="A151" s="12"/>
      <c r="B151" s="12"/>
      <c r="C151" s="12"/>
      <c r="D151" s="13"/>
      <c r="E151" s="13"/>
      <c r="F151" s="14"/>
      <c r="G151" s="12"/>
      <c r="H151" s="12"/>
      <c r="I151" s="12"/>
      <c r="J151" s="14"/>
      <c r="K151" s="15" t="str">
        <f aca="false">IF(OR(I151="",J151=""),"",I151*J151)</f>
        <v/>
      </c>
      <c r="L151" s="12"/>
      <c r="M151" s="16"/>
      <c r="N151" s="15" t="str">
        <f aca="false">IF(OR(L151="",M151="",K151=""),"",IF(L151="GANANCIA",(K151-F151)*M151,IF(L151="BRUTO",K151*M151,"")))</f>
        <v/>
      </c>
      <c r="O151" s="17" t="str">
        <f aca="false">IF(D151="","",D151)</f>
        <v/>
      </c>
      <c r="P151" s="18" t="str">
        <f aca="false">IF(I151="","",IF(COUNTIF(Q151:AN151,TRUE())&gt;=I151,"PAGADO",IF(COUNTIF(Q151:AN151,TRUE())&gt;0,"PARCIAL","VIGENTE")))</f>
        <v/>
      </c>
      <c r="Q151" s="19" t="str">
        <f aca="false">IF(OR(I151="",I151&lt;1,O151=""),"",O151+0)</f>
        <v/>
      </c>
      <c r="R151" s="19" t="str">
        <f aca="false">IF(OR(I151="",I151&lt;2,O151=""),"",O151+30)</f>
        <v/>
      </c>
      <c r="S151" s="19" t="str">
        <f aca="false">IF(OR(I151="",I151&lt;3,O151=""),"",O151+60)</f>
        <v/>
      </c>
      <c r="T151" s="19" t="str">
        <f aca="false">IF(OR(I151="",I151&lt;4,O151=""),"",O151+90)</f>
        <v/>
      </c>
      <c r="U151" s="19" t="str">
        <f aca="false">IF(OR(I151="",I151&lt;5,O151=""),"",O151+120)</f>
        <v/>
      </c>
      <c r="V151" s="19" t="str">
        <f aca="false">IF(OR(I151="",I151&lt;6,O151=""),"",O151+150)</f>
        <v/>
      </c>
      <c r="W151" s="19" t="str">
        <f aca="false">IF(OR(I151="",I151&lt;7,O151=""),"",O151+180)</f>
        <v/>
      </c>
      <c r="X151" s="19" t="str">
        <f aca="false">IF(OR(I151="",I151&lt;8,O151=""),"",O151+210)</f>
        <v/>
      </c>
      <c r="Y151" s="19" t="str">
        <f aca="false">IF(OR(I151="",I151&lt;9,O151=""),"",O151+240)</f>
        <v/>
      </c>
      <c r="Z151" s="19" t="str">
        <f aca="false">IF(OR(I151="",I151&lt;10,O151=""),"",O151+270)</f>
        <v/>
      </c>
      <c r="AA151" s="19" t="str">
        <f aca="false">IF(OR(I151="",I151&lt;11,O151=""),"",O151+300)</f>
        <v/>
      </c>
      <c r="AB151" s="19" t="str">
        <f aca="false">IF(OR(I151="",I151&lt;12,O151=""),"",O151+330)</f>
        <v/>
      </c>
      <c r="AC151" s="19" t="str">
        <f aca="false">IF(OR(I151="",I151&lt;13,O151=""),"",O151+360)</f>
        <v/>
      </c>
      <c r="AD151" s="19" t="str">
        <f aca="false">IF(OR(I151="",I151&lt;14,O151=""),"",O151+390)</f>
        <v/>
      </c>
      <c r="AE151" s="19" t="str">
        <f aca="false">IF(OR(I151="",I151&lt;15,O151=""),"",O151+420)</f>
        <v/>
      </c>
      <c r="AF151" s="19" t="str">
        <f aca="false">IF(OR(I151="",I151&lt;16,O151=""),"",O151+450)</f>
        <v/>
      </c>
      <c r="AG151" s="19" t="str">
        <f aca="false">IF(OR(I151="",I151&lt;17,O151=""),"",O151+480)</f>
        <v/>
      </c>
      <c r="AH151" s="19" t="str">
        <f aca="false">IF(OR(I151="",I151&lt;18,O151=""),"",O151+510)</f>
        <v/>
      </c>
      <c r="AI151" s="19" t="str">
        <f aca="false">IF(OR(I151="",I151&lt;19,O151=""),"",O151+540)</f>
        <v/>
      </c>
      <c r="AJ151" s="19" t="str">
        <f aca="false">IF(OR(I151="",I151&lt;20,O151=""),"",O151+570)</f>
        <v/>
      </c>
      <c r="AK151" s="19" t="str">
        <f aca="false">IF(OR(I151="",I151&lt;21,O151=""),"",O151+600)</f>
        <v/>
      </c>
      <c r="AL151" s="19" t="str">
        <f aca="false">IF(OR(I151="",I151&lt;22,O151=""),"",O151+630)</f>
        <v/>
      </c>
      <c r="AM151" s="19" t="str">
        <f aca="false">IF(OR(I151="",I151&lt;23,O151=""),"",O151+660)</f>
        <v/>
      </c>
      <c r="AN151" s="19" t="str">
        <f aca="false">IF(OR(I151="",I151&lt;24,O151=""),"",O151+690)</f>
        <v/>
      </c>
      <c r="AO151" s="15" t="str">
        <f aca="false">IF(J151="","",COUNTIF(Q151:AN151,TRUE())*J151)</f>
        <v/>
      </c>
      <c r="AP151" s="15" t="str">
        <f aca="false">IF(K151="","",K151-AO151)</f>
        <v/>
      </c>
      <c r="AQ151" s="15" t="str">
        <f aca="false">IF(K151="","",K151-F151-IF(N151="",0,N151))</f>
        <v/>
      </c>
    </row>
    <row r="152" customFormat="false" ht="15" hidden="false" customHeight="false" outlineLevel="0" collapsed="false">
      <c r="A152" s="4"/>
      <c r="B152" s="4"/>
      <c r="C152" s="4"/>
      <c r="D152" s="5"/>
      <c r="E152" s="5"/>
      <c r="F152" s="6"/>
      <c r="G152" s="4"/>
      <c r="H152" s="4"/>
      <c r="I152" s="4"/>
      <c r="J152" s="6"/>
      <c r="K152" s="7" t="str">
        <f aca="false">IF(OR(I152="",J152=""),"",I152*J152)</f>
        <v/>
      </c>
      <c r="L152" s="4"/>
      <c r="M152" s="8"/>
      <c r="N152" s="7" t="str">
        <f aca="false">IF(OR(L152="",M152="",K152=""),"",IF(L152="GANANCIA",(K152-F152)*M152,IF(L152="BRUTO",K152*M152,"")))</f>
        <v/>
      </c>
      <c r="O152" s="9" t="str">
        <f aca="false">IF(D152="","",D152)</f>
        <v/>
      </c>
      <c r="P152" s="10" t="str">
        <f aca="false">IF(I152="","",IF(COUNTIF(Q152:AN152,TRUE())&gt;=I152,"PAGADO",IF(COUNTIF(Q152:AN152,TRUE())&gt;0,"PARCIAL","VIGENTE")))</f>
        <v/>
      </c>
      <c r="Q152" s="11" t="str">
        <f aca="false">IF(OR(I152="",I152&lt;1,O152=""),"",O152+0)</f>
        <v/>
      </c>
      <c r="R152" s="11" t="str">
        <f aca="false">IF(OR(I152="",I152&lt;2,O152=""),"",O152+30)</f>
        <v/>
      </c>
      <c r="S152" s="11" t="str">
        <f aca="false">IF(OR(I152="",I152&lt;3,O152=""),"",O152+60)</f>
        <v/>
      </c>
      <c r="T152" s="11" t="str">
        <f aca="false">IF(OR(I152="",I152&lt;4,O152=""),"",O152+90)</f>
        <v/>
      </c>
      <c r="U152" s="11" t="str">
        <f aca="false">IF(OR(I152="",I152&lt;5,O152=""),"",O152+120)</f>
        <v/>
      </c>
      <c r="V152" s="11" t="str">
        <f aca="false">IF(OR(I152="",I152&lt;6,O152=""),"",O152+150)</f>
        <v/>
      </c>
      <c r="W152" s="11" t="str">
        <f aca="false">IF(OR(I152="",I152&lt;7,O152=""),"",O152+180)</f>
        <v/>
      </c>
      <c r="X152" s="11" t="str">
        <f aca="false">IF(OR(I152="",I152&lt;8,O152=""),"",O152+210)</f>
        <v/>
      </c>
      <c r="Y152" s="11" t="str">
        <f aca="false">IF(OR(I152="",I152&lt;9,O152=""),"",O152+240)</f>
        <v/>
      </c>
      <c r="Z152" s="11" t="str">
        <f aca="false">IF(OR(I152="",I152&lt;10,O152=""),"",O152+270)</f>
        <v/>
      </c>
      <c r="AA152" s="11" t="str">
        <f aca="false">IF(OR(I152="",I152&lt;11,O152=""),"",O152+300)</f>
        <v/>
      </c>
      <c r="AB152" s="11" t="str">
        <f aca="false">IF(OR(I152="",I152&lt;12,O152=""),"",O152+330)</f>
        <v/>
      </c>
      <c r="AC152" s="11" t="str">
        <f aca="false">IF(OR(I152="",I152&lt;13,O152=""),"",O152+360)</f>
        <v/>
      </c>
      <c r="AD152" s="11" t="str">
        <f aca="false">IF(OR(I152="",I152&lt;14,O152=""),"",O152+390)</f>
        <v/>
      </c>
      <c r="AE152" s="11" t="str">
        <f aca="false">IF(OR(I152="",I152&lt;15,O152=""),"",O152+420)</f>
        <v/>
      </c>
      <c r="AF152" s="11" t="str">
        <f aca="false">IF(OR(I152="",I152&lt;16,O152=""),"",O152+450)</f>
        <v/>
      </c>
      <c r="AG152" s="11" t="str">
        <f aca="false">IF(OR(I152="",I152&lt;17,O152=""),"",O152+480)</f>
        <v/>
      </c>
      <c r="AH152" s="11" t="str">
        <f aca="false">IF(OR(I152="",I152&lt;18,O152=""),"",O152+510)</f>
        <v/>
      </c>
      <c r="AI152" s="11" t="str">
        <f aca="false">IF(OR(I152="",I152&lt;19,O152=""),"",O152+540)</f>
        <v/>
      </c>
      <c r="AJ152" s="11" t="str">
        <f aca="false">IF(OR(I152="",I152&lt;20,O152=""),"",O152+570)</f>
        <v/>
      </c>
      <c r="AK152" s="11" t="str">
        <f aca="false">IF(OR(I152="",I152&lt;21,O152=""),"",O152+600)</f>
        <v/>
      </c>
      <c r="AL152" s="11" t="str">
        <f aca="false">IF(OR(I152="",I152&lt;22,O152=""),"",O152+630)</f>
        <v/>
      </c>
      <c r="AM152" s="11" t="str">
        <f aca="false">IF(OR(I152="",I152&lt;23,O152=""),"",O152+660)</f>
        <v/>
      </c>
      <c r="AN152" s="11" t="str">
        <f aca="false">IF(OR(I152="",I152&lt;24,O152=""),"",O152+690)</f>
        <v/>
      </c>
      <c r="AO152" s="7" t="str">
        <f aca="false">IF(J152="","",COUNTIF(Q152:AN152,TRUE())*J152)</f>
        <v/>
      </c>
      <c r="AP152" s="7" t="str">
        <f aca="false">IF(K152="","",K152-AO152)</f>
        <v/>
      </c>
      <c r="AQ152" s="7" t="str">
        <f aca="false">IF(K152="","",K152-F152-IF(N152="",0,N152))</f>
        <v/>
      </c>
    </row>
    <row r="153" customFormat="false" ht="15" hidden="false" customHeight="false" outlineLevel="0" collapsed="false">
      <c r="A153" s="12"/>
      <c r="B153" s="12"/>
      <c r="C153" s="12"/>
      <c r="D153" s="13"/>
      <c r="E153" s="13"/>
      <c r="F153" s="14"/>
      <c r="G153" s="12"/>
      <c r="H153" s="12"/>
      <c r="I153" s="12"/>
      <c r="J153" s="14"/>
      <c r="K153" s="15" t="str">
        <f aca="false">IF(OR(I153="",J153=""),"",I153*J153)</f>
        <v/>
      </c>
      <c r="L153" s="12"/>
      <c r="M153" s="16"/>
      <c r="N153" s="15" t="str">
        <f aca="false">IF(OR(L153="",M153="",K153=""),"",IF(L153="GANANCIA",(K153-F153)*M153,IF(L153="BRUTO",K153*M153,"")))</f>
        <v/>
      </c>
      <c r="O153" s="17" t="str">
        <f aca="false">IF(D153="","",D153)</f>
        <v/>
      </c>
      <c r="P153" s="18" t="str">
        <f aca="false">IF(I153="","",IF(COUNTIF(Q153:AN153,TRUE())&gt;=I153,"PAGADO",IF(COUNTIF(Q153:AN153,TRUE())&gt;0,"PARCIAL","VIGENTE")))</f>
        <v/>
      </c>
      <c r="Q153" s="19" t="str">
        <f aca="false">IF(OR(I153="",I153&lt;1,O153=""),"",O153+0)</f>
        <v/>
      </c>
      <c r="R153" s="19" t="str">
        <f aca="false">IF(OR(I153="",I153&lt;2,O153=""),"",O153+30)</f>
        <v/>
      </c>
      <c r="S153" s="19" t="str">
        <f aca="false">IF(OR(I153="",I153&lt;3,O153=""),"",O153+60)</f>
        <v/>
      </c>
      <c r="T153" s="19" t="str">
        <f aca="false">IF(OR(I153="",I153&lt;4,O153=""),"",O153+90)</f>
        <v/>
      </c>
      <c r="U153" s="19" t="str">
        <f aca="false">IF(OR(I153="",I153&lt;5,O153=""),"",O153+120)</f>
        <v/>
      </c>
      <c r="V153" s="19" t="str">
        <f aca="false">IF(OR(I153="",I153&lt;6,O153=""),"",O153+150)</f>
        <v/>
      </c>
      <c r="W153" s="19" t="str">
        <f aca="false">IF(OR(I153="",I153&lt;7,O153=""),"",O153+180)</f>
        <v/>
      </c>
      <c r="X153" s="19" t="str">
        <f aca="false">IF(OR(I153="",I153&lt;8,O153=""),"",O153+210)</f>
        <v/>
      </c>
      <c r="Y153" s="19" t="str">
        <f aca="false">IF(OR(I153="",I153&lt;9,O153=""),"",O153+240)</f>
        <v/>
      </c>
      <c r="Z153" s="19" t="str">
        <f aca="false">IF(OR(I153="",I153&lt;10,O153=""),"",O153+270)</f>
        <v/>
      </c>
      <c r="AA153" s="19" t="str">
        <f aca="false">IF(OR(I153="",I153&lt;11,O153=""),"",O153+300)</f>
        <v/>
      </c>
      <c r="AB153" s="19" t="str">
        <f aca="false">IF(OR(I153="",I153&lt;12,O153=""),"",O153+330)</f>
        <v/>
      </c>
      <c r="AC153" s="19" t="str">
        <f aca="false">IF(OR(I153="",I153&lt;13,O153=""),"",O153+360)</f>
        <v/>
      </c>
      <c r="AD153" s="19" t="str">
        <f aca="false">IF(OR(I153="",I153&lt;14,O153=""),"",O153+390)</f>
        <v/>
      </c>
      <c r="AE153" s="19" t="str">
        <f aca="false">IF(OR(I153="",I153&lt;15,O153=""),"",O153+420)</f>
        <v/>
      </c>
      <c r="AF153" s="19" t="str">
        <f aca="false">IF(OR(I153="",I153&lt;16,O153=""),"",O153+450)</f>
        <v/>
      </c>
      <c r="AG153" s="19" t="str">
        <f aca="false">IF(OR(I153="",I153&lt;17,O153=""),"",O153+480)</f>
        <v/>
      </c>
      <c r="AH153" s="19" t="str">
        <f aca="false">IF(OR(I153="",I153&lt;18,O153=""),"",O153+510)</f>
        <v/>
      </c>
      <c r="AI153" s="19" t="str">
        <f aca="false">IF(OR(I153="",I153&lt;19,O153=""),"",O153+540)</f>
        <v/>
      </c>
      <c r="AJ153" s="19" t="str">
        <f aca="false">IF(OR(I153="",I153&lt;20,O153=""),"",O153+570)</f>
        <v/>
      </c>
      <c r="AK153" s="19" t="str">
        <f aca="false">IF(OR(I153="",I153&lt;21,O153=""),"",O153+600)</f>
        <v/>
      </c>
      <c r="AL153" s="19" t="str">
        <f aca="false">IF(OR(I153="",I153&lt;22,O153=""),"",O153+630)</f>
        <v/>
      </c>
      <c r="AM153" s="19" t="str">
        <f aca="false">IF(OR(I153="",I153&lt;23,O153=""),"",O153+660)</f>
        <v/>
      </c>
      <c r="AN153" s="19" t="str">
        <f aca="false">IF(OR(I153="",I153&lt;24,O153=""),"",O153+690)</f>
        <v/>
      </c>
      <c r="AO153" s="15" t="str">
        <f aca="false">IF(J153="","",COUNTIF(Q153:AN153,TRUE())*J153)</f>
        <v/>
      </c>
      <c r="AP153" s="15" t="str">
        <f aca="false">IF(K153="","",K153-AO153)</f>
        <v/>
      </c>
      <c r="AQ153" s="15" t="str">
        <f aca="false">IF(K153="","",K153-F153-IF(N153="",0,N153))</f>
        <v/>
      </c>
    </row>
    <row r="154" customFormat="false" ht="15" hidden="false" customHeight="false" outlineLevel="0" collapsed="false">
      <c r="A154" s="4"/>
      <c r="B154" s="4"/>
      <c r="C154" s="4"/>
      <c r="D154" s="5"/>
      <c r="E154" s="5"/>
      <c r="F154" s="6"/>
      <c r="G154" s="4"/>
      <c r="H154" s="4"/>
      <c r="I154" s="4"/>
      <c r="J154" s="6"/>
      <c r="K154" s="7" t="str">
        <f aca="false">IF(OR(I154="",J154=""),"",I154*J154)</f>
        <v/>
      </c>
      <c r="L154" s="4"/>
      <c r="M154" s="8"/>
      <c r="N154" s="7" t="str">
        <f aca="false">IF(OR(L154="",M154="",K154=""),"",IF(L154="GANANCIA",(K154-F154)*M154,IF(L154="BRUTO",K154*M154,"")))</f>
        <v/>
      </c>
      <c r="O154" s="9" t="str">
        <f aca="false">IF(D154="","",D154)</f>
        <v/>
      </c>
      <c r="P154" s="10" t="str">
        <f aca="false">IF(I154="","",IF(COUNTIF(Q154:AN154,TRUE())&gt;=I154,"PAGADO",IF(COUNTIF(Q154:AN154,TRUE())&gt;0,"PARCIAL","VIGENTE")))</f>
        <v/>
      </c>
      <c r="Q154" s="11" t="str">
        <f aca="false">IF(OR(I154="",I154&lt;1,O154=""),"",O154+0)</f>
        <v/>
      </c>
      <c r="R154" s="11" t="str">
        <f aca="false">IF(OR(I154="",I154&lt;2,O154=""),"",O154+30)</f>
        <v/>
      </c>
      <c r="S154" s="11" t="str">
        <f aca="false">IF(OR(I154="",I154&lt;3,O154=""),"",O154+60)</f>
        <v/>
      </c>
      <c r="T154" s="11" t="str">
        <f aca="false">IF(OR(I154="",I154&lt;4,O154=""),"",O154+90)</f>
        <v/>
      </c>
      <c r="U154" s="11" t="str">
        <f aca="false">IF(OR(I154="",I154&lt;5,O154=""),"",O154+120)</f>
        <v/>
      </c>
      <c r="V154" s="11" t="str">
        <f aca="false">IF(OR(I154="",I154&lt;6,O154=""),"",O154+150)</f>
        <v/>
      </c>
      <c r="W154" s="11" t="str">
        <f aca="false">IF(OR(I154="",I154&lt;7,O154=""),"",O154+180)</f>
        <v/>
      </c>
      <c r="X154" s="11" t="str">
        <f aca="false">IF(OR(I154="",I154&lt;8,O154=""),"",O154+210)</f>
        <v/>
      </c>
      <c r="Y154" s="11" t="str">
        <f aca="false">IF(OR(I154="",I154&lt;9,O154=""),"",O154+240)</f>
        <v/>
      </c>
      <c r="Z154" s="11" t="str">
        <f aca="false">IF(OR(I154="",I154&lt;10,O154=""),"",O154+270)</f>
        <v/>
      </c>
      <c r="AA154" s="11" t="str">
        <f aca="false">IF(OR(I154="",I154&lt;11,O154=""),"",O154+300)</f>
        <v/>
      </c>
      <c r="AB154" s="11" t="str">
        <f aca="false">IF(OR(I154="",I154&lt;12,O154=""),"",O154+330)</f>
        <v/>
      </c>
      <c r="AC154" s="11" t="str">
        <f aca="false">IF(OR(I154="",I154&lt;13,O154=""),"",O154+360)</f>
        <v/>
      </c>
      <c r="AD154" s="11" t="str">
        <f aca="false">IF(OR(I154="",I154&lt;14,O154=""),"",O154+390)</f>
        <v/>
      </c>
      <c r="AE154" s="11" t="str">
        <f aca="false">IF(OR(I154="",I154&lt;15,O154=""),"",O154+420)</f>
        <v/>
      </c>
      <c r="AF154" s="11" t="str">
        <f aca="false">IF(OR(I154="",I154&lt;16,O154=""),"",O154+450)</f>
        <v/>
      </c>
      <c r="AG154" s="11" t="str">
        <f aca="false">IF(OR(I154="",I154&lt;17,O154=""),"",O154+480)</f>
        <v/>
      </c>
      <c r="AH154" s="11" t="str">
        <f aca="false">IF(OR(I154="",I154&lt;18,O154=""),"",O154+510)</f>
        <v/>
      </c>
      <c r="AI154" s="11" t="str">
        <f aca="false">IF(OR(I154="",I154&lt;19,O154=""),"",O154+540)</f>
        <v/>
      </c>
      <c r="AJ154" s="11" t="str">
        <f aca="false">IF(OR(I154="",I154&lt;20,O154=""),"",O154+570)</f>
        <v/>
      </c>
      <c r="AK154" s="11" t="str">
        <f aca="false">IF(OR(I154="",I154&lt;21,O154=""),"",O154+600)</f>
        <v/>
      </c>
      <c r="AL154" s="11" t="str">
        <f aca="false">IF(OR(I154="",I154&lt;22,O154=""),"",O154+630)</f>
        <v/>
      </c>
      <c r="AM154" s="11" t="str">
        <f aca="false">IF(OR(I154="",I154&lt;23,O154=""),"",O154+660)</f>
        <v/>
      </c>
      <c r="AN154" s="11" t="str">
        <f aca="false">IF(OR(I154="",I154&lt;24,O154=""),"",O154+690)</f>
        <v/>
      </c>
      <c r="AO154" s="7" t="str">
        <f aca="false">IF(J154="","",COUNTIF(Q154:AN154,TRUE())*J154)</f>
        <v/>
      </c>
      <c r="AP154" s="7" t="str">
        <f aca="false">IF(K154="","",K154-AO154)</f>
        <v/>
      </c>
      <c r="AQ154" s="7" t="str">
        <f aca="false">IF(K154="","",K154-F154-IF(N154="",0,N154))</f>
        <v/>
      </c>
    </row>
    <row r="155" customFormat="false" ht="15" hidden="false" customHeight="false" outlineLevel="0" collapsed="false">
      <c r="A155" s="12"/>
      <c r="B155" s="12"/>
      <c r="C155" s="12"/>
      <c r="D155" s="13"/>
      <c r="E155" s="13"/>
      <c r="F155" s="14"/>
      <c r="G155" s="12"/>
      <c r="H155" s="12"/>
      <c r="I155" s="12"/>
      <c r="J155" s="14"/>
      <c r="K155" s="15" t="str">
        <f aca="false">IF(OR(I155="",J155=""),"",I155*J155)</f>
        <v/>
      </c>
      <c r="L155" s="12"/>
      <c r="M155" s="16"/>
      <c r="N155" s="15" t="str">
        <f aca="false">IF(OR(L155="",M155="",K155=""),"",IF(L155="GANANCIA",(K155-F155)*M155,IF(L155="BRUTO",K155*M155,"")))</f>
        <v/>
      </c>
      <c r="O155" s="17" t="str">
        <f aca="false">IF(D155="","",D155)</f>
        <v/>
      </c>
      <c r="P155" s="18" t="str">
        <f aca="false">IF(I155="","",IF(COUNTIF(Q155:AN155,TRUE())&gt;=I155,"PAGADO",IF(COUNTIF(Q155:AN155,TRUE())&gt;0,"PARCIAL","VIGENTE")))</f>
        <v/>
      </c>
      <c r="Q155" s="19" t="str">
        <f aca="false">IF(OR(I155="",I155&lt;1,O155=""),"",O155+0)</f>
        <v/>
      </c>
      <c r="R155" s="19" t="str">
        <f aca="false">IF(OR(I155="",I155&lt;2,O155=""),"",O155+30)</f>
        <v/>
      </c>
      <c r="S155" s="19" t="str">
        <f aca="false">IF(OR(I155="",I155&lt;3,O155=""),"",O155+60)</f>
        <v/>
      </c>
      <c r="T155" s="19" t="str">
        <f aca="false">IF(OR(I155="",I155&lt;4,O155=""),"",O155+90)</f>
        <v/>
      </c>
      <c r="U155" s="19" t="str">
        <f aca="false">IF(OR(I155="",I155&lt;5,O155=""),"",O155+120)</f>
        <v/>
      </c>
      <c r="V155" s="19" t="str">
        <f aca="false">IF(OR(I155="",I155&lt;6,O155=""),"",O155+150)</f>
        <v/>
      </c>
      <c r="W155" s="19" t="str">
        <f aca="false">IF(OR(I155="",I155&lt;7,O155=""),"",O155+180)</f>
        <v/>
      </c>
      <c r="X155" s="19" t="str">
        <f aca="false">IF(OR(I155="",I155&lt;8,O155=""),"",O155+210)</f>
        <v/>
      </c>
      <c r="Y155" s="19" t="str">
        <f aca="false">IF(OR(I155="",I155&lt;9,O155=""),"",O155+240)</f>
        <v/>
      </c>
      <c r="Z155" s="19" t="str">
        <f aca="false">IF(OR(I155="",I155&lt;10,O155=""),"",O155+270)</f>
        <v/>
      </c>
      <c r="AA155" s="19" t="str">
        <f aca="false">IF(OR(I155="",I155&lt;11,O155=""),"",O155+300)</f>
        <v/>
      </c>
      <c r="AB155" s="19" t="str">
        <f aca="false">IF(OR(I155="",I155&lt;12,O155=""),"",O155+330)</f>
        <v/>
      </c>
      <c r="AC155" s="19" t="str">
        <f aca="false">IF(OR(I155="",I155&lt;13,O155=""),"",O155+360)</f>
        <v/>
      </c>
      <c r="AD155" s="19" t="str">
        <f aca="false">IF(OR(I155="",I155&lt;14,O155=""),"",O155+390)</f>
        <v/>
      </c>
      <c r="AE155" s="19" t="str">
        <f aca="false">IF(OR(I155="",I155&lt;15,O155=""),"",O155+420)</f>
        <v/>
      </c>
      <c r="AF155" s="19" t="str">
        <f aca="false">IF(OR(I155="",I155&lt;16,O155=""),"",O155+450)</f>
        <v/>
      </c>
      <c r="AG155" s="19" t="str">
        <f aca="false">IF(OR(I155="",I155&lt;17,O155=""),"",O155+480)</f>
        <v/>
      </c>
      <c r="AH155" s="19" t="str">
        <f aca="false">IF(OR(I155="",I155&lt;18,O155=""),"",O155+510)</f>
        <v/>
      </c>
      <c r="AI155" s="19" t="str">
        <f aca="false">IF(OR(I155="",I155&lt;19,O155=""),"",O155+540)</f>
        <v/>
      </c>
      <c r="AJ155" s="19" t="str">
        <f aca="false">IF(OR(I155="",I155&lt;20,O155=""),"",O155+570)</f>
        <v/>
      </c>
      <c r="AK155" s="19" t="str">
        <f aca="false">IF(OR(I155="",I155&lt;21,O155=""),"",O155+600)</f>
        <v/>
      </c>
      <c r="AL155" s="19" t="str">
        <f aca="false">IF(OR(I155="",I155&lt;22,O155=""),"",O155+630)</f>
        <v/>
      </c>
      <c r="AM155" s="19" t="str">
        <f aca="false">IF(OR(I155="",I155&lt;23,O155=""),"",O155+660)</f>
        <v/>
      </c>
      <c r="AN155" s="19" t="str">
        <f aca="false">IF(OR(I155="",I155&lt;24,O155=""),"",O155+690)</f>
        <v/>
      </c>
      <c r="AO155" s="15" t="str">
        <f aca="false">IF(J155="","",COUNTIF(Q155:AN155,TRUE())*J155)</f>
        <v/>
      </c>
      <c r="AP155" s="15" t="str">
        <f aca="false">IF(K155="","",K155-AO155)</f>
        <v/>
      </c>
      <c r="AQ155" s="15" t="str">
        <f aca="false">IF(K155="","",K155-F155-IF(N155="",0,N155))</f>
        <v/>
      </c>
    </row>
    <row r="156" customFormat="false" ht="15" hidden="false" customHeight="false" outlineLevel="0" collapsed="false">
      <c r="A156" s="4"/>
      <c r="B156" s="4"/>
      <c r="C156" s="4"/>
      <c r="D156" s="5"/>
      <c r="E156" s="5"/>
      <c r="F156" s="6"/>
      <c r="G156" s="4"/>
      <c r="H156" s="4"/>
      <c r="I156" s="4"/>
      <c r="J156" s="6"/>
      <c r="K156" s="7" t="str">
        <f aca="false">IF(OR(I156="",J156=""),"",I156*J156)</f>
        <v/>
      </c>
      <c r="L156" s="4"/>
      <c r="M156" s="8"/>
      <c r="N156" s="7" t="str">
        <f aca="false">IF(OR(L156="",M156="",K156=""),"",IF(L156="GANANCIA",(K156-F156)*M156,IF(L156="BRUTO",K156*M156,"")))</f>
        <v/>
      </c>
      <c r="O156" s="9" t="str">
        <f aca="false">IF(D156="","",D156)</f>
        <v/>
      </c>
      <c r="P156" s="10" t="str">
        <f aca="false">IF(I156="","",IF(COUNTIF(Q156:AN156,TRUE())&gt;=I156,"PAGADO",IF(COUNTIF(Q156:AN156,TRUE())&gt;0,"PARCIAL","VIGENTE")))</f>
        <v/>
      </c>
      <c r="Q156" s="11" t="str">
        <f aca="false">IF(OR(I156="",I156&lt;1,O156=""),"",O156+0)</f>
        <v/>
      </c>
      <c r="R156" s="11" t="str">
        <f aca="false">IF(OR(I156="",I156&lt;2,O156=""),"",O156+30)</f>
        <v/>
      </c>
      <c r="S156" s="11" t="str">
        <f aca="false">IF(OR(I156="",I156&lt;3,O156=""),"",O156+60)</f>
        <v/>
      </c>
      <c r="T156" s="11" t="str">
        <f aca="false">IF(OR(I156="",I156&lt;4,O156=""),"",O156+90)</f>
        <v/>
      </c>
      <c r="U156" s="11" t="str">
        <f aca="false">IF(OR(I156="",I156&lt;5,O156=""),"",O156+120)</f>
        <v/>
      </c>
      <c r="V156" s="11" t="str">
        <f aca="false">IF(OR(I156="",I156&lt;6,O156=""),"",O156+150)</f>
        <v/>
      </c>
      <c r="W156" s="11" t="str">
        <f aca="false">IF(OR(I156="",I156&lt;7,O156=""),"",O156+180)</f>
        <v/>
      </c>
      <c r="X156" s="11" t="str">
        <f aca="false">IF(OR(I156="",I156&lt;8,O156=""),"",O156+210)</f>
        <v/>
      </c>
      <c r="Y156" s="11" t="str">
        <f aca="false">IF(OR(I156="",I156&lt;9,O156=""),"",O156+240)</f>
        <v/>
      </c>
      <c r="Z156" s="11" t="str">
        <f aca="false">IF(OR(I156="",I156&lt;10,O156=""),"",O156+270)</f>
        <v/>
      </c>
      <c r="AA156" s="11" t="str">
        <f aca="false">IF(OR(I156="",I156&lt;11,O156=""),"",O156+300)</f>
        <v/>
      </c>
      <c r="AB156" s="11" t="str">
        <f aca="false">IF(OR(I156="",I156&lt;12,O156=""),"",O156+330)</f>
        <v/>
      </c>
      <c r="AC156" s="11" t="str">
        <f aca="false">IF(OR(I156="",I156&lt;13,O156=""),"",O156+360)</f>
        <v/>
      </c>
      <c r="AD156" s="11" t="str">
        <f aca="false">IF(OR(I156="",I156&lt;14,O156=""),"",O156+390)</f>
        <v/>
      </c>
      <c r="AE156" s="11" t="str">
        <f aca="false">IF(OR(I156="",I156&lt;15,O156=""),"",O156+420)</f>
        <v/>
      </c>
      <c r="AF156" s="11" t="str">
        <f aca="false">IF(OR(I156="",I156&lt;16,O156=""),"",O156+450)</f>
        <v/>
      </c>
      <c r="AG156" s="11" t="str">
        <f aca="false">IF(OR(I156="",I156&lt;17,O156=""),"",O156+480)</f>
        <v/>
      </c>
      <c r="AH156" s="11" t="str">
        <f aca="false">IF(OR(I156="",I156&lt;18,O156=""),"",O156+510)</f>
        <v/>
      </c>
      <c r="AI156" s="11" t="str">
        <f aca="false">IF(OR(I156="",I156&lt;19,O156=""),"",O156+540)</f>
        <v/>
      </c>
      <c r="AJ156" s="11" t="str">
        <f aca="false">IF(OR(I156="",I156&lt;20,O156=""),"",O156+570)</f>
        <v/>
      </c>
      <c r="AK156" s="11" t="str">
        <f aca="false">IF(OR(I156="",I156&lt;21,O156=""),"",O156+600)</f>
        <v/>
      </c>
      <c r="AL156" s="11" t="str">
        <f aca="false">IF(OR(I156="",I156&lt;22,O156=""),"",O156+630)</f>
        <v/>
      </c>
      <c r="AM156" s="11" t="str">
        <f aca="false">IF(OR(I156="",I156&lt;23,O156=""),"",O156+660)</f>
        <v/>
      </c>
      <c r="AN156" s="11" t="str">
        <f aca="false">IF(OR(I156="",I156&lt;24,O156=""),"",O156+690)</f>
        <v/>
      </c>
      <c r="AO156" s="7" t="str">
        <f aca="false">IF(J156="","",COUNTIF(Q156:AN156,TRUE())*J156)</f>
        <v/>
      </c>
      <c r="AP156" s="7" t="str">
        <f aca="false">IF(K156="","",K156-AO156)</f>
        <v/>
      </c>
      <c r="AQ156" s="7" t="str">
        <f aca="false">IF(K156="","",K156-F156-IF(N156="",0,N156))</f>
        <v/>
      </c>
    </row>
    <row r="157" customFormat="false" ht="15" hidden="false" customHeight="false" outlineLevel="0" collapsed="false">
      <c r="A157" s="12"/>
      <c r="B157" s="12"/>
      <c r="C157" s="12"/>
      <c r="D157" s="13"/>
      <c r="E157" s="13"/>
      <c r="F157" s="14"/>
      <c r="G157" s="12"/>
      <c r="H157" s="12"/>
      <c r="I157" s="12"/>
      <c r="J157" s="14"/>
      <c r="K157" s="15" t="str">
        <f aca="false">IF(OR(I157="",J157=""),"",I157*J157)</f>
        <v/>
      </c>
      <c r="L157" s="12"/>
      <c r="M157" s="16"/>
      <c r="N157" s="15" t="str">
        <f aca="false">IF(OR(L157="",M157="",K157=""),"",IF(L157="GANANCIA",(K157-F157)*M157,IF(L157="BRUTO",K157*M157,"")))</f>
        <v/>
      </c>
      <c r="O157" s="17" t="str">
        <f aca="false">IF(D157="","",D157)</f>
        <v/>
      </c>
      <c r="P157" s="18" t="str">
        <f aca="false">IF(I157="","",IF(COUNTIF(Q157:AN157,TRUE())&gt;=I157,"PAGADO",IF(COUNTIF(Q157:AN157,TRUE())&gt;0,"PARCIAL","VIGENTE")))</f>
        <v/>
      </c>
      <c r="Q157" s="19" t="str">
        <f aca="false">IF(OR(I157="",I157&lt;1,O157=""),"",O157+0)</f>
        <v/>
      </c>
      <c r="R157" s="19" t="str">
        <f aca="false">IF(OR(I157="",I157&lt;2,O157=""),"",O157+30)</f>
        <v/>
      </c>
      <c r="S157" s="19" t="str">
        <f aca="false">IF(OR(I157="",I157&lt;3,O157=""),"",O157+60)</f>
        <v/>
      </c>
      <c r="T157" s="19" t="str">
        <f aca="false">IF(OR(I157="",I157&lt;4,O157=""),"",O157+90)</f>
        <v/>
      </c>
      <c r="U157" s="19" t="str">
        <f aca="false">IF(OR(I157="",I157&lt;5,O157=""),"",O157+120)</f>
        <v/>
      </c>
      <c r="V157" s="19" t="str">
        <f aca="false">IF(OR(I157="",I157&lt;6,O157=""),"",O157+150)</f>
        <v/>
      </c>
      <c r="W157" s="19" t="str">
        <f aca="false">IF(OR(I157="",I157&lt;7,O157=""),"",O157+180)</f>
        <v/>
      </c>
      <c r="X157" s="19" t="str">
        <f aca="false">IF(OR(I157="",I157&lt;8,O157=""),"",O157+210)</f>
        <v/>
      </c>
      <c r="Y157" s="19" t="str">
        <f aca="false">IF(OR(I157="",I157&lt;9,O157=""),"",O157+240)</f>
        <v/>
      </c>
      <c r="Z157" s="19" t="str">
        <f aca="false">IF(OR(I157="",I157&lt;10,O157=""),"",O157+270)</f>
        <v/>
      </c>
      <c r="AA157" s="19" t="str">
        <f aca="false">IF(OR(I157="",I157&lt;11,O157=""),"",O157+300)</f>
        <v/>
      </c>
      <c r="AB157" s="19" t="str">
        <f aca="false">IF(OR(I157="",I157&lt;12,O157=""),"",O157+330)</f>
        <v/>
      </c>
      <c r="AC157" s="19" t="str">
        <f aca="false">IF(OR(I157="",I157&lt;13,O157=""),"",O157+360)</f>
        <v/>
      </c>
      <c r="AD157" s="19" t="str">
        <f aca="false">IF(OR(I157="",I157&lt;14,O157=""),"",O157+390)</f>
        <v/>
      </c>
      <c r="AE157" s="19" t="str">
        <f aca="false">IF(OR(I157="",I157&lt;15,O157=""),"",O157+420)</f>
        <v/>
      </c>
      <c r="AF157" s="19" t="str">
        <f aca="false">IF(OR(I157="",I157&lt;16,O157=""),"",O157+450)</f>
        <v/>
      </c>
      <c r="AG157" s="19" t="str">
        <f aca="false">IF(OR(I157="",I157&lt;17,O157=""),"",O157+480)</f>
        <v/>
      </c>
      <c r="AH157" s="19" t="str">
        <f aca="false">IF(OR(I157="",I157&lt;18,O157=""),"",O157+510)</f>
        <v/>
      </c>
      <c r="AI157" s="19" t="str">
        <f aca="false">IF(OR(I157="",I157&lt;19,O157=""),"",O157+540)</f>
        <v/>
      </c>
      <c r="AJ157" s="19" t="str">
        <f aca="false">IF(OR(I157="",I157&lt;20,O157=""),"",O157+570)</f>
        <v/>
      </c>
      <c r="AK157" s="19" t="str">
        <f aca="false">IF(OR(I157="",I157&lt;21,O157=""),"",O157+600)</f>
        <v/>
      </c>
      <c r="AL157" s="19" t="str">
        <f aca="false">IF(OR(I157="",I157&lt;22,O157=""),"",O157+630)</f>
        <v/>
      </c>
      <c r="AM157" s="19" t="str">
        <f aca="false">IF(OR(I157="",I157&lt;23,O157=""),"",O157+660)</f>
        <v/>
      </c>
      <c r="AN157" s="19" t="str">
        <f aca="false">IF(OR(I157="",I157&lt;24,O157=""),"",O157+690)</f>
        <v/>
      </c>
      <c r="AO157" s="15" t="str">
        <f aca="false">IF(J157="","",COUNTIF(Q157:AN157,TRUE())*J157)</f>
        <v/>
      </c>
      <c r="AP157" s="15" t="str">
        <f aca="false">IF(K157="","",K157-AO157)</f>
        <v/>
      </c>
      <c r="AQ157" s="15" t="str">
        <f aca="false">IF(K157="","",K157-F157-IF(N157="",0,N157))</f>
        <v/>
      </c>
    </row>
    <row r="158" customFormat="false" ht="15" hidden="false" customHeight="false" outlineLevel="0" collapsed="false">
      <c r="A158" s="4"/>
      <c r="B158" s="4"/>
      <c r="C158" s="4"/>
      <c r="D158" s="5"/>
      <c r="E158" s="5"/>
      <c r="F158" s="6"/>
      <c r="G158" s="4"/>
      <c r="H158" s="4"/>
      <c r="I158" s="4"/>
      <c r="J158" s="6"/>
      <c r="K158" s="7" t="str">
        <f aca="false">IF(OR(I158="",J158=""),"",I158*J158)</f>
        <v/>
      </c>
      <c r="L158" s="4"/>
      <c r="M158" s="8"/>
      <c r="N158" s="7" t="str">
        <f aca="false">IF(OR(L158="",M158="",K158=""),"",IF(L158="GANANCIA",(K158-F158)*M158,IF(L158="BRUTO",K158*M158,"")))</f>
        <v/>
      </c>
      <c r="O158" s="9" t="str">
        <f aca="false">IF(D158="","",D158)</f>
        <v/>
      </c>
      <c r="P158" s="10" t="str">
        <f aca="false">IF(I158="","",IF(COUNTIF(Q158:AN158,TRUE())&gt;=I158,"PAGADO",IF(COUNTIF(Q158:AN158,TRUE())&gt;0,"PARCIAL","VIGENTE")))</f>
        <v/>
      </c>
      <c r="Q158" s="11" t="str">
        <f aca="false">IF(OR(I158="",I158&lt;1,O158=""),"",O158+0)</f>
        <v/>
      </c>
      <c r="R158" s="11" t="str">
        <f aca="false">IF(OR(I158="",I158&lt;2,O158=""),"",O158+30)</f>
        <v/>
      </c>
      <c r="S158" s="11" t="str">
        <f aca="false">IF(OR(I158="",I158&lt;3,O158=""),"",O158+60)</f>
        <v/>
      </c>
      <c r="T158" s="11" t="str">
        <f aca="false">IF(OR(I158="",I158&lt;4,O158=""),"",O158+90)</f>
        <v/>
      </c>
      <c r="U158" s="11" t="str">
        <f aca="false">IF(OR(I158="",I158&lt;5,O158=""),"",O158+120)</f>
        <v/>
      </c>
      <c r="V158" s="11" t="str">
        <f aca="false">IF(OR(I158="",I158&lt;6,O158=""),"",O158+150)</f>
        <v/>
      </c>
      <c r="W158" s="11" t="str">
        <f aca="false">IF(OR(I158="",I158&lt;7,O158=""),"",O158+180)</f>
        <v/>
      </c>
      <c r="X158" s="11" t="str">
        <f aca="false">IF(OR(I158="",I158&lt;8,O158=""),"",O158+210)</f>
        <v/>
      </c>
      <c r="Y158" s="11" t="str">
        <f aca="false">IF(OR(I158="",I158&lt;9,O158=""),"",O158+240)</f>
        <v/>
      </c>
      <c r="Z158" s="11" t="str">
        <f aca="false">IF(OR(I158="",I158&lt;10,O158=""),"",O158+270)</f>
        <v/>
      </c>
      <c r="AA158" s="11" t="str">
        <f aca="false">IF(OR(I158="",I158&lt;11,O158=""),"",O158+300)</f>
        <v/>
      </c>
      <c r="AB158" s="11" t="str">
        <f aca="false">IF(OR(I158="",I158&lt;12,O158=""),"",O158+330)</f>
        <v/>
      </c>
      <c r="AC158" s="11" t="str">
        <f aca="false">IF(OR(I158="",I158&lt;13,O158=""),"",O158+360)</f>
        <v/>
      </c>
      <c r="AD158" s="11" t="str">
        <f aca="false">IF(OR(I158="",I158&lt;14,O158=""),"",O158+390)</f>
        <v/>
      </c>
      <c r="AE158" s="11" t="str">
        <f aca="false">IF(OR(I158="",I158&lt;15,O158=""),"",O158+420)</f>
        <v/>
      </c>
      <c r="AF158" s="11" t="str">
        <f aca="false">IF(OR(I158="",I158&lt;16,O158=""),"",O158+450)</f>
        <v/>
      </c>
      <c r="AG158" s="11" t="str">
        <f aca="false">IF(OR(I158="",I158&lt;17,O158=""),"",O158+480)</f>
        <v/>
      </c>
      <c r="AH158" s="11" t="str">
        <f aca="false">IF(OR(I158="",I158&lt;18,O158=""),"",O158+510)</f>
        <v/>
      </c>
      <c r="AI158" s="11" t="str">
        <f aca="false">IF(OR(I158="",I158&lt;19,O158=""),"",O158+540)</f>
        <v/>
      </c>
      <c r="AJ158" s="11" t="str">
        <f aca="false">IF(OR(I158="",I158&lt;20,O158=""),"",O158+570)</f>
        <v/>
      </c>
      <c r="AK158" s="11" t="str">
        <f aca="false">IF(OR(I158="",I158&lt;21,O158=""),"",O158+600)</f>
        <v/>
      </c>
      <c r="AL158" s="11" t="str">
        <f aca="false">IF(OR(I158="",I158&lt;22,O158=""),"",O158+630)</f>
        <v/>
      </c>
      <c r="AM158" s="11" t="str">
        <f aca="false">IF(OR(I158="",I158&lt;23,O158=""),"",O158+660)</f>
        <v/>
      </c>
      <c r="AN158" s="11" t="str">
        <f aca="false">IF(OR(I158="",I158&lt;24,O158=""),"",O158+690)</f>
        <v/>
      </c>
      <c r="AO158" s="7" t="str">
        <f aca="false">IF(J158="","",COUNTIF(Q158:AN158,TRUE())*J158)</f>
        <v/>
      </c>
      <c r="AP158" s="7" t="str">
        <f aca="false">IF(K158="","",K158-AO158)</f>
        <v/>
      </c>
      <c r="AQ158" s="7" t="str">
        <f aca="false">IF(K158="","",K158-F158-IF(N158="",0,N158))</f>
        <v/>
      </c>
    </row>
    <row r="159" customFormat="false" ht="15" hidden="false" customHeight="false" outlineLevel="0" collapsed="false">
      <c r="A159" s="12"/>
      <c r="B159" s="12"/>
      <c r="C159" s="12"/>
      <c r="D159" s="13"/>
      <c r="E159" s="13"/>
      <c r="F159" s="14"/>
      <c r="G159" s="12"/>
      <c r="H159" s="12"/>
      <c r="I159" s="12"/>
      <c r="J159" s="14"/>
      <c r="K159" s="15" t="str">
        <f aca="false">IF(OR(I159="",J159=""),"",I159*J159)</f>
        <v/>
      </c>
      <c r="L159" s="12"/>
      <c r="M159" s="16"/>
      <c r="N159" s="15" t="str">
        <f aca="false">IF(OR(L159="",M159="",K159=""),"",IF(L159="GANANCIA",(K159-F159)*M159,IF(L159="BRUTO",K159*M159,"")))</f>
        <v/>
      </c>
      <c r="O159" s="17" t="str">
        <f aca="false">IF(D159="","",D159)</f>
        <v/>
      </c>
      <c r="P159" s="18" t="str">
        <f aca="false">IF(I159="","",IF(COUNTIF(Q159:AN159,TRUE())&gt;=I159,"PAGADO",IF(COUNTIF(Q159:AN159,TRUE())&gt;0,"PARCIAL","VIGENTE")))</f>
        <v/>
      </c>
      <c r="Q159" s="19" t="str">
        <f aca="false">IF(OR(I159="",I159&lt;1,O159=""),"",O159+0)</f>
        <v/>
      </c>
      <c r="R159" s="19" t="str">
        <f aca="false">IF(OR(I159="",I159&lt;2,O159=""),"",O159+30)</f>
        <v/>
      </c>
      <c r="S159" s="19" t="str">
        <f aca="false">IF(OR(I159="",I159&lt;3,O159=""),"",O159+60)</f>
        <v/>
      </c>
      <c r="T159" s="19" t="str">
        <f aca="false">IF(OR(I159="",I159&lt;4,O159=""),"",O159+90)</f>
        <v/>
      </c>
      <c r="U159" s="19" t="str">
        <f aca="false">IF(OR(I159="",I159&lt;5,O159=""),"",O159+120)</f>
        <v/>
      </c>
      <c r="V159" s="19" t="str">
        <f aca="false">IF(OR(I159="",I159&lt;6,O159=""),"",O159+150)</f>
        <v/>
      </c>
      <c r="W159" s="19" t="str">
        <f aca="false">IF(OR(I159="",I159&lt;7,O159=""),"",O159+180)</f>
        <v/>
      </c>
      <c r="X159" s="19" t="str">
        <f aca="false">IF(OR(I159="",I159&lt;8,O159=""),"",O159+210)</f>
        <v/>
      </c>
      <c r="Y159" s="19" t="str">
        <f aca="false">IF(OR(I159="",I159&lt;9,O159=""),"",O159+240)</f>
        <v/>
      </c>
      <c r="Z159" s="19" t="str">
        <f aca="false">IF(OR(I159="",I159&lt;10,O159=""),"",O159+270)</f>
        <v/>
      </c>
      <c r="AA159" s="19" t="str">
        <f aca="false">IF(OR(I159="",I159&lt;11,O159=""),"",O159+300)</f>
        <v/>
      </c>
      <c r="AB159" s="19" t="str">
        <f aca="false">IF(OR(I159="",I159&lt;12,O159=""),"",O159+330)</f>
        <v/>
      </c>
      <c r="AC159" s="19" t="str">
        <f aca="false">IF(OR(I159="",I159&lt;13,O159=""),"",O159+360)</f>
        <v/>
      </c>
      <c r="AD159" s="19" t="str">
        <f aca="false">IF(OR(I159="",I159&lt;14,O159=""),"",O159+390)</f>
        <v/>
      </c>
      <c r="AE159" s="19" t="str">
        <f aca="false">IF(OR(I159="",I159&lt;15,O159=""),"",O159+420)</f>
        <v/>
      </c>
      <c r="AF159" s="19" t="str">
        <f aca="false">IF(OR(I159="",I159&lt;16,O159=""),"",O159+450)</f>
        <v/>
      </c>
      <c r="AG159" s="19" t="str">
        <f aca="false">IF(OR(I159="",I159&lt;17,O159=""),"",O159+480)</f>
        <v/>
      </c>
      <c r="AH159" s="19" t="str">
        <f aca="false">IF(OR(I159="",I159&lt;18,O159=""),"",O159+510)</f>
        <v/>
      </c>
      <c r="AI159" s="19" t="str">
        <f aca="false">IF(OR(I159="",I159&lt;19,O159=""),"",O159+540)</f>
        <v/>
      </c>
      <c r="AJ159" s="19" t="str">
        <f aca="false">IF(OR(I159="",I159&lt;20,O159=""),"",O159+570)</f>
        <v/>
      </c>
      <c r="AK159" s="19" t="str">
        <f aca="false">IF(OR(I159="",I159&lt;21,O159=""),"",O159+600)</f>
        <v/>
      </c>
      <c r="AL159" s="19" t="str">
        <f aca="false">IF(OR(I159="",I159&lt;22,O159=""),"",O159+630)</f>
        <v/>
      </c>
      <c r="AM159" s="19" t="str">
        <f aca="false">IF(OR(I159="",I159&lt;23,O159=""),"",O159+660)</f>
        <v/>
      </c>
      <c r="AN159" s="19" t="str">
        <f aca="false">IF(OR(I159="",I159&lt;24,O159=""),"",O159+690)</f>
        <v/>
      </c>
      <c r="AO159" s="15" t="str">
        <f aca="false">IF(J159="","",COUNTIF(Q159:AN159,TRUE())*J159)</f>
        <v/>
      </c>
      <c r="AP159" s="15" t="str">
        <f aca="false">IF(K159="","",K159-AO159)</f>
        <v/>
      </c>
      <c r="AQ159" s="15" t="str">
        <f aca="false">IF(K159="","",K159-F159-IF(N159="",0,N159))</f>
        <v/>
      </c>
    </row>
    <row r="160" customFormat="false" ht="15" hidden="false" customHeight="false" outlineLevel="0" collapsed="false">
      <c r="A160" s="4"/>
      <c r="B160" s="4"/>
      <c r="C160" s="4"/>
      <c r="D160" s="5"/>
      <c r="E160" s="5"/>
      <c r="F160" s="6"/>
      <c r="G160" s="4"/>
      <c r="H160" s="4"/>
      <c r="I160" s="4"/>
      <c r="J160" s="6"/>
      <c r="K160" s="7" t="str">
        <f aca="false">IF(OR(I160="",J160=""),"",I160*J160)</f>
        <v/>
      </c>
      <c r="L160" s="4"/>
      <c r="M160" s="8"/>
      <c r="N160" s="7" t="str">
        <f aca="false">IF(OR(L160="",M160="",K160=""),"",IF(L160="GANANCIA",(K160-F160)*M160,IF(L160="BRUTO",K160*M160,"")))</f>
        <v/>
      </c>
      <c r="O160" s="9" t="str">
        <f aca="false">IF(D160="","",D160)</f>
        <v/>
      </c>
      <c r="P160" s="10" t="str">
        <f aca="false">IF(I160="","",IF(COUNTIF(Q160:AN160,TRUE())&gt;=I160,"PAGADO",IF(COUNTIF(Q160:AN160,TRUE())&gt;0,"PARCIAL","VIGENTE")))</f>
        <v/>
      </c>
      <c r="Q160" s="11" t="str">
        <f aca="false">IF(OR(I160="",I160&lt;1,O160=""),"",O160+0)</f>
        <v/>
      </c>
      <c r="R160" s="11" t="str">
        <f aca="false">IF(OR(I160="",I160&lt;2,O160=""),"",O160+30)</f>
        <v/>
      </c>
      <c r="S160" s="11" t="str">
        <f aca="false">IF(OR(I160="",I160&lt;3,O160=""),"",O160+60)</f>
        <v/>
      </c>
      <c r="T160" s="11" t="str">
        <f aca="false">IF(OR(I160="",I160&lt;4,O160=""),"",O160+90)</f>
        <v/>
      </c>
      <c r="U160" s="11" t="str">
        <f aca="false">IF(OR(I160="",I160&lt;5,O160=""),"",O160+120)</f>
        <v/>
      </c>
      <c r="V160" s="11" t="str">
        <f aca="false">IF(OR(I160="",I160&lt;6,O160=""),"",O160+150)</f>
        <v/>
      </c>
      <c r="W160" s="11" t="str">
        <f aca="false">IF(OR(I160="",I160&lt;7,O160=""),"",O160+180)</f>
        <v/>
      </c>
      <c r="X160" s="11" t="str">
        <f aca="false">IF(OR(I160="",I160&lt;8,O160=""),"",O160+210)</f>
        <v/>
      </c>
      <c r="Y160" s="11" t="str">
        <f aca="false">IF(OR(I160="",I160&lt;9,O160=""),"",O160+240)</f>
        <v/>
      </c>
      <c r="Z160" s="11" t="str">
        <f aca="false">IF(OR(I160="",I160&lt;10,O160=""),"",O160+270)</f>
        <v/>
      </c>
      <c r="AA160" s="11" t="str">
        <f aca="false">IF(OR(I160="",I160&lt;11,O160=""),"",O160+300)</f>
        <v/>
      </c>
      <c r="AB160" s="11" t="str">
        <f aca="false">IF(OR(I160="",I160&lt;12,O160=""),"",O160+330)</f>
        <v/>
      </c>
      <c r="AC160" s="11" t="str">
        <f aca="false">IF(OR(I160="",I160&lt;13,O160=""),"",O160+360)</f>
        <v/>
      </c>
      <c r="AD160" s="11" t="str">
        <f aca="false">IF(OR(I160="",I160&lt;14,O160=""),"",O160+390)</f>
        <v/>
      </c>
      <c r="AE160" s="11" t="str">
        <f aca="false">IF(OR(I160="",I160&lt;15,O160=""),"",O160+420)</f>
        <v/>
      </c>
      <c r="AF160" s="11" t="str">
        <f aca="false">IF(OR(I160="",I160&lt;16,O160=""),"",O160+450)</f>
        <v/>
      </c>
      <c r="AG160" s="11" t="str">
        <f aca="false">IF(OR(I160="",I160&lt;17,O160=""),"",O160+480)</f>
        <v/>
      </c>
      <c r="AH160" s="11" t="str">
        <f aca="false">IF(OR(I160="",I160&lt;18,O160=""),"",O160+510)</f>
        <v/>
      </c>
      <c r="AI160" s="11" t="str">
        <f aca="false">IF(OR(I160="",I160&lt;19,O160=""),"",O160+540)</f>
        <v/>
      </c>
      <c r="AJ160" s="11" t="str">
        <f aca="false">IF(OR(I160="",I160&lt;20,O160=""),"",O160+570)</f>
        <v/>
      </c>
      <c r="AK160" s="11" t="str">
        <f aca="false">IF(OR(I160="",I160&lt;21,O160=""),"",O160+600)</f>
        <v/>
      </c>
      <c r="AL160" s="11" t="str">
        <f aca="false">IF(OR(I160="",I160&lt;22,O160=""),"",O160+630)</f>
        <v/>
      </c>
      <c r="AM160" s="11" t="str">
        <f aca="false">IF(OR(I160="",I160&lt;23,O160=""),"",O160+660)</f>
        <v/>
      </c>
      <c r="AN160" s="11" t="str">
        <f aca="false">IF(OR(I160="",I160&lt;24,O160=""),"",O160+690)</f>
        <v/>
      </c>
      <c r="AO160" s="7" t="str">
        <f aca="false">IF(J160="","",COUNTIF(Q160:AN160,TRUE())*J160)</f>
        <v/>
      </c>
      <c r="AP160" s="7" t="str">
        <f aca="false">IF(K160="","",K160-AO160)</f>
        <v/>
      </c>
      <c r="AQ160" s="7" t="str">
        <f aca="false">IF(K160="","",K160-F160-IF(N160="",0,N160))</f>
        <v/>
      </c>
    </row>
    <row r="161" customFormat="false" ht="15" hidden="false" customHeight="false" outlineLevel="0" collapsed="false">
      <c r="A161" s="12"/>
      <c r="B161" s="12"/>
      <c r="C161" s="12"/>
      <c r="D161" s="13"/>
      <c r="E161" s="13"/>
      <c r="F161" s="14"/>
      <c r="G161" s="12"/>
      <c r="H161" s="12"/>
      <c r="I161" s="12"/>
      <c r="J161" s="14"/>
      <c r="K161" s="15" t="str">
        <f aca="false">IF(OR(I161="",J161=""),"",I161*J161)</f>
        <v/>
      </c>
      <c r="L161" s="12"/>
      <c r="M161" s="16"/>
      <c r="N161" s="15" t="str">
        <f aca="false">IF(OR(L161="",M161="",K161=""),"",IF(L161="GANANCIA",(K161-F161)*M161,IF(L161="BRUTO",K161*M161,"")))</f>
        <v/>
      </c>
      <c r="O161" s="17" t="str">
        <f aca="false">IF(D161="","",D161)</f>
        <v/>
      </c>
      <c r="P161" s="18" t="str">
        <f aca="false">IF(I161="","",IF(COUNTIF(Q161:AN161,TRUE())&gt;=I161,"PAGADO",IF(COUNTIF(Q161:AN161,TRUE())&gt;0,"PARCIAL","VIGENTE")))</f>
        <v/>
      </c>
      <c r="Q161" s="19" t="str">
        <f aca="false">IF(OR(I161="",I161&lt;1,O161=""),"",O161+0)</f>
        <v/>
      </c>
      <c r="R161" s="19" t="str">
        <f aca="false">IF(OR(I161="",I161&lt;2,O161=""),"",O161+30)</f>
        <v/>
      </c>
      <c r="S161" s="19" t="str">
        <f aca="false">IF(OR(I161="",I161&lt;3,O161=""),"",O161+60)</f>
        <v/>
      </c>
      <c r="T161" s="19" t="str">
        <f aca="false">IF(OR(I161="",I161&lt;4,O161=""),"",O161+90)</f>
        <v/>
      </c>
      <c r="U161" s="19" t="str">
        <f aca="false">IF(OR(I161="",I161&lt;5,O161=""),"",O161+120)</f>
        <v/>
      </c>
      <c r="V161" s="19" t="str">
        <f aca="false">IF(OR(I161="",I161&lt;6,O161=""),"",O161+150)</f>
        <v/>
      </c>
      <c r="W161" s="19" t="str">
        <f aca="false">IF(OR(I161="",I161&lt;7,O161=""),"",O161+180)</f>
        <v/>
      </c>
      <c r="X161" s="19" t="str">
        <f aca="false">IF(OR(I161="",I161&lt;8,O161=""),"",O161+210)</f>
        <v/>
      </c>
      <c r="Y161" s="19" t="str">
        <f aca="false">IF(OR(I161="",I161&lt;9,O161=""),"",O161+240)</f>
        <v/>
      </c>
      <c r="Z161" s="19" t="str">
        <f aca="false">IF(OR(I161="",I161&lt;10,O161=""),"",O161+270)</f>
        <v/>
      </c>
      <c r="AA161" s="19" t="str">
        <f aca="false">IF(OR(I161="",I161&lt;11,O161=""),"",O161+300)</f>
        <v/>
      </c>
      <c r="AB161" s="19" t="str">
        <f aca="false">IF(OR(I161="",I161&lt;12,O161=""),"",O161+330)</f>
        <v/>
      </c>
      <c r="AC161" s="19" t="str">
        <f aca="false">IF(OR(I161="",I161&lt;13,O161=""),"",O161+360)</f>
        <v/>
      </c>
      <c r="AD161" s="19" t="str">
        <f aca="false">IF(OR(I161="",I161&lt;14,O161=""),"",O161+390)</f>
        <v/>
      </c>
      <c r="AE161" s="19" t="str">
        <f aca="false">IF(OR(I161="",I161&lt;15,O161=""),"",O161+420)</f>
        <v/>
      </c>
      <c r="AF161" s="19" t="str">
        <f aca="false">IF(OR(I161="",I161&lt;16,O161=""),"",O161+450)</f>
        <v/>
      </c>
      <c r="AG161" s="19" t="str">
        <f aca="false">IF(OR(I161="",I161&lt;17,O161=""),"",O161+480)</f>
        <v/>
      </c>
      <c r="AH161" s="19" t="str">
        <f aca="false">IF(OR(I161="",I161&lt;18,O161=""),"",O161+510)</f>
        <v/>
      </c>
      <c r="AI161" s="19" t="str">
        <f aca="false">IF(OR(I161="",I161&lt;19,O161=""),"",O161+540)</f>
        <v/>
      </c>
      <c r="AJ161" s="19" t="str">
        <f aca="false">IF(OR(I161="",I161&lt;20,O161=""),"",O161+570)</f>
        <v/>
      </c>
      <c r="AK161" s="19" t="str">
        <f aca="false">IF(OR(I161="",I161&lt;21,O161=""),"",O161+600)</f>
        <v/>
      </c>
      <c r="AL161" s="19" t="str">
        <f aca="false">IF(OR(I161="",I161&lt;22,O161=""),"",O161+630)</f>
        <v/>
      </c>
      <c r="AM161" s="19" t="str">
        <f aca="false">IF(OR(I161="",I161&lt;23,O161=""),"",O161+660)</f>
        <v/>
      </c>
      <c r="AN161" s="19" t="str">
        <f aca="false">IF(OR(I161="",I161&lt;24,O161=""),"",O161+690)</f>
        <v/>
      </c>
      <c r="AO161" s="15" t="str">
        <f aca="false">IF(J161="","",COUNTIF(Q161:AN161,TRUE())*J161)</f>
        <v/>
      </c>
      <c r="AP161" s="15" t="str">
        <f aca="false">IF(K161="","",K161-AO161)</f>
        <v/>
      </c>
      <c r="AQ161" s="15" t="str">
        <f aca="false">IF(K161="","",K161-F161-IF(N161="",0,N161))</f>
        <v/>
      </c>
    </row>
    <row r="162" customFormat="false" ht="15" hidden="false" customHeight="false" outlineLevel="0" collapsed="false">
      <c r="A162" s="4"/>
      <c r="B162" s="4"/>
      <c r="C162" s="4"/>
      <c r="D162" s="5"/>
      <c r="E162" s="5"/>
      <c r="F162" s="6"/>
      <c r="G162" s="4"/>
      <c r="H162" s="4"/>
      <c r="I162" s="4"/>
      <c r="J162" s="6"/>
      <c r="K162" s="7" t="str">
        <f aca="false">IF(OR(I162="",J162=""),"",I162*J162)</f>
        <v/>
      </c>
      <c r="L162" s="4"/>
      <c r="M162" s="8"/>
      <c r="N162" s="7" t="str">
        <f aca="false">IF(OR(L162="",M162="",K162=""),"",IF(L162="GANANCIA",(K162-F162)*M162,IF(L162="BRUTO",K162*M162,"")))</f>
        <v/>
      </c>
      <c r="O162" s="9" t="str">
        <f aca="false">IF(D162="","",D162)</f>
        <v/>
      </c>
      <c r="P162" s="10" t="str">
        <f aca="false">IF(I162="","",IF(COUNTIF(Q162:AN162,TRUE())&gt;=I162,"PAGADO",IF(COUNTIF(Q162:AN162,TRUE())&gt;0,"PARCIAL","VIGENTE")))</f>
        <v/>
      </c>
      <c r="Q162" s="11" t="str">
        <f aca="false">IF(OR(I162="",I162&lt;1,O162=""),"",O162+0)</f>
        <v/>
      </c>
      <c r="R162" s="11" t="str">
        <f aca="false">IF(OR(I162="",I162&lt;2,O162=""),"",O162+30)</f>
        <v/>
      </c>
      <c r="S162" s="11" t="str">
        <f aca="false">IF(OR(I162="",I162&lt;3,O162=""),"",O162+60)</f>
        <v/>
      </c>
      <c r="T162" s="11" t="str">
        <f aca="false">IF(OR(I162="",I162&lt;4,O162=""),"",O162+90)</f>
        <v/>
      </c>
      <c r="U162" s="11" t="str">
        <f aca="false">IF(OR(I162="",I162&lt;5,O162=""),"",O162+120)</f>
        <v/>
      </c>
      <c r="V162" s="11" t="str">
        <f aca="false">IF(OR(I162="",I162&lt;6,O162=""),"",O162+150)</f>
        <v/>
      </c>
      <c r="W162" s="11" t="str">
        <f aca="false">IF(OR(I162="",I162&lt;7,O162=""),"",O162+180)</f>
        <v/>
      </c>
      <c r="X162" s="11" t="str">
        <f aca="false">IF(OR(I162="",I162&lt;8,O162=""),"",O162+210)</f>
        <v/>
      </c>
      <c r="Y162" s="11" t="str">
        <f aca="false">IF(OR(I162="",I162&lt;9,O162=""),"",O162+240)</f>
        <v/>
      </c>
      <c r="Z162" s="11" t="str">
        <f aca="false">IF(OR(I162="",I162&lt;10,O162=""),"",O162+270)</f>
        <v/>
      </c>
      <c r="AA162" s="11" t="str">
        <f aca="false">IF(OR(I162="",I162&lt;11,O162=""),"",O162+300)</f>
        <v/>
      </c>
      <c r="AB162" s="11" t="str">
        <f aca="false">IF(OR(I162="",I162&lt;12,O162=""),"",O162+330)</f>
        <v/>
      </c>
      <c r="AC162" s="11" t="str">
        <f aca="false">IF(OR(I162="",I162&lt;13,O162=""),"",O162+360)</f>
        <v/>
      </c>
      <c r="AD162" s="11" t="str">
        <f aca="false">IF(OR(I162="",I162&lt;14,O162=""),"",O162+390)</f>
        <v/>
      </c>
      <c r="AE162" s="11" t="str">
        <f aca="false">IF(OR(I162="",I162&lt;15,O162=""),"",O162+420)</f>
        <v/>
      </c>
      <c r="AF162" s="11" t="str">
        <f aca="false">IF(OR(I162="",I162&lt;16,O162=""),"",O162+450)</f>
        <v/>
      </c>
      <c r="AG162" s="11" t="str">
        <f aca="false">IF(OR(I162="",I162&lt;17,O162=""),"",O162+480)</f>
        <v/>
      </c>
      <c r="AH162" s="11" t="str">
        <f aca="false">IF(OR(I162="",I162&lt;18,O162=""),"",O162+510)</f>
        <v/>
      </c>
      <c r="AI162" s="11" t="str">
        <f aca="false">IF(OR(I162="",I162&lt;19,O162=""),"",O162+540)</f>
        <v/>
      </c>
      <c r="AJ162" s="11" t="str">
        <f aca="false">IF(OR(I162="",I162&lt;20,O162=""),"",O162+570)</f>
        <v/>
      </c>
      <c r="AK162" s="11" t="str">
        <f aca="false">IF(OR(I162="",I162&lt;21,O162=""),"",O162+600)</f>
        <v/>
      </c>
      <c r="AL162" s="11" t="str">
        <f aca="false">IF(OR(I162="",I162&lt;22,O162=""),"",O162+630)</f>
        <v/>
      </c>
      <c r="AM162" s="11" t="str">
        <f aca="false">IF(OR(I162="",I162&lt;23,O162=""),"",O162+660)</f>
        <v/>
      </c>
      <c r="AN162" s="11" t="str">
        <f aca="false">IF(OR(I162="",I162&lt;24,O162=""),"",O162+690)</f>
        <v/>
      </c>
      <c r="AO162" s="7" t="str">
        <f aca="false">IF(J162="","",COUNTIF(Q162:AN162,TRUE())*J162)</f>
        <v/>
      </c>
      <c r="AP162" s="7" t="str">
        <f aca="false">IF(K162="","",K162-AO162)</f>
        <v/>
      </c>
      <c r="AQ162" s="7" t="str">
        <f aca="false">IF(K162="","",K162-F162-IF(N162="",0,N162))</f>
        <v/>
      </c>
    </row>
    <row r="163" customFormat="false" ht="15" hidden="false" customHeight="false" outlineLevel="0" collapsed="false">
      <c r="A163" s="12"/>
      <c r="B163" s="12"/>
      <c r="C163" s="12"/>
      <c r="D163" s="13"/>
      <c r="E163" s="13"/>
      <c r="F163" s="14"/>
      <c r="G163" s="12"/>
      <c r="H163" s="12"/>
      <c r="I163" s="12"/>
      <c r="J163" s="14"/>
      <c r="K163" s="15" t="str">
        <f aca="false">IF(OR(I163="",J163=""),"",I163*J163)</f>
        <v/>
      </c>
      <c r="L163" s="12"/>
      <c r="M163" s="16"/>
      <c r="N163" s="15" t="str">
        <f aca="false">IF(OR(L163="",M163="",K163=""),"",IF(L163="GANANCIA",(K163-F163)*M163,IF(L163="BRUTO",K163*M163,"")))</f>
        <v/>
      </c>
      <c r="O163" s="17" t="str">
        <f aca="false">IF(D163="","",D163)</f>
        <v/>
      </c>
      <c r="P163" s="18" t="str">
        <f aca="false">IF(I163="","",IF(COUNTIF(Q163:AN163,TRUE())&gt;=I163,"PAGADO",IF(COUNTIF(Q163:AN163,TRUE())&gt;0,"PARCIAL","VIGENTE")))</f>
        <v/>
      </c>
      <c r="Q163" s="19" t="str">
        <f aca="false">IF(OR(I163="",I163&lt;1,O163=""),"",O163+0)</f>
        <v/>
      </c>
      <c r="R163" s="19" t="str">
        <f aca="false">IF(OR(I163="",I163&lt;2,O163=""),"",O163+30)</f>
        <v/>
      </c>
      <c r="S163" s="19" t="str">
        <f aca="false">IF(OR(I163="",I163&lt;3,O163=""),"",O163+60)</f>
        <v/>
      </c>
      <c r="T163" s="19" t="str">
        <f aca="false">IF(OR(I163="",I163&lt;4,O163=""),"",O163+90)</f>
        <v/>
      </c>
      <c r="U163" s="19" t="str">
        <f aca="false">IF(OR(I163="",I163&lt;5,O163=""),"",O163+120)</f>
        <v/>
      </c>
      <c r="V163" s="19" t="str">
        <f aca="false">IF(OR(I163="",I163&lt;6,O163=""),"",O163+150)</f>
        <v/>
      </c>
      <c r="W163" s="19" t="str">
        <f aca="false">IF(OR(I163="",I163&lt;7,O163=""),"",O163+180)</f>
        <v/>
      </c>
      <c r="X163" s="19" t="str">
        <f aca="false">IF(OR(I163="",I163&lt;8,O163=""),"",O163+210)</f>
        <v/>
      </c>
      <c r="Y163" s="19" t="str">
        <f aca="false">IF(OR(I163="",I163&lt;9,O163=""),"",O163+240)</f>
        <v/>
      </c>
      <c r="Z163" s="19" t="str">
        <f aca="false">IF(OR(I163="",I163&lt;10,O163=""),"",O163+270)</f>
        <v/>
      </c>
      <c r="AA163" s="19" t="str">
        <f aca="false">IF(OR(I163="",I163&lt;11,O163=""),"",O163+300)</f>
        <v/>
      </c>
      <c r="AB163" s="19" t="str">
        <f aca="false">IF(OR(I163="",I163&lt;12,O163=""),"",O163+330)</f>
        <v/>
      </c>
      <c r="AC163" s="19" t="str">
        <f aca="false">IF(OR(I163="",I163&lt;13,O163=""),"",O163+360)</f>
        <v/>
      </c>
      <c r="AD163" s="19" t="str">
        <f aca="false">IF(OR(I163="",I163&lt;14,O163=""),"",O163+390)</f>
        <v/>
      </c>
      <c r="AE163" s="19" t="str">
        <f aca="false">IF(OR(I163="",I163&lt;15,O163=""),"",O163+420)</f>
        <v/>
      </c>
      <c r="AF163" s="19" t="str">
        <f aca="false">IF(OR(I163="",I163&lt;16,O163=""),"",O163+450)</f>
        <v/>
      </c>
      <c r="AG163" s="19" t="str">
        <f aca="false">IF(OR(I163="",I163&lt;17,O163=""),"",O163+480)</f>
        <v/>
      </c>
      <c r="AH163" s="19" t="str">
        <f aca="false">IF(OR(I163="",I163&lt;18,O163=""),"",O163+510)</f>
        <v/>
      </c>
      <c r="AI163" s="19" t="str">
        <f aca="false">IF(OR(I163="",I163&lt;19,O163=""),"",O163+540)</f>
        <v/>
      </c>
      <c r="AJ163" s="19" t="str">
        <f aca="false">IF(OR(I163="",I163&lt;20,O163=""),"",O163+570)</f>
        <v/>
      </c>
      <c r="AK163" s="19" t="str">
        <f aca="false">IF(OR(I163="",I163&lt;21,O163=""),"",O163+600)</f>
        <v/>
      </c>
      <c r="AL163" s="19" t="str">
        <f aca="false">IF(OR(I163="",I163&lt;22,O163=""),"",O163+630)</f>
        <v/>
      </c>
      <c r="AM163" s="19" t="str">
        <f aca="false">IF(OR(I163="",I163&lt;23,O163=""),"",O163+660)</f>
        <v/>
      </c>
      <c r="AN163" s="19" t="str">
        <f aca="false">IF(OR(I163="",I163&lt;24,O163=""),"",O163+690)</f>
        <v/>
      </c>
      <c r="AO163" s="15" t="str">
        <f aca="false">IF(J163="","",COUNTIF(Q163:AN163,TRUE())*J163)</f>
        <v/>
      </c>
      <c r="AP163" s="15" t="str">
        <f aca="false">IF(K163="","",K163-AO163)</f>
        <v/>
      </c>
      <c r="AQ163" s="15" t="str">
        <f aca="false">IF(K163="","",K163-F163-IF(N163="",0,N163))</f>
        <v/>
      </c>
    </row>
    <row r="164" customFormat="false" ht="15" hidden="false" customHeight="false" outlineLevel="0" collapsed="false">
      <c r="A164" s="4"/>
      <c r="B164" s="4"/>
      <c r="C164" s="4"/>
      <c r="D164" s="5"/>
      <c r="E164" s="5"/>
      <c r="F164" s="6"/>
      <c r="G164" s="4"/>
      <c r="H164" s="4"/>
      <c r="I164" s="4"/>
      <c r="J164" s="6"/>
      <c r="K164" s="7" t="str">
        <f aca="false">IF(OR(I164="",J164=""),"",I164*J164)</f>
        <v/>
      </c>
      <c r="L164" s="4"/>
      <c r="M164" s="8"/>
      <c r="N164" s="7" t="str">
        <f aca="false">IF(OR(L164="",M164="",K164=""),"",IF(L164="GANANCIA",(K164-F164)*M164,IF(L164="BRUTO",K164*M164,"")))</f>
        <v/>
      </c>
      <c r="O164" s="9" t="str">
        <f aca="false">IF(D164="","",D164)</f>
        <v/>
      </c>
      <c r="P164" s="10" t="str">
        <f aca="false">IF(I164="","",IF(COUNTIF(Q164:AN164,TRUE())&gt;=I164,"PAGADO",IF(COUNTIF(Q164:AN164,TRUE())&gt;0,"PARCIAL","VIGENTE")))</f>
        <v/>
      </c>
      <c r="Q164" s="11" t="str">
        <f aca="false">IF(OR(I164="",I164&lt;1,O164=""),"",O164+0)</f>
        <v/>
      </c>
      <c r="R164" s="11" t="str">
        <f aca="false">IF(OR(I164="",I164&lt;2,O164=""),"",O164+30)</f>
        <v/>
      </c>
      <c r="S164" s="11" t="str">
        <f aca="false">IF(OR(I164="",I164&lt;3,O164=""),"",O164+60)</f>
        <v/>
      </c>
      <c r="T164" s="11" t="str">
        <f aca="false">IF(OR(I164="",I164&lt;4,O164=""),"",O164+90)</f>
        <v/>
      </c>
      <c r="U164" s="11" t="str">
        <f aca="false">IF(OR(I164="",I164&lt;5,O164=""),"",O164+120)</f>
        <v/>
      </c>
      <c r="V164" s="11" t="str">
        <f aca="false">IF(OR(I164="",I164&lt;6,O164=""),"",O164+150)</f>
        <v/>
      </c>
      <c r="W164" s="11" t="str">
        <f aca="false">IF(OR(I164="",I164&lt;7,O164=""),"",O164+180)</f>
        <v/>
      </c>
      <c r="X164" s="11" t="str">
        <f aca="false">IF(OR(I164="",I164&lt;8,O164=""),"",O164+210)</f>
        <v/>
      </c>
      <c r="Y164" s="11" t="str">
        <f aca="false">IF(OR(I164="",I164&lt;9,O164=""),"",O164+240)</f>
        <v/>
      </c>
      <c r="Z164" s="11" t="str">
        <f aca="false">IF(OR(I164="",I164&lt;10,O164=""),"",O164+270)</f>
        <v/>
      </c>
      <c r="AA164" s="11" t="str">
        <f aca="false">IF(OR(I164="",I164&lt;11,O164=""),"",O164+300)</f>
        <v/>
      </c>
      <c r="AB164" s="11" t="str">
        <f aca="false">IF(OR(I164="",I164&lt;12,O164=""),"",O164+330)</f>
        <v/>
      </c>
      <c r="AC164" s="11" t="str">
        <f aca="false">IF(OR(I164="",I164&lt;13,O164=""),"",O164+360)</f>
        <v/>
      </c>
      <c r="AD164" s="11" t="str">
        <f aca="false">IF(OR(I164="",I164&lt;14,O164=""),"",O164+390)</f>
        <v/>
      </c>
      <c r="AE164" s="11" t="str">
        <f aca="false">IF(OR(I164="",I164&lt;15,O164=""),"",O164+420)</f>
        <v/>
      </c>
      <c r="AF164" s="11" t="str">
        <f aca="false">IF(OR(I164="",I164&lt;16,O164=""),"",O164+450)</f>
        <v/>
      </c>
      <c r="AG164" s="11" t="str">
        <f aca="false">IF(OR(I164="",I164&lt;17,O164=""),"",O164+480)</f>
        <v/>
      </c>
      <c r="AH164" s="11" t="str">
        <f aca="false">IF(OR(I164="",I164&lt;18,O164=""),"",O164+510)</f>
        <v/>
      </c>
      <c r="AI164" s="11" t="str">
        <f aca="false">IF(OR(I164="",I164&lt;19,O164=""),"",O164+540)</f>
        <v/>
      </c>
      <c r="AJ164" s="11" t="str">
        <f aca="false">IF(OR(I164="",I164&lt;20,O164=""),"",O164+570)</f>
        <v/>
      </c>
      <c r="AK164" s="11" t="str">
        <f aca="false">IF(OR(I164="",I164&lt;21,O164=""),"",O164+600)</f>
        <v/>
      </c>
      <c r="AL164" s="11" t="str">
        <f aca="false">IF(OR(I164="",I164&lt;22,O164=""),"",O164+630)</f>
        <v/>
      </c>
      <c r="AM164" s="11" t="str">
        <f aca="false">IF(OR(I164="",I164&lt;23,O164=""),"",O164+660)</f>
        <v/>
      </c>
      <c r="AN164" s="11" t="str">
        <f aca="false">IF(OR(I164="",I164&lt;24,O164=""),"",O164+690)</f>
        <v/>
      </c>
      <c r="AO164" s="7" t="str">
        <f aca="false">IF(J164="","",COUNTIF(Q164:AN164,TRUE())*J164)</f>
        <v/>
      </c>
      <c r="AP164" s="7" t="str">
        <f aca="false">IF(K164="","",K164-AO164)</f>
        <v/>
      </c>
      <c r="AQ164" s="7" t="str">
        <f aca="false">IF(K164="","",K164-F164-IF(N164="",0,N164))</f>
        <v/>
      </c>
    </row>
    <row r="165" customFormat="false" ht="15" hidden="false" customHeight="false" outlineLevel="0" collapsed="false">
      <c r="A165" s="12"/>
      <c r="B165" s="12"/>
      <c r="C165" s="12"/>
      <c r="D165" s="13"/>
      <c r="E165" s="13"/>
      <c r="F165" s="14"/>
      <c r="G165" s="12"/>
      <c r="H165" s="12"/>
      <c r="I165" s="12"/>
      <c r="J165" s="14"/>
      <c r="K165" s="15" t="str">
        <f aca="false">IF(OR(I165="",J165=""),"",I165*J165)</f>
        <v/>
      </c>
      <c r="L165" s="12"/>
      <c r="M165" s="16"/>
      <c r="N165" s="15" t="str">
        <f aca="false">IF(OR(L165="",M165="",K165=""),"",IF(L165="GANANCIA",(K165-F165)*M165,IF(L165="BRUTO",K165*M165,"")))</f>
        <v/>
      </c>
      <c r="O165" s="17" t="str">
        <f aca="false">IF(D165="","",D165)</f>
        <v/>
      </c>
      <c r="P165" s="18" t="str">
        <f aca="false">IF(I165="","",IF(COUNTIF(Q165:AN165,TRUE())&gt;=I165,"PAGADO",IF(COUNTIF(Q165:AN165,TRUE())&gt;0,"PARCIAL","VIGENTE")))</f>
        <v/>
      </c>
      <c r="Q165" s="19" t="str">
        <f aca="false">IF(OR(I165="",I165&lt;1,O165=""),"",O165+0)</f>
        <v/>
      </c>
      <c r="R165" s="19" t="str">
        <f aca="false">IF(OR(I165="",I165&lt;2,O165=""),"",O165+30)</f>
        <v/>
      </c>
      <c r="S165" s="19" t="str">
        <f aca="false">IF(OR(I165="",I165&lt;3,O165=""),"",O165+60)</f>
        <v/>
      </c>
      <c r="T165" s="19" t="str">
        <f aca="false">IF(OR(I165="",I165&lt;4,O165=""),"",O165+90)</f>
        <v/>
      </c>
      <c r="U165" s="19" t="str">
        <f aca="false">IF(OR(I165="",I165&lt;5,O165=""),"",O165+120)</f>
        <v/>
      </c>
      <c r="V165" s="19" t="str">
        <f aca="false">IF(OR(I165="",I165&lt;6,O165=""),"",O165+150)</f>
        <v/>
      </c>
      <c r="W165" s="19" t="str">
        <f aca="false">IF(OR(I165="",I165&lt;7,O165=""),"",O165+180)</f>
        <v/>
      </c>
      <c r="X165" s="19" t="str">
        <f aca="false">IF(OR(I165="",I165&lt;8,O165=""),"",O165+210)</f>
        <v/>
      </c>
      <c r="Y165" s="19" t="str">
        <f aca="false">IF(OR(I165="",I165&lt;9,O165=""),"",O165+240)</f>
        <v/>
      </c>
      <c r="Z165" s="19" t="str">
        <f aca="false">IF(OR(I165="",I165&lt;10,O165=""),"",O165+270)</f>
        <v/>
      </c>
      <c r="AA165" s="19" t="str">
        <f aca="false">IF(OR(I165="",I165&lt;11,O165=""),"",O165+300)</f>
        <v/>
      </c>
      <c r="AB165" s="19" t="str">
        <f aca="false">IF(OR(I165="",I165&lt;12,O165=""),"",O165+330)</f>
        <v/>
      </c>
      <c r="AC165" s="19" t="str">
        <f aca="false">IF(OR(I165="",I165&lt;13,O165=""),"",O165+360)</f>
        <v/>
      </c>
      <c r="AD165" s="19" t="str">
        <f aca="false">IF(OR(I165="",I165&lt;14,O165=""),"",O165+390)</f>
        <v/>
      </c>
      <c r="AE165" s="19" t="str">
        <f aca="false">IF(OR(I165="",I165&lt;15,O165=""),"",O165+420)</f>
        <v/>
      </c>
      <c r="AF165" s="19" t="str">
        <f aca="false">IF(OR(I165="",I165&lt;16,O165=""),"",O165+450)</f>
        <v/>
      </c>
      <c r="AG165" s="19" t="str">
        <f aca="false">IF(OR(I165="",I165&lt;17,O165=""),"",O165+480)</f>
        <v/>
      </c>
      <c r="AH165" s="19" t="str">
        <f aca="false">IF(OR(I165="",I165&lt;18,O165=""),"",O165+510)</f>
        <v/>
      </c>
      <c r="AI165" s="19" t="str">
        <f aca="false">IF(OR(I165="",I165&lt;19,O165=""),"",O165+540)</f>
        <v/>
      </c>
      <c r="AJ165" s="19" t="str">
        <f aca="false">IF(OR(I165="",I165&lt;20,O165=""),"",O165+570)</f>
        <v/>
      </c>
      <c r="AK165" s="19" t="str">
        <f aca="false">IF(OR(I165="",I165&lt;21,O165=""),"",O165+600)</f>
        <v/>
      </c>
      <c r="AL165" s="19" t="str">
        <f aca="false">IF(OR(I165="",I165&lt;22,O165=""),"",O165+630)</f>
        <v/>
      </c>
      <c r="AM165" s="19" t="str">
        <f aca="false">IF(OR(I165="",I165&lt;23,O165=""),"",O165+660)</f>
        <v/>
      </c>
      <c r="AN165" s="19" t="str">
        <f aca="false">IF(OR(I165="",I165&lt;24,O165=""),"",O165+690)</f>
        <v/>
      </c>
      <c r="AO165" s="15" t="str">
        <f aca="false">IF(J165="","",COUNTIF(Q165:AN165,TRUE())*J165)</f>
        <v/>
      </c>
      <c r="AP165" s="15" t="str">
        <f aca="false">IF(K165="","",K165-AO165)</f>
        <v/>
      </c>
      <c r="AQ165" s="15" t="str">
        <f aca="false">IF(K165="","",K165-F165-IF(N165="",0,N165))</f>
        <v/>
      </c>
    </row>
    <row r="166" customFormat="false" ht="15" hidden="false" customHeight="false" outlineLevel="0" collapsed="false">
      <c r="A166" s="4"/>
      <c r="B166" s="4"/>
      <c r="C166" s="4"/>
      <c r="D166" s="5"/>
      <c r="E166" s="5"/>
      <c r="F166" s="6"/>
      <c r="G166" s="4"/>
      <c r="H166" s="4"/>
      <c r="I166" s="4"/>
      <c r="J166" s="6"/>
      <c r="K166" s="7" t="str">
        <f aca="false">IF(OR(I166="",J166=""),"",I166*J166)</f>
        <v/>
      </c>
      <c r="L166" s="4"/>
      <c r="M166" s="8"/>
      <c r="N166" s="7" t="str">
        <f aca="false">IF(OR(L166="",M166="",K166=""),"",IF(L166="GANANCIA",(K166-F166)*M166,IF(L166="BRUTO",K166*M166,"")))</f>
        <v/>
      </c>
      <c r="O166" s="9" t="str">
        <f aca="false">IF(D166="","",D166)</f>
        <v/>
      </c>
      <c r="P166" s="10" t="str">
        <f aca="false">IF(I166="","",IF(COUNTIF(Q166:AN166,TRUE())&gt;=I166,"PAGADO",IF(COUNTIF(Q166:AN166,TRUE())&gt;0,"PARCIAL","VIGENTE")))</f>
        <v/>
      </c>
      <c r="Q166" s="11" t="str">
        <f aca="false">IF(OR(I166="",I166&lt;1,O166=""),"",O166+0)</f>
        <v/>
      </c>
      <c r="R166" s="11" t="str">
        <f aca="false">IF(OR(I166="",I166&lt;2,O166=""),"",O166+30)</f>
        <v/>
      </c>
      <c r="S166" s="11" t="str">
        <f aca="false">IF(OR(I166="",I166&lt;3,O166=""),"",O166+60)</f>
        <v/>
      </c>
      <c r="T166" s="11" t="str">
        <f aca="false">IF(OR(I166="",I166&lt;4,O166=""),"",O166+90)</f>
        <v/>
      </c>
      <c r="U166" s="11" t="str">
        <f aca="false">IF(OR(I166="",I166&lt;5,O166=""),"",O166+120)</f>
        <v/>
      </c>
      <c r="V166" s="11" t="str">
        <f aca="false">IF(OR(I166="",I166&lt;6,O166=""),"",O166+150)</f>
        <v/>
      </c>
      <c r="W166" s="11" t="str">
        <f aca="false">IF(OR(I166="",I166&lt;7,O166=""),"",O166+180)</f>
        <v/>
      </c>
      <c r="X166" s="11" t="str">
        <f aca="false">IF(OR(I166="",I166&lt;8,O166=""),"",O166+210)</f>
        <v/>
      </c>
      <c r="Y166" s="11" t="str">
        <f aca="false">IF(OR(I166="",I166&lt;9,O166=""),"",O166+240)</f>
        <v/>
      </c>
      <c r="Z166" s="11" t="str">
        <f aca="false">IF(OR(I166="",I166&lt;10,O166=""),"",O166+270)</f>
        <v/>
      </c>
      <c r="AA166" s="11" t="str">
        <f aca="false">IF(OR(I166="",I166&lt;11,O166=""),"",O166+300)</f>
        <v/>
      </c>
      <c r="AB166" s="11" t="str">
        <f aca="false">IF(OR(I166="",I166&lt;12,O166=""),"",O166+330)</f>
        <v/>
      </c>
      <c r="AC166" s="11" t="str">
        <f aca="false">IF(OR(I166="",I166&lt;13,O166=""),"",O166+360)</f>
        <v/>
      </c>
      <c r="AD166" s="11" t="str">
        <f aca="false">IF(OR(I166="",I166&lt;14,O166=""),"",O166+390)</f>
        <v/>
      </c>
      <c r="AE166" s="11" t="str">
        <f aca="false">IF(OR(I166="",I166&lt;15,O166=""),"",O166+420)</f>
        <v/>
      </c>
      <c r="AF166" s="11" t="str">
        <f aca="false">IF(OR(I166="",I166&lt;16,O166=""),"",O166+450)</f>
        <v/>
      </c>
      <c r="AG166" s="11" t="str">
        <f aca="false">IF(OR(I166="",I166&lt;17,O166=""),"",O166+480)</f>
        <v/>
      </c>
      <c r="AH166" s="11" t="str">
        <f aca="false">IF(OR(I166="",I166&lt;18,O166=""),"",O166+510)</f>
        <v/>
      </c>
      <c r="AI166" s="11" t="str">
        <f aca="false">IF(OR(I166="",I166&lt;19,O166=""),"",O166+540)</f>
        <v/>
      </c>
      <c r="AJ166" s="11" t="str">
        <f aca="false">IF(OR(I166="",I166&lt;20,O166=""),"",O166+570)</f>
        <v/>
      </c>
      <c r="AK166" s="11" t="str">
        <f aca="false">IF(OR(I166="",I166&lt;21,O166=""),"",O166+600)</f>
        <v/>
      </c>
      <c r="AL166" s="11" t="str">
        <f aca="false">IF(OR(I166="",I166&lt;22,O166=""),"",O166+630)</f>
        <v/>
      </c>
      <c r="AM166" s="11" t="str">
        <f aca="false">IF(OR(I166="",I166&lt;23,O166=""),"",O166+660)</f>
        <v/>
      </c>
      <c r="AN166" s="11" t="str">
        <f aca="false">IF(OR(I166="",I166&lt;24,O166=""),"",O166+690)</f>
        <v/>
      </c>
      <c r="AO166" s="7" t="str">
        <f aca="false">IF(J166="","",COUNTIF(Q166:AN166,TRUE())*J166)</f>
        <v/>
      </c>
      <c r="AP166" s="7" t="str">
        <f aca="false">IF(K166="","",K166-AO166)</f>
        <v/>
      </c>
      <c r="AQ166" s="7" t="str">
        <f aca="false">IF(K166="","",K166-F166-IF(N166="",0,N166))</f>
        <v/>
      </c>
    </row>
    <row r="167" customFormat="false" ht="15" hidden="false" customHeight="false" outlineLevel="0" collapsed="false">
      <c r="A167" s="12"/>
      <c r="B167" s="12"/>
      <c r="C167" s="12"/>
      <c r="D167" s="13"/>
      <c r="E167" s="13"/>
      <c r="F167" s="14"/>
      <c r="G167" s="12"/>
      <c r="H167" s="12"/>
      <c r="I167" s="12"/>
      <c r="J167" s="14"/>
      <c r="K167" s="15" t="str">
        <f aca="false">IF(OR(I167="",J167=""),"",I167*J167)</f>
        <v/>
      </c>
      <c r="L167" s="12"/>
      <c r="M167" s="16"/>
      <c r="N167" s="15" t="str">
        <f aca="false">IF(OR(L167="",M167="",K167=""),"",IF(L167="GANANCIA",(K167-F167)*M167,IF(L167="BRUTO",K167*M167,"")))</f>
        <v/>
      </c>
      <c r="O167" s="17" t="str">
        <f aca="false">IF(D167="","",D167)</f>
        <v/>
      </c>
      <c r="P167" s="18" t="str">
        <f aca="false">IF(I167="","",IF(COUNTIF(Q167:AN167,TRUE())&gt;=I167,"PAGADO",IF(COUNTIF(Q167:AN167,TRUE())&gt;0,"PARCIAL","VIGENTE")))</f>
        <v/>
      </c>
      <c r="Q167" s="19" t="str">
        <f aca="false">IF(OR(I167="",I167&lt;1,O167=""),"",O167+0)</f>
        <v/>
      </c>
      <c r="R167" s="19" t="str">
        <f aca="false">IF(OR(I167="",I167&lt;2,O167=""),"",O167+30)</f>
        <v/>
      </c>
      <c r="S167" s="19" t="str">
        <f aca="false">IF(OR(I167="",I167&lt;3,O167=""),"",O167+60)</f>
        <v/>
      </c>
      <c r="T167" s="19" t="str">
        <f aca="false">IF(OR(I167="",I167&lt;4,O167=""),"",O167+90)</f>
        <v/>
      </c>
      <c r="U167" s="19" t="str">
        <f aca="false">IF(OR(I167="",I167&lt;5,O167=""),"",O167+120)</f>
        <v/>
      </c>
      <c r="V167" s="19" t="str">
        <f aca="false">IF(OR(I167="",I167&lt;6,O167=""),"",O167+150)</f>
        <v/>
      </c>
      <c r="W167" s="19" t="str">
        <f aca="false">IF(OR(I167="",I167&lt;7,O167=""),"",O167+180)</f>
        <v/>
      </c>
      <c r="X167" s="19" t="str">
        <f aca="false">IF(OR(I167="",I167&lt;8,O167=""),"",O167+210)</f>
        <v/>
      </c>
      <c r="Y167" s="19" t="str">
        <f aca="false">IF(OR(I167="",I167&lt;9,O167=""),"",O167+240)</f>
        <v/>
      </c>
      <c r="Z167" s="19" t="str">
        <f aca="false">IF(OR(I167="",I167&lt;10,O167=""),"",O167+270)</f>
        <v/>
      </c>
      <c r="AA167" s="19" t="str">
        <f aca="false">IF(OR(I167="",I167&lt;11,O167=""),"",O167+300)</f>
        <v/>
      </c>
      <c r="AB167" s="19" t="str">
        <f aca="false">IF(OR(I167="",I167&lt;12,O167=""),"",O167+330)</f>
        <v/>
      </c>
      <c r="AC167" s="19" t="str">
        <f aca="false">IF(OR(I167="",I167&lt;13,O167=""),"",O167+360)</f>
        <v/>
      </c>
      <c r="AD167" s="19" t="str">
        <f aca="false">IF(OR(I167="",I167&lt;14,O167=""),"",O167+390)</f>
        <v/>
      </c>
      <c r="AE167" s="19" t="str">
        <f aca="false">IF(OR(I167="",I167&lt;15,O167=""),"",O167+420)</f>
        <v/>
      </c>
      <c r="AF167" s="19" t="str">
        <f aca="false">IF(OR(I167="",I167&lt;16,O167=""),"",O167+450)</f>
        <v/>
      </c>
      <c r="AG167" s="19" t="str">
        <f aca="false">IF(OR(I167="",I167&lt;17,O167=""),"",O167+480)</f>
        <v/>
      </c>
      <c r="AH167" s="19" t="str">
        <f aca="false">IF(OR(I167="",I167&lt;18,O167=""),"",O167+510)</f>
        <v/>
      </c>
      <c r="AI167" s="19" t="str">
        <f aca="false">IF(OR(I167="",I167&lt;19,O167=""),"",O167+540)</f>
        <v/>
      </c>
      <c r="AJ167" s="19" t="str">
        <f aca="false">IF(OR(I167="",I167&lt;20,O167=""),"",O167+570)</f>
        <v/>
      </c>
      <c r="AK167" s="19" t="str">
        <f aca="false">IF(OR(I167="",I167&lt;21,O167=""),"",O167+600)</f>
        <v/>
      </c>
      <c r="AL167" s="19" t="str">
        <f aca="false">IF(OR(I167="",I167&lt;22,O167=""),"",O167+630)</f>
        <v/>
      </c>
      <c r="AM167" s="19" t="str">
        <f aca="false">IF(OR(I167="",I167&lt;23,O167=""),"",O167+660)</f>
        <v/>
      </c>
      <c r="AN167" s="19" t="str">
        <f aca="false">IF(OR(I167="",I167&lt;24,O167=""),"",O167+690)</f>
        <v/>
      </c>
      <c r="AO167" s="15" t="str">
        <f aca="false">IF(J167="","",COUNTIF(Q167:AN167,TRUE())*J167)</f>
        <v/>
      </c>
      <c r="AP167" s="15" t="str">
        <f aca="false">IF(K167="","",K167-AO167)</f>
        <v/>
      </c>
      <c r="AQ167" s="15" t="str">
        <f aca="false">IF(K167="","",K167-F167-IF(N167="",0,N167))</f>
        <v/>
      </c>
    </row>
    <row r="168" customFormat="false" ht="15" hidden="false" customHeight="false" outlineLevel="0" collapsed="false">
      <c r="A168" s="4"/>
      <c r="B168" s="4"/>
      <c r="C168" s="4"/>
      <c r="D168" s="5"/>
      <c r="E168" s="5"/>
      <c r="F168" s="6"/>
      <c r="G168" s="4"/>
      <c r="H168" s="4"/>
      <c r="I168" s="4"/>
      <c r="J168" s="6"/>
      <c r="K168" s="7" t="str">
        <f aca="false">IF(OR(I168="",J168=""),"",I168*J168)</f>
        <v/>
      </c>
      <c r="L168" s="4"/>
      <c r="M168" s="8"/>
      <c r="N168" s="7" t="str">
        <f aca="false">IF(OR(L168="",M168="",K168=""),"",IF(L168="GANANCIA",(K168-F168)*M168,IF(L168="BRUTO",K168*M168,"")))</f>
        <v/>
      </c>
      <c r="O168" s="9" t="str">
        <f aca="false">IF(D168="","",D168)</f>
        <v/>
      </c>
      <c r="P168" s="10" t="str">
        <f aca="false">IF(I168="","",IF(COUNTIF(Q168:AN168,TRUE())&gt;=I168,"PAGADO",IF(COUNTIF(Q168:AN168,TRUE())&gt;0,"PARCIAL","VIGENTE")))</f>
        <v/>
      </c>
      <c r="Q168" s="11" t="str">
        <f aca="false">IF(OR(I168="",I168&lt;1,O168=""),"",O168+0)</f>
        <v/>
      </c>
      <c r="R168" s="11" t="str">
        <f aca="false">IF(OR(I168="",I168&lt;2,O168=""),"",O168+30)</f>
        <v/>
      </c>
      <c r="S168" s="11" t="str">
        <f aca="false">IF(OR(I168="",I168&lt;3,O168=""),"",O168+60)</f>
        <v/>
      </c>
      <c r="T168" s="11" t="str">
        <f aca="false">IF(OR(I168="",I168&lt;4,O168=""),"",O168+90)</f>
        <v/>
      </c>
      <c r="U168" s="11" t="str">
        <f aca="false">IF(OR(I168="",I168&lt;5,O168=""),"",O168+120)</f>
        <v/>
      </c>
      <c r="V168" s="11" t="str">
        <f aca="false">IF(OR(I168="",I168&lt;6,O168=""),"",O168+150)</f>
        <v/>
      </c>
      <c r="W168" s="11" t="str">
        <f aca="false">IF(OR(I168="",I168&lt;7,O168=""),"",O168+180)</f>
        <v/>
      </c>
      <c r="X168" s="11" t="str">
        <f aca="false">IF(OR(I168="",I168&lt;8,O168=""),"",O168+210)</f>
        <v/>
      </c>
      <c r="Y168" s="11" t="str">
        <f aca="false">IF(OR(I168="",I168&lt;9,O168=""),"",O168+240)</f>
        <v/>
      </c>
      <c r="Z168" s="11" t="str">
        <f aca="false">IF(OR(I168="",I168&lt;10,O168=""),"",O168+270)</f>
        <v/>
      </c>
      <c r="AA168" s="11" t="str">
        <f aca="false">IF(OR(I168="",I168&lt;11,O168=""),"",O168+300)</f>
        <v/>
      </c>
      <c r="AB168" s="11" t="str">
        <f aca="false">IF(OR(I168="",I168&lt;12,O168=""),"",O168+330)</f>
        <v/>
      </c>
      <c r="AC168" s="11" t="str">
        <f aca="false">IF(OR(I168="",I168&lt;13,O168=""),"",O168+360)</f>
        <v/>
      </c>
      <c r="AD168" s="11" t="str">
        <f aca="false">IF(OR(I168="",I168&lt;14,O168=""),"",O168+390)</f>
        <v/>
      </c>
      <c r="AE168" s="11" t="str">
        <f aca="false">IF(OR(I168="",I168&lt;15,O168=""),"",O168+420)</f>
        <v/>
      </c>
      <c r="AF168" s="11" t="str">
        <f aca="false">IF(OR(I168="",I168&lt;16,O168=""),"",O168+450)</f>
        <v/>
      </c>
      <c r="AG168" s="11" t="str">
        <f aca="false">IF(OR(I168="",I168&lt;17,O168=""),"",O168+480)</f>
        <v/>
      </c>
      <c r="AH168" s="11" t="str">
        <f aca="false">IF(OR(I168="",I168&lt;18,O168=""),"",O168+510)</f>
        <v/>
      </c>
      <c r="AI168" s="11" t="str">
        <f aca="false">IF(OR(I168="",I168&lt;19,O168=""),"",O168+540)</f>
        <v/>
      </c>
      <c r="AJ168" s="11" t="str">
        <f aca="false">IF(OR(I168="",I168&lt;20,O168=""),"",O168+570)</f>
        <v/>
      </c>
      <c r="AK168" s="11" t="str">
        <f aca="false">IF(OR(I168="",I168&lt;21,O168=""),"",O168+600)</f>
        <v/>
      </c>
      <c r="AL168" s="11" t="str">
        <f aca="false">IF(OR(I168="",I168&lt;22,O168=""),"",O168+630)</f>
        <v/>
      </c>
      <c r="AM168" s="11" t="str">
        <f aca="false">IF(OR(I168="",I168&lt;23,O168=""),"",O168+660)</f>
        <v/>
      </c>
      <c r="AN168" s="11" t="str">
        <f aca="false">IF(OR(I168="",I168&lt;24,O168=""),"",O168+690)</f>
        <v/>
      </c>
      <c r="AO168" s="7" t="str">
        <f aca="false">IF(J168="","",COUNTIF(Q168:AN168,TRUE())*J168)</f>
        <v/>
      </c>
      <c r="AP168" s="7" t="str">
        <f aca="false">IF(K168="","",K168-AO168)</f>
        <v/>
      </c>
      <c r="AQ168" s="7" t="str">
        <f aca="false">IF(K168="","",K168-F168-IF(N168="",0,N168))</f>
        <v/>
      </c>
    </row>
    <row r="169" customFormat="false" ht="15" hidden="false" customHeight="false" outlineLevel="0" collapsed="false">
      <c r="A169" s="12"/>
      <c r="B169" s="12"/>
      <c r="C169" s="12"/>
      <c r="D169" s="13"/>
      <c r="E169" s="13"/>
      <c r="F169" s="14"/>
      <c r="G169" s="12"/>
      <c r="H169" s="12"/>
      <c r="I169" s="12"/>
      <c r="J169" s="14"/>
      <c r="K169" s="15" t="str">
        <f aca="false">IF(OR(I169="",J169=""),"",I169*J169)</f>
        <v/>
      </c>
      <c r="L169" s="12"/>
      <c r="M169" s="16"/>
      <c r="N169" s="15" t="str">
        <f aca="false">IF(OR(L169="",M169="",K169=""),"",IF(L169="GANANCIA",(K169-F169)*M169,IF(L169="BRUTO",K169*M169,"")))</f>
        <v/>
      </c>
      <c r="O169" s="17" t="str">
        <f aca="false">IF(D169="","",D169)</f>
        <v/>
      </c>
      <c r="P169" s="18" t="str">
        <f aca="false">IF(I169="","",IF(COUNTIF(Q169:AN169,TRUE())&gt;=I169,"PAGADO",IF(COUNTIF(Q169:AN169,TRUE())&gt;0,"PARCIAL","VIGENTE")))</f>
        <v/>
      </c>
      <c r="Q169" s="19" t="str">
        <f aca="false">IF(OR(I169="",I169&lt;1,O169=""),"",O169+0)</f>
        <v/>
      </c>
      <c r="R169" s="19" t="str">
        <f aca="false">IF(OR(I169="",I169&lt;2,O169=""),"",O169+30)</f>
        <v/>
      </c>
      <c r="S169" s="19" t="str">
        <f aca="false">IF(OR(I169="",I169&lt;3,O169=""),"",O169+60)</f>
        <v/>
      </c>
      <c r="T169" s="19" t="str">
        <f aca="false">IF(OR(I169="",I169&lt;4,O169=""),"",O169+90)</f>
        <v/>
      </c>
      <c r="U169" s="19" t="str">
        <f aca="false">IF(OR(I169="",I169&lt;5,O169=""),"",O169+120)</f>
        <v/>
      </c>
      <c r="V169" s="19" t="str">
        <f aca="false">IF(OR(I169="",I169&lt;6,O169=""),"",O169+150)</f>
        <v/>
      </c>
      <c r="W169" s="19" t="str">
        <f aca="false">IF(OR(I169="",I169&lt;7,O169=""),"",O169+180)</f>
        <v/>
      </c>
      <c r="X169" s="19" t="str">
        <f aca="false">IF(OR(I169="",I169&lt;8,O169=""),"",O169+210)</f>
        <v/>
      </c>
      <c r="Y169" s="19" t="str">
        <f aca="false">IF(OR(I169="",I169&lt;9,O169=""),"",O169+240)</f>
        <v/>
      </c>
      <c r="Z169" s="19" t="str">
        <f aca="false">IF(OR(I169="",I169&lt;10,O169=""),"",O169+270)</f>
        <v/>
      </c>
      <c r="AA169" s="19" t="str">
        <f aca="false">IF(OR(I169="",I169&lt;11,O169=""),"",O169+300)</f>
        <v/>
      </c>
      <c r="AB169" s="19" t="str">
        <f aca="false">IF(OR(I169="",I169&lt;12,O169=""),"",O169+330)</f>
        <v/>
      </c>
      <c r="AC169" s="19" t="str">
        <f aca="false">IF(OR(I169="",I169&lt;13,O169=""),"",O169+360)</f>
        <v/>
      </c>
      <c r="AD169" s="19" t="str">
        <f aca="false">IF(OR(I169="",I169&lt;14,O169=""),"",O169+390)</f>
        <v/>
      </c>
      <c r="AE169" s="19" t="str">
        <f aca="false">IF(OR(I169="",I169&lt;15,O169=""),"",O169+420)</f>
        <v/>
      </c>
      <c r="AF169" s="19" t="str">
        <f aca="false">IF(OR(I169="",I169&lt;16,O169=""),"",O169+450)</f>
        <v/>
      </c>
      <c r="AG169" s="19" t="str">
        <f aca="false">IF(OR(I169="",I169&lt;17,O169=""),"",O169+480)</f>
        <v/>
      </c>
      <c r="AH169" s="19" t="str">
        <f aca="false">IF(OR(I169="",I169&lt;18,O169=""),"",O169+510)</f>
        <v/>
      </c>
      <c r="AI169" s="19" t="str">
        <f aca="false">IF(OR(I169="",I169&lt;19,O169=""),"",O169+540)</f>
        <v/>
      </c>
      <c r="AJ169" s="19" t="str">
        <f aca="false">IF(OR(I169="",I169&lt;20,O169=""),"",O169+570)</f>
        <v/>
      </c>
      <c r="AK169" s="19" t="str">
        <f aca="false">IF(OR(I169="",I169&lt;21,O169=""),"",O169+600)</f>
        <v/>
      </c>
      <c r="AL169" s="19" t="str">
        <f aca="false">IF(OR(I169="",I169&lt;22,O169=""),"",O169+630)</f>
        <v/>
      </c>
      <c r="AM169" s="19" t="str">
        <f aca="false">IF(OR(I169="",I169&lt;23,O169=""),"",O169+660)</f>
        <v/>
      </c>
      <c r="AN169" s="19" t="str">
        <f aca="false">IF(OR(I169="",I169&lt;24,O169=""),"",O169+690)</f>
        <v/>
      </c>
      <c r="AO169" s="15" t="str">
        <f aca="false">IF(J169="","",COUNTIF(Q169:AN169,TRUE())*J169)</f>
        <v/>
      </c>
      <c r="AP169" s="15" t="str">
        <f aca="false">IF(K169="","",K169-AO169)</f>
        <v/>
      </c>
      <c r="AQ169" s="15" t="str">
        <f aca="false">IF(K169="","",K169-F169-IF(N169="",0,N169))</f>
        <v/>
      </c>
    </row>
    <row r="170" customFormat="false" ht="15" hidden="false" customHeight="false" outlineLevel="0" collapsed="false">
      <c r="A170" s="4"/>
      <c r="B170" s="4"/>
      <c r="C170" s="4"/>
      <c r="D170" s="5"/>
      <c r="E170" s="5"/>
      <c r="F170" s="6"/>
      <c r="G170" s="4"/>
      <c r="H170" s="4"/>
      <c r="I170" s="4"/>
      <c r="J170" s="6"/>
      <c r="K170" s="7" t="str">
        <f aca="false">IF(OR(I170="",J170=""),"",I170*J170)</f>
        <v/>
      </c>
      <c r="L170" s="4"/>
      <c r="M170" s="8"/>
      <c r="N170" s="7" t="str">
        <f aca="false">IF(OR(L170="",M170="",K170=""),"",IF(L170="GANANCIA",(K170-F170)*M170,IF(L170="BRUTO",K170*M170,"")))</f>
        <v/>
      </c>
      <c r="O170" s="9" t="str">
        <f aca="false">IF(D170="","",D170)</f>
        <v/>
      </c>
      <c r="P170" s="10" t="str">
        <f aca="false">IF(I170="","",IF(COUNTIF(Q170:AN170,TRUE())&gt;=I170,"PAGADO",IF(COUNTIF(Q170:AN170,TRUE())&gt;0,"PARCIAL","VIGENTE")))</f>
        <v/>
      </c>
      <c r="Q170" s="11" t="str">
        <f aca="false">IF(OR(I170="",I170&lt;1,O170=""),"",O170+0)</f>
        <v/>
      </c>
      <c r="R170" s="11" t="str">
        <f aca="false">IF(OR(I170="",I170&lt;2,O170=""),"",O170+30)</f>
        <v/>
      </c>
      <c r="S170" s="11" t="str">
        <f aca="false">IF(OR(I170="",I170&lt;3,O170=""),"",O170+60)</f>
        <v/>
      </c>
      <c r="T170" s="11" t="str">
        <f aca="false">IF(OR(I170="",I170&lt;4,O170=""),"",O170+90)</f>
        <v/>
      </c>
      <c r="U170" s="11" t="str">
        <f aca="false">IF(OR(I170="",I170&lt;5,O170=""),"",O170+120)</f>
        <v/>
      </c>
      <c r="V170" s="11" t="str">
        <f aca="false">IF(OR(I170="",I170&lt;6,O170=""),"",O170+150)</f>
        <v/>
      </c>
      <c r="W170" s="11" t="str">
        <f aca="false">IF(OR(I170="",I170&lt;7,O170=""),"",O170+180)</f>
        <v/>
      </c>
      <c r="X170" s="11" t="str">
        <f aca="false">IF(OR(I170="",I170&lt;8,O170=""),"",O170+210)</f>
        <v/>
      </c>
      <c r="Y170" s="11" t="str">
        <f aca="false">IF(OR(I170="",I170&lt;9,O170=""),"",O170+240)</f>
        <v/>
      </c>
      <c r="Z170" s="11" t="str">
        <f aca="false">IF(OR(I170="",I170&lt;10,O170=""),"",O170+270)</f>
        <v/>
      </c>
      <c r="AA170" s="11" t="str">
        <f aca="false">IF(OR(I170="",I170&lt;11,O170=""),"",O170+300)</f>
        <v/>
      </c>
      <c r="AB170" s="11" t="str">
        <f aca="false">IF(OR(I170="",I170&lt;12,O170=""),"",O170+330)</f>
        <v/>
      </c>
      <c r="AC170" s="11" t="str">
        <f aca="false">IF(OR(I170="",I170&lt;13,O170=""),"",O170+360)</f>
        <v/>
      </c>
      <c r="AD170" s="11" t="str">
        <f aca="false">IF(OR(I170="",I170&lt;14,O170=""),"",O170+390)</f>
        <v/>
      </c>
      <c r="AE170" s="11" t="str">
        <f aca="false">IF(OR(I170="",I170&lt;15,O170=""),"",O170+420)</f>
        <v/>
      </c>
      <c r="AF170" s="11" t="str">
        <f aca="false">IF(OR(I170="",I170&lt;16,O170=""),"",O170+450)</f>
        <v/>
      </c>
      <c r="AG170" s="11" t="str">
        <f aca="false">IF(OR(I170="",I170&lt;17,O170=""),"",O170+480)</f>
        <v/>
      </c>
      <c r="AH170" s="11" t="str">
        <f aca="false">IF(OR(I170="",I170&lt;18,O170=""),"",O170+510)</f>
        <v/>
      </c>
      <c r="AI170" s="11" t="str">
        <f aca="false">IF(OR(I170="",I170&lt;19,O170=""),"",O170+540)</f>
        <v/>
      </c>
      <c r="AJ170" s="11" t="str">
        <f aca="false">IF(OR(I170="",I170&lt;20,O170=""),"",O170+570)</f>
        <v/>
      </c>
      <c r="AK170" s="11" t="str">
        <f aca="false">IF(OR(I170="",I170&lt;21,O170=""),"",O170+600)</f>
        <v/>
      </c>
      <c r="AL170" s="11" t="str">
        <f aca="false">IF(OR(I170="",I170&lt;22,O170=""),"",O170+630)</f>
        <v/>
      </c>
      <c r="AM170" s="11" t="str">
        <f aca="false">IF(OR(I170="",I170&lt;23,O170=""),"",O170+660)</f>
        <v/>
      </c>
      <c r="AN170" s="11" t="str">
        <f aca="false">IF(OR(I170="",I170&lt;24,O170=""),"",O170+690)</f>
        <v/>
      </c>
      <c r="AO170" s="7" t="str">
        <f aca="false">IF(J170="","",COUNTIF(Q170:AN170,TRUE())*J170)</f>
        <v/>
      </c>
      <c r="AP170" s="7" t="str">
        <f aca="false">IF(K170="","",K170-AO170)</f>
        <v/>
      </c>
      <c r="AQ170" s="7" t="str">
        <f aca="false">IF(K170="","",K170-F170-IF(N170="",0,N170))</f>
        <v/>
      </c>
    </row>
    <row r="171" customFormat="false" ht="15" hidden="false" customHeight="false" outlineLevel="0" collapsed="false">
      <c r="A171" s="12"/>
      <c r="B171" s="12"/>
      <c r="C171" s="12"/>
      <c r="D171" s="13"/>
      <c r="E171" s="13"/>
      <c r="F171" s="14"/>
      <c r="G171" s="12"/>
      <c r="H171" s="12"/>
      <c r="I171" s="12"/>
      <c r="J171" s="14"/>
      <c r="K171" s="15" t="str">
        <f aca="false">IF(OR(I171="",J171=""),"",I171*J171)</f>
        <v/>
      </c>
      <c r="L171" s="12"/>
      <c r="M171" s="16"/>
      <c r="N171" s="15" t="str">
        <f aca="false">IF(OR(L171="",M171="",K171=""),"",IF(L171="GANANCIA",(K171-F171)*M171,IF(L171="BRUTO",K171*M171,"")))</f>
        <v/>
      </c>
      <c r="O171" s="17" t="str">
        <f aca="false">IF(D171="","",D171)</f>
        <v/>
      </c>
      <c r="P171" s="18" t="str">
        <f aca="false">IF(I171="","",IF(COUNTIF(Q171:AN171,TRUE())&gt;=I171,"PAGADO",IF(COUNTIF(Q171:AN171,TRUE())&gt;0,"PARCIAL","VIGENTE")))</f>
        <v/>
      </c>
      <c r="Q171" s="19" t="str">
        <f aca="false">IF(OR(I171="",I171&lt;1,O171=""),"",O171+0)</f>
        <v/>
      </c>
      <c r="R171" s="19" t="str">
        <f aca="false">IF(OR(I171="",I171&lt;2,O171=""),"",O171+30)</f>
        <v/>
      </c>
      <c r="S171" s="19" t="str">
        <f aca="false">IF(OR(I171="",I171&lt;3,O171=""),"",O171+60)</f>
        <v/>
      </c>
      <c r="T171" s="19" t="str">
        <f aca="false">IF(OR(I171="",I171&lt;4,O171=""),"",O171+90)</f>
        <v/>
      </c>
      <c r="U171" s="19" t="str">
        <f aca="false">IF(OR(I171="",I171&lt;5,O171=""),"",O171+120)</f>
        <v/>
      </c>
      <c r="V171" s="19" t="str">
        <f aca="false">IF(OR(I171="",I171&lt;6,O171=""),"",O171+150)</f>
        <v/>
      </c>
      <c r="W171" s="19" t="str">
        <f aca="false">IF(OR(I171="",I171&lt;7,O171=""),"",O171+180)</f>
        <v/>
      </c>
      <c r="X171" s="19" t="str">
        <f aca="false">IF(OR(I171="",I171&lt;8,O171=""),"",O171+210)</f>
        <v/>
      </c>
      <c r="Y171" s="19" t="str">
        <f aca="false">IF(OR(I171="",I171&lt;9,O171=""),"",O171+240)</f>
        <v/>
      </c>
      <c r="Z171" s="19" t="str">
        <f aca="false">IF(OR(I171="",I171&lt;10,O171=""),"",O171+270)</f>
        <v/>
      </c>
      <c r="AA171" s="19" t="str">
        <f aca="false">IF(OR(I171="",I171&lt;11,O171=""),"",O171+300)</f>
        <v/>
      </c>
      <c r="AB171" s="19" t="str">
        <f aca="false">IF(OR(I171="",I171&lt;12,O171=""),"",O171+330)</f>
        <v/>
      </c>
      <c r="AC171" s="19" t="str">
        <f aca="false">IF(OR(I171="",I171&lt;13,O171=""),"",O171+360)</f>
        <v/>
      </c>
      <c r="AD171" s="19" t="str">
        <f aca="false">IF(OR(I171="",I171&lt;14,O171=""),"",O171+390)</f>
        <v/>
      </c>
      <c r="AE171" s="19" t="str">
        <f aca="false">IF(OR(I171="",I171&lt;15,O171=""),"",O171+420)</f>
        <v/>
      </c>
      <c r="AF171" s="19" t="str">
        <f aca="false">IF(OR(I171="",I171&lt;16,O171=""),"",O171+450)</f>
        <v/>
      </c>
      <c r="AG171" s="19" t="str">
        <f aca="false">IF(OR(I171="",I171&lt;17,O171=""),"",O171+480)</f>
        <v/>
      </c>
      <c r="AH171" s="19" t="str">
        <f aca="false">IF(OR(I171="",I171&lt;18,O171=""),"",O171+510)</f>
        <v/>
      </c>
      <c r="AI171" s="19" t="str">
        <f aca="false">IF(OR(I171="",I171&lt;19,O171=""),"",O171+540)</f>
        <v/>
      </c>
      <c r="AJ171" s="19" t="str">
        <f aca="false">IF(OR(I171="",I171&lt;20,O171=""),"",O171+570)</f>
        <v/>
      </c>
      <c r="AK171" s="19" t="str">
        <f aca="false">IF(OR(I171="",I171&lt;21,O171=""),"",O171+600)</f>
        <v/>
      </c>
      <c r="AL171" s="19" t="str">
        <f aca="false">IF(OR(I171="",I171&lt;22,O171=""),"",O171+630)</f>
        <v/>
      </c>
      <c r="AM171" s="19" t="str">
        <f aca="false">IF(OR(I171="",I171&lt;23,O171=""),"",O171+660)</f>
        <v/>
      </c>
      <c r="AN171" s="19" t="str">
        <f aca="false">IF(OR(I171="",I171&lt;24,O171=""),"",O171+690)</f>
        <v/>
      </c>
      <c r="AO171" s="15" t="str">
        <f aca="false">IF(J171="","",COUNTIF(Q171:AN171,TRUE())*J171)</f>
        <v/>
      </c>
      <c r="AP171" s="15" t="str">
        <f aca="false">IF(K171="","",K171-AO171)</f>
        <v/>
      </c>
      <c r="AQ171" s="15" t="str">
        <f aca="false">IF(K171="","",K171-F171-IF(N171="",0,N171))</f>
        <v/>
      </c>
    </row>
    <row r="172" customFormat="false" ht="15" hidden="false" customHeight="false" outlineLevel="0" collapsed="false">
      <c r="A172" s="4"/>
      <c r="B172" s="4"/>
      <c r="C172" s="4"/>
      <c r="D172" s="5"/>
      <c r="E172" s="5"/>
      <c r="F172" s="6"/>
      <c r="G172" s="4"/>
      <c r="H172" s="4"/>
      <c r="I172" s="4"/>
      <c r="J172" s="6"/>
      <c r="K172" s="7" t="str">
        <f aca="false">IF(OR(I172="",J172=""),"",I172*J172)</f>
        <v/>
      </c>
      <c r="L172" s="4"/>
      <c r="M172" s="8"/>
      <c r="N172" s="7" t="str">
        <f aca="false">IF(OR(L172="",M172="",K172=""),"",IF(L172="GANANCIA",(K172-F172)*M172,IF(L172="BRUTO",K172*M172,"")))</f>
        <v/>
      </c>
      <c r="O172" s="9" t="str">
        <f aca="false">IF(D172="","",D172)</f>
        <v/>
      </c>
      <c r="P172" s="10" t="str">
        <f aca="false">IF(I172="","",IF(COUNTIF(Q172:AN172,TRUE())&gt;=I172,"PAGADO",IF(COUNTIF(Q172:AN172,TRUE())&gt;0,"PARCIAL","VIGENTE")))</f>
        <v/>
      </c>
      <c r="Q172" s="11" t="str">
        <f aca="false">IF(OR(I172="",I172&lt;1,O172=""),"",O172+0)</f>
        <v/>
      </c>
      <c r="R172" s="11" t="str">
        <f aca="false">IF(OR(I172="",I172&lt;2,O172=""),"",O172+30)</f>
        <v/>
      </c>
      <c r="S172" s="11" t="str">
        <f aca="false">IF(OR(I172="",I172&lt;3,O172=""),"",O172+60)</f>
        <v/>
      </c>
      <c r="T172" s="11" t="str">
        <f aca="false">IF(OR(I172="",I172&lt;4,O172=""),"",O172+90)</f>
        <v/>
      </c>
      <c r="U172" s="11" t="str">
        <f aca="false">IF(OR(I172="",I172&lt;5,O172=""),"",O172+120)</f>
        <v/>
      </c>
      <c r="V172" s="11" t="str">
        <f aca="false">IF(OR(I172="",I172&lt;6,O172=""),"",O172+150)</f>
        <v/>
      </c>
      <c r="W172" s="11" t="str">
        <f aca="false">IF(OR(I172="",I172&lt;7,O172=""),"",O172+180)</f>
        <v/>
      </c>
      <c r="X172" s="11" t="str">
        <f aca="false">IF(OR(I172="",I172&lt;8,O172=""),"",O172+210)</f>
        <v/>
      </c>
      <c r="Y172" s="11" t="str">
        <f aca="false">IF(OR(I172="",I172&lt;9,O172=""),"",O172+240)</f>
        <v/>
      </c>
      <c r="Z172" s="11" t="str">
        <f aca="false">IF(OR(I172="",I172&lt;10,O172=""),"",O172+270)</f>
        <v/>
      </c>
      <c r="AA172" s="11" t="str">
        <f aca="false">IF(OR(I172="",I172&lt;11,O172=""),"",O172+300)</f>
        <v/>
      </c>
      <c r="AB172" s="11" t="str">
        <f aca="false">IF(OR(I172="",I172&lt;12,O172=""),"",O172+330)</f>
        <v/>
      </c>
      <c r="AC172" s="11" t="str">
        <f aca="false">IF(OR(I172="",I172&lt;13,O172=""),"",O172+360)</f>
        <v/>
      </c>
      <c r="AD172" s="11" t="str">
        <f aca="false">IF(OR(I172="",I172&lt;14,O172=""),"",O172+390)</f>
        <v/>
      </c>
      <c r="AE172" s="11" t="str">
        <f aca="false">IF(OR(I172="",I172&lt;15,O172=""),"",O172+420)</f>
        <v/>
      </c>
      <c r="AF172" s="11" t="str">
        <f aca="false">IF(OR(I172="",I172&lt;16,O172=""),"",O172+450)</f>
        <v/>
      </c>
      <c r="AG172" s="11" t="str">
        <f aca="false">IF(OR(I172="",I172&lt;17,O172=""),"",O172+480)</f>
        <v/>
      </c>
      <c r="AH172" s="11" t="str">
        <f aca="false">IF(OR(I172="",I172&lt;18,O172=""),"",O172+510)</f>
        <v/>
      </c>
      <c r="AI172" s="11" t="str">
        <f aca="false">IF(OR(I172="",I172&lt;19,O172=""),"",O172+540)</f>
        <v/>
      </c>
      <c r="AJ172" s="11" t="str">
        <f aca="false">IF(OR(I172="",I172&lt;20,O172=""),"",O172+570)</f>
        <v/>
      </c>
      <c r="AK172" s="11" t="str">
        <f aca="false">IF(OR(I172="",I172&lt;21,O172=""),"",O172+600)</f>
        <v/>
      </c>
      <c r="AL172" s="11" t="str">
        <f aca="false">IF(OR(I172="",I172&lt;22,O172=""),"",O172+630)</f>
        <v/>
      </c>
      <c r="AM172" s="11" t="str">
        <f aca="false">IF(OR(I172="",I172&lt;23,O172=""),"",O172+660)</f>
        <v/>
      </c>
      <c r="AN172" s="11" t="str">
        <f aca="false">IF(OR(I172="",I172&lt;24,O172=""),"",O172+690)</f>
        <v/>
      </c>
      <c r="AO172" s="7" t="str">
        <f aca="false">IF(J172="","",COUNTIF(Q172:AN172,TRUE())*J172)</f>
        <v/>
      </c>
      <c r="AP172" s="7" t="str">
        <f aca="false">IF(K172="","",K172-AO172)</f>
        <v/>
      </c>
      <c r="AQ172" s="7" t="str">
        <f aca="false">IF(K172="","",K172-F172-IF(N172="",0,N172))</f>
        <v/>
      </c>
    </row>
    <row r="173" customFormat="false" ht="15" hidden="false" customHeight="false" outlineLevel="0" collapsed="false">
      <c r="A173" s="12"/>
      <c r="B173" s="12"/>
      <c r="C173" s="12"/>
      <c r="D173" s="13"/>
      <c r="E173" s="13"/>
      <c r="F173" s="14"/>
      <c r="G173" s="12"/>
      <c r="H173" s="12"/>
      <c r="I173" s="12"/>
      <c r="J173" s="14"/>
      <c r="K173" s="15" t="str">
        <f aca="false">IF(OR(I173="",J173=""),"",I173*J173)</f>
        <v/>
      </c>
      <c r="L173" s="12"/>
      <c r="M173" s="16"/>
      <c r="N173" s="15" t="str">
        <f aca="false">IF(OR(L173="",M173="",K173=""),"",IF(L173="GANANCIA",(K173-F173)*M173,IF(L173="BRUTO",K173*M173,"")))</f>
        <v/>
      </c>
      <c r="O173" s="17" t="str">
        <f aca="false">IF(D173="","",D173)</f>
        <v/>
      </c>
      <c r="P173" s="18" t="str">
        <f aca="false">IF(I173="","",IF(COUNTIF(Q173:AN173,TRUE())&gt;=I173,"PAGADO",IF(COUNTIF(Q173:AN173,TRUE())&gt;0,"PARCIAL","VIGENTE")))</f>
        <v/>
      </c>
      <c r="Q173" s="19" t="str">
        <f aca="false">IF(OR(I173="",I173&lt;1,O173=""),"",O173+0)</f>
        <v/>
      </c>
      <c r="R173" s="19" t="str">
        <f aca="false">IF(OR(I173="",I173&lt;2,O173=""),"",O173+30)</f>
        <v/>
      </c>
      <c r="S173" s="19" t="str">
        <f aca="false">IF(OR(I173="",I173&lt;3,O173=""),"",O173+60)</f>
        <v/>
      </c>
      <c r="T173" s="19" t="str">
        <f aca="false">IF(OR(I173="",I173&lt;4,O173=""),"",O173+90)</f>
        <v/>
      </c>
      <c r="U173" s="19" t="str">
        <f aca="false">IF(OR(I173="",I173&lt;5,O173=""),"",O173+120)</f>
        <v/>
      </c>
      <c r="V173" s="19" t="str">
        <f aca="false">IF(OR(I173="",I173&lt;6,O173=""),"",O173+150)</f>
        <v/>
      </c>
      <c r="W173" s="19" t="str">
        <f aca="false">IF(OR(I173="",I173&lt;7,O173=""),"",O173+180)</f>
        <v/>
      </c>
      <c r="X173" s="19" t="str">
        <f aca="false">IF(OR(I173="",I173&lt;8,O173=""),"",O173+210)</f>
        <v/>
      </c>
      <c r="Y173" s="19" t="str">
        <f aca="false">IF(OR(I173="",I173&lt;9,O173=""),"",O173+240)</f>
        <v/>
      </c>
      <c r="Z173" s="19" t="str">
        <f aca="false">IF(OR(I173="",I173&lt;10,O173=""),"",O173+270)</f>
        <v/>
      </c>
      <c r="AA173" s="19" t="str">
        <f aca="false">IF(OR(I173="",I173&lt;11,O173=""),"",O173+300)</f>
        <v/>
      </c>
      <c r="AB173" s="19" t="str">
        <f aca="false">IF(OR(I173="",I173&lt;12,O173=""),"",O173+330)</f>
        <v/>
      </c>
      <c r="AC173" s="19" t="str">
        <f aca="false">IF(OR(I173="",I173&lt;13,O173=""),"",O173+360)</f>
        <v/>
      </c>
      <c r="AD173" s="19" t="str">
        <f aca="false">IF(OR(I173="",I173&lt;14,O173=""),"",O173+390)</f>
        <v/>
      </c>
      <c r="AE173" s="19" t="str">
        <f aca="false">IF(OR(I173="",I173&lt;15,O173=""),"",O173+420)</f>
        <v/>
      </c>
      <c r="AF173" s="19" t="str">
        <f aca="false">IF(OR(I173="",I173&lt;16,O173=""),"",O173+450)</f>
        <v/>
      </c>
      <c r="AG173" s="19" t="str">
        <f aca="false">IF(OR(I173="",I173&lt;17,O173=""),"",O173+480)</f>
        <v/>
      </c>
      <c r="AH173" s="19" t="str">
        <f aca="false">IF(OR(I173="",I173&lt;18,O173=""),"",O173+510)</f>
        <v/>
      </c>
      <c r="AI173" s="19" t="str">
        <f aca="false">IF(OR(I173="",I173&lt;19,O173=""),"",O173+540)</f>
        <v/>
      </c>
      <c r="AJ173" s="19" t="str">
        <f aca="false">IF(OR(I173="",I173&lt;20,O173=""),"",O173+570)</f>
        <v/>
      </c>
      <c r="AK173" s="19" t="str">
        <f aca="false">IF(OR(I173="",I173&lt;21,O173=""),"",O173+600)</f>
        <v/>
      </c>
      <c r="AL173" s="19" t="str">
        <f aca="false">IF(OR(I173="",I173&lt;22,O173=""),"",O173+630)</f>
        <v/>
      </c>
      <c r="AM173" s="19" t="str">
        <f aca="false">IF(OR(I173="",I173&lt;23,O173=""),"",O173+660)</f>
        <v/>
      </c>
      <c r="AN173" s="19" t="str">
        <f aca="false">IF(OR(I173="",I173&lt;24,O173=""),"",O173+690)</f>
        <v/>
      </c>
      <c r="AO173" s="15" t="str">
        <f aca="false">IF(J173="","",COUNTIF(Q173:AN173,TRUE())*J173)</f>
        <v/>
      </c>
      <c r="AP173" s="15" t="str">
        <f aca="false">IF(K173="","",K173-AO173)</f>
        <v/>
      </c>
      <c r="AQ173" s="15" t="str">
        <f aca="false">IF(K173="","",K173-F173-IF(N173="",0,N173))</f>
        <v/>
      </c>
    </row>
    <row r="174" customFormat="false" ht="15" hidden="false" customHeight="false" outlineLevel="0" collapsed="false">
      <c r="A174" s="4"/>
      <c r="B174" s="4"/>
      <c r="C174" s="4"/>
      <c r="D174" s="5"/>
      <c r="E174" s="5"/>
      <c r="F174" s="6"/>
      <c r="G174" s="4"/>
      <c r="H174" s="4"/>
      <c r="I174" s="4"/>
      <c r="J174" s="6"/>
      <c r="K174" s="7" t="str">
        <f aca="false">IF(OR(I174="",J174=""),"",I174*J174)</f>
        <v/>
      </c>
      <c r="L174" s="4"/>
      <c r="M174" s="8"/>
      <c r="N174" s="7" t="str">
        <f aca="false">IF(OR(L174="",M174="",K174=""),"",IF(L174="GANANCIA",(K174-F174)*M174,IF(L174="BRUTO",K174*M174,"")))</f>
        <v/>
      </c>
      <c r="O174" s="9" t="str">
        <f aca="false">IF(D174="","",D174)</f>
        <v/>
      </c>
      <c r="P174" s="10" t="str">
        <f aca="false">IF(I174="","",IF(COUNTIF(Q174:AN174,TRUE())&gt;=I174,"PAGADO",IF(COUNTIF(Q174:AN174,TRUE())&gt;0,"PARCIAL","VIGENTE")))</f>
        <v/>
      </c>
      <c r="Q174" s="11" t="str">
        <f aca="false">IF(OR(I174="",I174&lt;1,O174=""),"",O174+0)</f>
        <v/>
      </c>
      <c r="R174" s="11" t="str">
        <f aca="false">IF(OR(I174="",I174&lt;2,O174=""),"",O174+30)</f>
        <v/>
      </c>
      <c r="S174" s="11" t="str">
        <f aca="false">IF(OR(I174="",I174&lt;3,O174=""),"",O174+60)</f>
        <v/>
      </c>
      <c r="T174" s="11" t="str">
        <f aca="false">IF(OR(I174="",I174&lt;4,O174=""),"",O174+90)</f>
        <v/>
      </c>
      <c r="U174" s="11" t="str">
        <f aca="false">IF(OR(I174="",I174&lt;5,O174=""),"",O174+120)</f>
        <v/>
      </c>
      <c r="V174" s="11" t="str">
        <f aca="false">IF(OR(I174="",I174&lt;6,O174=""),"",O174+150)</f>
        <v/>
      </c>
      <c r="W174" s="11" t="str">
        <f aca="false">IF(OR(I174="",I174&lt;7,O174=""),"",O174+180)</f>
        <v/>
      </c>
      <c r="X174" s="11" t="str">
        <f aca="false">IF(OR(I174="",I174&lt;8,O174=""),"",O174+210)</f>
        <v/>
      </c>
      <c r="Y174" s="11" t="str">
        <f aca="false">IF(OR(I174="",I174&lt;9,O174=""),"",O174+240)</f>
        <v/>
      </c>
      <c r="Z174" s="11" t="str">
        <f aca="false">IF(OR(I174="",I174&lt;10,O174=""),"",O174+270)</f>
        <v/>
      </c>
      <c r="AA174" s="11" t="str">
        <f aca="false">IF(OR(I174="",I174&lt;11,O174=""),"",O174+300)</f>
        <v/>
      </c>
      <c r="AB174" s="11" t="str">
        <f aca="false">IF(OR(I174="",I174&lt;12,O174=""),"",O174+330)</f>
        <v/>
      </c>
      <c r="AC174" s="11" t="str">
        <f aca="false">IF(OR(I174="",I174&lt;13,O174=""),"",O174+360)</f>
        <v/>
      </c>
      <c r="AD174" s="11" t="str">
        <f aca="false">IF(OR(I174="",I174&lt;14,O174=""),"",O174+390)</f>
        <v/>
      </c>
      <c r="AE174" s="11" t="str">
        <f aca="false">IF(OR(I174="",I174&lt;15,O174=""),"",O174+420)</f>
        <v/>
      </c>
      <c r="AF174" s="11" t="str">
        <f aca="false">IF(OR(I174="",I174&lt;16,O174=""),"",O174+450)</f>
        <v/>
      </c>
      <c r="AG174" s="11" t="str">
        <f aca="false">IF(OR(I174="",I174&lt;17,O174=""),"",O174+480)</f>
        <v/>
      </c>
      <c r="AH174" s="11" t="str">
        <f aca="false">IF(OR(I174="",I174&lt;18,O174=""),"",O174+510)</f>
        <v/>
      </c>
      <c r="AI174" s="11" t="str">
        <f aca="false">IF(OR(I174="",I174&lt;19,O174=""),"",O174+540)</f>
        <v/>
      </c>
      <c r="AJ174" s="11" t="str">
        <f aca="false">IF(OR(I174="",I174&lt;20,O174=""),"",O174+570)</f>
        <v/>
      </c>
      <c r="AK174" s="11" t="str">
        <f aca="false">IF(OR(I174="",I174&lt;21,O174=""),"",O174+600)</f>
        <v/>
      </c>
      <c r="AL174" s="11" t="str">
        <f aca="false">IF(OR(I174="",I174&lt;22,O174=""),"",O174+630)</f>
        <v/>
      </c>
      <c r="AM174" s="11" t="str">
        <f aca="false">IF(OR(I174="",I174&lt;23,O174=""),"",O174+660)</f>
        <v/>
      </c>
      <c r="AN174" s="11" t="str">
        <f aca="false">IF(OR(I174="",I174&lt;24,O174=""),"",O174+690)</f>
        <v/>
      </c>
      <c r="AO174" s="7" t="str">
        <f aca="false">IF(J174="","",COUNTIF(Q174:AN174,TRUE())*J174)</f>
        <v/>
      </c>
      <c r="AP174" s="7" t="str">
        <f aca="false">IF(K174="","",K174-AO174)</f>
        <v/>
      </c>
      <c r="AQ174" s="7" t="str">
        <f aca="false">IF(K174="","",K174-F174-IF(N174="",0,N174))</f>
        <v/>
      </c>
    </row>
    <row r="175" customFormat="false" ht="15" hidden="false" customHeight="false" outlineLevel="0" collapsed="false">
      <c r="A175" s="12"/>
      <c r="B175" s="12"/>
      <c r="C175" s="12"/>
      <c r="D175" s="13"/>
      <c r="E175" s="13"/>
      <c r="F175" s="14"/>
      <c r="G175" s="12"/>
      <c r="H175" s="12"/>
      <c r="I175" s="12"/>
      <c r="J175" s="14"/>
      <c r="K175" s="15" t="str">
        <f aca="false">IF(OR(I175="",J175=""),"",I175*J175)</f>
        <v/>
      </c>
      <c r="L175" s="12"/>
      <c r="M175" s="16"/>
      <c r="N175" s="15" t="str">
        <f aca="false">IF(OR(L175="",M175="",K175=""),"",IF(L175="GANANCIA",(K175-F175)*M175,IF(L175="BRUTO",K175*M175,"")))</f>
        <v/>
      </c>
      <c r="O175" s="17" t="str">
        <f aca="false">IF(D175="","",D175)</f>
        <v/>
      </c>
      <c r="P175" s="18" t="str">
        <f aca="false">IF(I175="","",IF(COUNTIF(Q175:AN175,TRUE())&gt;=I175,"PAGADO",IF(COUNTIF(Q175:AN175,TRUE())&gt;0,"PARCIAL","VIGENTE")))</f>
        <v/>
      </c>
      <c r="Q175" s="19" t="str">
        <f aca="false">IF(OR(I175="",I175&lt;1,O175=""),"",O175+0)</f>
        <v/>
      </c>
      <c r="R175" s="19" t="str">
        <f aca="false">IF(OR(I175="",I175&lt;2,O175=""),"",O175+30)</f>
        <v/>
      </c>
      <c r="S175" s="19" t="str">
        <f aca="false">IF(OR(I175="",I175&lt;3,O175=""),"",O175+60)</f>
        <v/>
      </c>
      <c r="T175" s="19" t="str">
        <f aca="false">IF(OR(I175="",I175&lt;4,O175=""),"",O175+90)</f>
        <v/>
      </c>
      <c r="U175" s="19" t="str">
        <f aca="false">IF(OR(I175="",I175&lt;5,O175=""),"",O175+120)</f>
        <v/>
      </c>
      <c r="V175" s="19" t="str">
        <f aca="false">IF(OR(I175="",I175&lt;6,O175=""),"",O175+150)</f>
        <v/>
      </c>
      <c r="W175" s="19" t="str">
        <f aca="false">IF(OR(I175="",I175&lt;7,O175=""),"",O175+180)</f>
        <v/>
      </c>
      <c r="X175" s="19" t="str">
        <f aca="false">IF(OR(I175="",I175&lt;8,O175=""),"",O175+210)</f>
        <v/>
      </c>
      <c r="Y175" s="19" t="str">
        <f aca="false">IF(OR(I175="",I175&lt;9,O175=""),"",O175+240)</f>
        <v/>
      </c>
      <c r="Z175" s="19" t="str">
        <f aca="false">IF(OR(I175="",I175&lt;10,O175=""),"",O175+270)</f>
        <v/>
      </c>
      <c r="AA175" s="19" t="str">
        <f aca="false">IF(OR(I175="",I175&lt;11,O175=""),"",O175+300)</f>
        <v/>
      </c>
      <c r="AB175" s="19" t="str">
        <f aca="false">IF(OR(I175="",I175&lt;12,O175=""),"",O175+330)</f>
        <v/>
      </c>
      <c r="AC175" s="19" t="str">
        <f aca="false">IF(OR(I175="",I175&lt;13,O175=""),"",O175+360)</f>
        <v/>
      </c>
      <c r="AD175" s="19" t="str">
        <f aca="false">IF(OR(I175="",I175&lt;14,O175=""),"",O175+390)</f>
        <v/>
      </c>
      <c r="AE175" s="19" t="str">
        <f aca="false">IF(OR(I175="",I175&lt;15,O175=""),"",O175+420)</f>
        <v/>
      </c>
      <c r="AF175" s="19" t="str">
        <f aca="false">IF(OR(I175="",I175&lt;16,O175=""),"",O175+450)</f>
        <v/>
      </c>
      <c r="AG175" s="19" t="str">
        <f aca="false">IF(OR(I175="",I175&lt;17,O175=""),"",O175+480)</f>
        <v/>
      </c>
      <c r="AH175" s="19" t="str">
        <f aca="false">IF(OR(I175="",I175&lt;18,O175=""),"",O175+510)</f>
        <v/>
      </c>
      <c r="AI175" s="19" t="str">
        <f aca="false">IF(OR(I175="",I175&lt;19,O175=""),"",O175+540)</f>
        <v/>
      </c>
      <c r="AJ175" s="19" t="str">
        <f aca="false">IF(OR(I175="",I175&lt;20,O175=""),"",O175+570)</f>
        <v/>
      </c>
      <c r="AK175" s="19" t="str">
        <f aca="false">IF(OR(I175="",I175&lt;21,O175=""),"",O175+600)</f>
        <v/>
      </c>
      <c r="AL175" s="19" t="str">
        <f aca="false">IF(OR(I175="",I175&lt;22,O175=""),"",O175+630)</f>
        <v/>
      </c>
      <c r="AM175" s="19" t="str">
        <f aca="false">IF(OR(I175="",I175&lt;23,O175=""),"",O175+660)</f>
        <v/>
      </c>
      <c r="AN175" s="19" t="str">
        <f aca="false">IF(OR(I175="",I175&lt;24,O175=""),"",O175+690)</f>
        <v/>
      </c>
      <c r="AO175" s="15" t="str">
        <f aca="false">IF(J175="","",COUNTIF(Q175:AN175,TRUE())*J175)</f>
        <v/>
      </c>
      <c r="AP175" s="15" t="str">
        <f aca="false">IF(K175="","",K175-AO175)</f>
        <v/>
      </c>
      <c r="AQ175" s="15" t="str">
        <f aca="false">IF(K175="","",K175-F175-IF(N175="",0,N175))</f>
        <v/>
      </c>
    </row>
    <row r="176" customFormat="false" ht="15" hidden="false" customHeight="false" outlineLevel="0" collapsed="false">
      <c r="A176" s="4"/>
      <c r="B176" s="4"/>
      <c r="C176" s="4"/>
      <c r="D176" s="5"/>
      <c r="E176" s="5"/>
      <c r="F176" s="6"/>
      <c r="G176" s="4"/>
      <c r="H176" s="4"/>
      <c r="I176" s="4"/>
      <c r="J176" s="6"/>
      <c r="K176" s="7" t="str">
        <f aca="false">IF(OR(I176="",J176=""),"",I176*J176)</f>
        <v/>
      </c>
      <c r="L176" s="4"/>
      <c r="M176" s="8"/>
      <c r="N176" s="7" t="str">
        <f aca="false">IF(OR(L176="",M176="",K176=""),"",IF(L176="GANANCIA",(K176-F176)*M176,IF(L176="BRUTO",K176*M176,"")))</f>
        <v/>
      </c>
      <c r="O176" s="9" t="str">
        <f aca="false">IF(D176="","",D176)</f>
        <v/>
      </c>
      <c r="P176" s="10" t="str">
        <f aca="false">IF(I176="","",IF(COUNTIF(Q176:AN176,TRUE())&gt;=I176,"PAGADO",IF(COUNTIF(Q176:AN176,TRUE())&gt;0,"PARCIAL","VIGENTE")))</f>
        <v/>
      </c>
      <c r="Q176" s="11" t="str">
        <f aca="false">IF(OR(I176="",I176&lt;1,O176=""),"",O176+0)</f>
        <v/>
      </c>
      <c r="R176" s="11" t="str">
        <f aca="false">IF(OR(I176="",I176&lt;2,O176=""),"",O176+30)</f>
        <v/>
      </c>
      <c r="S176" s="11" t="str">
        <f aca="false">IF(OR(I176="",I176&lt;3,O176=""),"",O176+60)</f>
        <v/>
      </c>
      <c r="T176" s="11" t="str">
        <f aca="false">IF(OR(I176="",I176&lt;4,O176=""),"",O176+90)</f>
        <v/>
      </c>
      <c r="U176" s="11" t="str">
        <f aca="false">IF(OR(I176="",I176&lt;5,O176=""),"",O176+120)</f>
        <v/>
      </c>
      <c r="V176" s="11" t="str">
        <f aca="false">IF(OR(I176="",I176&lt;6,O176=""),"",O176+150)</f>
        <v/>
      </c>
      <c r="W176" s="11" t="str">
        <f aca="false">IF(OR(I176="",I176&lt;7,O176=""),"",O176+180)</f>
        <v/>
      </c>
      <c r="X176" s="11" t="str">
        <f aca="false">IF(OR(I176="",I176&lt;8,O176=""),"",O176+210)</f>
        <v/>
      </c>
      <c r="Y176" s="11" t="str">
        <f aca="false">IF(OR(I176="",I176&lt;9,O176=""),"",O176+240)</f>
        <v/>
      </c>
      <c r="Z176" s="11" t="str">
        <f aca="false">IF(OR(I176="",I176&lt;10,O176=""),"",O176+270)</f>
        <v/>
      </c>
      <c r="AA176" s="11" t="str">
        <f aca="false">IF(OR(I176="",I176&lt;11,O176=""),"",O176+300)</f>
        <v/>
      </c>
      <c r="AB176" s="11" t="str">
        <f aca="false">IF(OR(I176="",I176&lt;12,O176=""),"",O176+330)</f>
        <v/>
      </c>
      <c r="AC176" s="11" t="str">
        <f aca="false">IF(OR(I176="",I176&lt;13,O176=""),"",O176+360)</f>
        <v/>
      </c>
      <c r="AD176" s="11" t="str">
        <f aca="false">IF(OR(I176="",I176&lt;14,O176=""),"",O176+390)</f>
        <v/>
      </c>
      <c r="AE176" s="11" t="str">
        <f aca="false">IF(OR(I176="",I176&lt;15,O176=""),"",O176+420)</f>
        <v/>
      </c>
      <c r="AF176" s="11" t="str">
        <f aca="false">IF(OR(I176="",I176&lt;16,O176=""),"",O176+450)</f>
        <v/>
      </c>
      <c r="AG176" s="11" t="str">
        <f aca="false">IF(OR(I176="",I176&lt;17,O176=""),"",O176+480)</f>
        <v/>
      </c>
      <c r="AH176" s="11" t="str">
        <f aca="false">IF(OR(I176="",I176&lt;18,O176=""),"",O176+510)</f>
        <v/>
      </c>
      <c r="AI176" s="11" t="str">
        <f aca="false">IF(OR(I176="",I176&lt;19,O176=""),"",O176+540)</f>
        <v/>
      </c>
      <c r="AJ176" s="11" t="str">
        <f aca="false">IF(OR(I176="",I176&lt;20,O176=""),"",O176+570)</f>
        <v/>
      </c>
      <c r="AK176" s="11" t="str">
        <f aca="false">IF(OR(I176="",I176&lt;21,O176=""),"",O176+600)</f>
        <v/>
      </c>
      <c r="AL176" s="11" t="str">
        <f aca="false">IF(OR(I176="",I176&lt;22,O176=""),"",O176+630)</f>
        <v/>
      </c>
      <c r="AM176" s="11" t="str">
        <f aca="false">IF(OR(I176="",I176&lt;23,O176=""),"",O176+660)</f>
        <v/>
      </c>
      <c r="AN176" s="11" t="str">
        <f aca="false">IF(OR(I176="",I176&lt;24,O176=""),"",O176+690)</f>
        <v/>
      </c>
      <c r="AO176" s="7" t="str">
        <f aca="false">IF(J176="","",COUNTIF(Q176:AN176,TRUE())*J176)</f>
        <v/>
      </c>
      <c r="AP176" s="7" t="str">
        <f aca="false">IF(K176="","",K176-AO176)</f>
        <v/>
      </c>
      <c r="AQ176" s="7" t="str">
        <f aca="false">IF(K176="","",K176-F176-IF(N176="",0,N176))</f>
        <v/>
      </c>
    </row>
    <row r="177" customFormat="false" ht="15" hidden="false" customHeight="false" outlineLevel="0" collapsed="false">
      <c r="A177" s="12"/>
      <c r="B177" s="12"/>
      <c r="C177" s="12"/>
      <c r="D177" s="13"/>
      <c r="E177" s="13"/>
      <c r="F177" s="14"/>
      <c r="G177" s="12"/>
      <c r="H177" s="12"/>
      <c r="I177" s="12"/>
      <c r="J177" s="14"/>
      <c r="K177" s="15" t="str">
        <f aca="false">IF(OR(I177="",J177=""),"",I177*J177)</f>
        <v/>
      </c>
      <c r="L177" s="12"/>
      <c r="M177" s="16"/>
      <c r="N177" s="15" t="str">
        <f aca="false">IF(OR(L177="",M177="",K177=""),"",IF(L177="GANANCIA",(K177-F177)*M177,IF(L177="BRUTO",K177*M177,"")))</f>
        <v/>
      </c>
      <c r="O177" s="17" t="str">
        <f aca="false">IF(D177="","",D177)</f>
        <v/>
      </c>
      <c r="P177" s="18" t="str">
        <f aca="false">IF(I177="","",IF(COUNTIF(Q177:AN177,TRUE())&gt;=I177,"PAGADO",IF(COUNTIF(Q177:AN177,TRUE())&gt;0,"PARCIAL","VIGENTE")))</f>
        <v/>
      </c>
      <c r="Q177" s="19" t="str">
        <f aca="false">IF(OR(I177="",I177&lt;1,O177=""),"",O177+0)</f>
        <v/>
      </c>
      <c r="R177" s="19" t="str">
        <f aca="false">IF(OR(I177="",I177&lt;2,O177=""),"",O177+30)</f>
        <v/>
      </c>
      <c r="S177" s="19" t="str">
        <f aca="false">IF(OR(I177="",I177&lt;3,O177=""),"",O177+60)</f>
        <v/>
      </c>
      <c r="T177" s="19" t="str">
        <f aca="false">IF(OR(I177="",I177&lt;4,O177=""),"",O177+90)</f>
        <v/>
      </c>
      <c r="U177" s="19" t="str">
        <f aca="false">IF(OR(I177="",I177&lt;5,O177=""),"",O177+120)</f>
        <v/>
      </c>
      <c r="V177" s="19" t="str">
        <f aca="false">IF(OR(I177="",I177&lt;6,O177=""),"",O177+150)</f>
        <v/>
      </c>
      <c r="W177" s="19" t="str">
        <f aca="false">IF(OR(I177="",I177&lt;7,O177=""),"",O177+180)</f>
        <v/>
      </c>
      <c r="X177" s="19" t="str">
        <f aca="false">IF(OR(I177="",I177&lt;8,O177=""),"",O177+210)</f>
        <v/>
      </c>
      <c r="Y177" s="19" t="str">
        <f aca="false">IF(OR(I177="",I177&lt;9,O177=""),"",O177+240)</f>
        <v/>
      </c>
      <c r="Z177" s="19" t="str">
        <f aca="false">IF(OR(I177="",I177&lt;10,O177=""),"",O177+270)</f>
        <v/>
      </c>
      <c r="AA177" s="19" t="str">
        <f aca="false">IF(OR(I177="",I177&lt;11,O177=""),"",O177+300)</f>
        <v/>
      </c>
      <c r="AB177" s="19" t="str">
        <f aca="false">IF(OR(I177="",I177&lt;12,O177=""),"",O177+330)</f>
        <v/>
      </c>
      <c r="AC177" s="19" t="str">
        <f aca="false">IF(OR(I177="",I177&lt;13,O177=""),"",O177+360)</f>
        <v/>
      </c>
      <c r="AD177" s="19" t="str">
        <f aca="false">IF(OR(I177="",I177&lt;14,O177=""),"",O177+390)</f>
        <v/>
      </c>
      <c r="AE177" s="19" t="str">
        <f aca="false">IF(OR(I177="",I177&lt;15,O177=""),"",O177+420)</f>
        <v/>
      </c>
      <c r="AF177" s="19" t="str">
        <f aca="false">IF(OR(I177="",I177&lt;16,O177=""),"",O177+450)</f>
        <v/>
      </c>
      <c r="AG177" s="19" t="str">
        <f aca="false">IF(OR(I177="",I177&lt;17,O177=""),"",O177+480)</f>
        <v/>
      </c>
      <c r="AH177" s="19" t="str">
        <f aca="false">IF(OR(I177="",I177&lt;18,O177=""),"",O177+510)</f>
        <v/>
      </c>
      <c r="AI177" s="19" t="str">
        <f aca="false">IF(OR(I177="",I177&lt;19,O177=""),"",O177+540)</f>
        <v/>
      </c>
      <c r="AJ177" s="19" t="str">
        <f aca="false">IF(OR(I177="",I177&lt;20,O177=""),"",O177+570)</f>
        <v/>
      </c>
      <c r="AK177" s="19" t="str">
        <f aca="false">IF(OR(I177="",I177&lt;21,O177=""),"",O177+600)</f>
        <v/>
      </c>
      <c r="AL177" s="19" t="str">
        <f aca="false">IF(OR(I177="",I177&lt;22,O177=""),"",O177+630)</f>
        <v/>
      </c>
      <c r="AM177" s="19" t="str">
        <f aca="false">IF(OR(I177="",I177&lt;23,O177=""),"",O177+660)</f>
        <v/>
      </c>
      <c r="AN177" s="19" t="str">
        <f aca="false">IF(OR(I177="",I177&lt;24,O177=""),"",O177+690)</f>
        <v/>
      </c>
      <c r="AO177" s="15" t="str">
        <f aca="false">IF(J177="","",COUNTIF(Q177:AN177,TRUE())*J177)</f>
        <v/>
      </c>
      <c r="AP177" s="15" t="str">
        <f aca="false">IF(K177="","",K177-AO177)</f>
        <v/>
      </c>
      <c r="AQ177" s="15" t="str">
        <f aca="false">IF(K177="","",K177-F177-IF(N177="",0,N177))</f>
        <v/>
      </c>
    </row>
    <row r="178" customFormat="false" ht="15" hidden="false" customHeight="false" outlineLevel="0" collapsed="false">
      <c r="A178" s="4"/>
      <c r="B178" s="4"/>
      <c r="C178" s="4"/>
      <c r="D178" s="5"/>
      <c r="E178" s="5"/>
      <c r="F178" s="6"/>
      <c r="G178" s="4"/>
      <c r="H178" s="4"/>
      <c r="I178" s="4"/>
      <c r="J178" s="6"/>
      <c r="K178" s="7" t="str">
        <f aca="false">IF(OR(I178="",J178=""),"",I178*J178)</f>
        <v/>
      </c>
      <c r="L178" s="4"/>
      <c r="M178" s="8"/>
      <c r="N178" s="7" t="str">
        <f aca="false">IF(OR(L178="",M178="",K178=""),"",IF(L178="GANANCIA",(K178-F178)*M178,IF(L178="BRUTO",K178*M178,"")))</f>
        <v/>
      </c>
      <c r="O178" s="9" t="str">
        <f aca="false">IF(D178="","",D178)</f>
        <v/>
      </c>
      <c r="P178" s="10" t="str">
        <f aca="false">IF(I178="","",IF(COUNTIF(Q178:AN178,TRUE())&gt;=I178,"PAGADO",IF(COUNTIF(Q178:AN178,TRUE())&gt;0,"PARCIAL","VIGENTE")))</f>
        <v/>
      </c>
      <c r="Q178" s="11" t="str">
        <f aca="false">IF(OR(I178="",I178&lt;1,O178=""),"",O178+0)</f>
        <v/>
      </c>
      <c r="R178" s="11" t="str">
        <f aca="false">IF(OR(I178="",I178&lt;2,O178=""),"",O178+30)</f>
        <v/>
      </c>
      <c r="S178" s="11" t="str">
        <f aca="false">IF(OR(I178="",I178&lt;3,O178=""),"",O178+60)</f>
        <v/>
      </c>
      <c r="T178" s="11" t="str">
        <f aca="false">IF(OR(I178="",I178&lt;4,O178=""),"",O178+90)</f>
        <v/>
      </c>
      <c r="U178" s="11" t="str">
        <f aca="false">IF(OR(I178="",I178&lt;5,O178=""),"",O178+120)</f>
        <v/>
      </c>
      <c r="V178" s="11" t="str">
        <f aca="false">IF(OR(I178="",I178&lt;6,O178=""),"",O178+150)</f>
        <v/>
      </c>
      <c r="W178" s="11" t="str">
        <f aca="false">IF(OR(I178="",I178&lt;7,O178=""),"",O178+180)</f>
        <v/>
      </c>
      <c r="X178" s="11" t="str">
        <f aca="false">IF(OR(I178="",I178&lt;8,O178=""),"",O178+210)</f>
        <v/>
      </c>
      <c r="Y178" s="11" t="str">
        <f aca="false">IF(OR(I178="",I178&lt;9,O178=""),"",O178+240)</f>
        <v/>
      </c>
      <c r="Z178" s="11" t="str">
        <f aca="false">IF(OR(I178="",I178&lt;10,O178=""),"",O178+270)</f>
        <v/>
      </c>
      <c r="AA178" s="11" t="str">
        <f aca="false">IF(OR(I178="",I178&lt;11,O178=""),"",O178+300)</f>
        <v/>
      </c>
      <c r="AB178" s="11" t="str">
        <f aca="false">IF(OR(I178="",I178&lt;12,O178=""),"",O178+330)</f>
        <v/>
      </c>
      <c r="AC178" s="11" t="str">
        <f aca="false">IF(OR(I178="",I178&lt;13,O178=""),"",O178+360)</f>
        <v/>
      </c>
      <c r="AD178" s="11" t="str">
        <f aca="false">IF(OR(I178="",I178&lt;14,O178=""),"",O178+390)</f>
        <v/>
      </c>
      <c r="AE178" s="11" t="str">
        <f aca="false">IF(OR(I178="",I178&lt;15,O178=""),"",O178+420)</f>
        <v/>
      </c>
      <c r="AF178" s="11" t="str">
        <f aca="false">IF(OR(I178="",I178&lt;16,O178=""),"",O178+450)</f>
        <v/>
      </c>
      <c r="AG178" s="11" t="str">
        <f aca="false">IF(OR(I178="",I178&lt;17,O178=""),"",O178+480)</f>
        <v/>
      </c>
      <c r="AH178" s="11" t="str">
        <f aca="false">IF(OR(I178="",I178&lt;18,O178=""),"",O178+510)</f>
        <v/>
      </c>
      <c r="AI178" s="11" t="str">
        <f aca="false">IF(OR(I178="",I178&lt;19,O178=""),"",O178+540)</f>
        <v/>
      </c>
      <c r="AJ178" s="11" t="str">
        <f aca="false">IF(OR(I178="",I178&lt;20,O178=""),"",O178+570)</f>
        <v/>
      </c>
      <c r="AK178" s="11" t="str">
        <f aca="false">IF(OR(I178="",I178&lt;21,O178=""),"",O178+600)</f>
        <v/>
      </c>
      <c r="AL178" s="11" t="str">
        <f aca="false">IF(OR(I178="",I178&lt;22,O178=""),"",O178+630)</f>
        <v/>
      </c>
      <c r="AM178" s="11" t="str">
        <f aca="false">IF(OR(I178="",I178&lt;23,O178=""),"",O178+660)</f>
        <v/>
      </c>
      <c r="AN178" s="11" t="str">
        <f aca="false">IF(OR(I178="",I178&lt;24,O178=""),"",O178+690)</f>
        <v/>
      </c>
      <c r="AO178" s="7" t="str">
        <f aca="false">IF(J178="","",COUNTIF(Q178:AN178,TRUE())*J178)</f>
        <v/>
      </c>
      <c r="AP178" s="7" t="str">
        <f aca="false">IF(K178="","",K178-AO178)</f>
        <v/>
      </c>
      <c r="AQ178" s="7" t="str">
        <f aca="false">IF(K178="","",K178-F178-IF(N178="",0,N178))</f>
        <v/>
      </c>
    </row>
    <row r="179" customFormat="false" ht="15" hidden="false" customHeight="false" outlineLevel="0" collapsed="false">
      <c r="A179" s="12"/>
      <c r="B179" s="12"/>
      <c r="C179" s="12"/>
      <c r="D179" s="13"/>
      <c r="E179" s="13"/>
      <c r="F179" s="14"/>
      <c r="G179" s="12"/>
      <c r="H179" s="12"/>
      <c r="I179" s="12"/>
      <c r="J179" s="14"/>
      <c r="K179" s="15" t="str">
        <f aca="false">IF(OR(I179="",J179=""),"",I179*J179)</f>
        <v/>
      </c>
      <c r="L179" s="12"/>
      <c r="M179" s="16"/>
      <c r="N179" s="15" t="str">
        <f aca="false">IF(OR(L179="",M179="",K179=""),"",IF(L179="GANANCIA",(K179-F179)*M179,IF(L179="BRUTO",K179*M179,"")))</f>
        <v/>
      </c>
      <c r="O179" s="17" t="str">
        <f aca="false">IF(D179="","",D179)</f>
        <v/>
      </c>
      <c r="P179" s="18" t="str">
        <f aca="false">IF(I179="","",IF(COUNTIF(Q179:AN179,TRUE())&gt;=I179,"PAGADO",IF(COUNTIF(Q179:AN179,TRUE())&gt;0,"PARCIAL","VIGENTE")))</f>
        <v/>
      </c>
      <c r="Q179" s="19" t="str">
        <f aca="false">IF(OR(I179="",I179&lt;1,O179=""),"",O179+0)</f>
        <v/>
      </c>
      <c r="R179" s="19" t="str">
        <f aca="false">IF(OR(I179="",I179&lt;2,O179=""),"",O179+30)</f>
        <v/>
      </c>
      <c r="S179" s="19" t="str">
        <f aca="false">IF(OR(I179="",I179&lt;3,O179=""),"",O179+60)</f>
        <v/>
      </c>
      <c r="T179" s="19" t="str">
        <f aca="false">IF(OR(I179="",I179&lt;4,O179=""),"",O179+90)</f>
        <v/>
      </c>
      <c r="U179" s="19" t="str">
        <f aca="false">IF(OR(I179="",I179&lt;5,O179=""),"",O179+120)</f>
        <v/>
      </c>
      <c r="V179" s="19" t="str">
        <f aca="false">IF(OR(I179="",I179&lt;6,O179=""),"",O179+150)</f>
        <v/>
      </c>
      <c r="W179" s="19" t="str">
        <f aca="false">IF(OR(I179="",I179&lt;7,O179=""),"",O179+180)</f>
        <v/>
      </c>
      <c r="X179" s="19" t="str">
        <f aca="false">IF(OR(I179="",I179&lt;8,O179=""),"",O179+210)</f>
        <v/>
      </c>
      <c r="Y179" s="19" t="str">
        <f aca="false">IF(OR(I179="",I179&lt;9,O179=""),"",O179+240)</f>
        <v/>
      </c>
      <c r="Z179" s="19" t="str">
        <f aca="false">IF(OR(I179="",I179&lt;10,O179=""),"",O179+270)</f>
        <v/>
      </c>
      <c r="AA179" s="19" t="str">
        <f aca="false">IF(OR(I179="",I179&lt;11,O179=""),"",O179+300)</f>
        <v/>
      </c>
      <c r="AB179" s="19" t="str">
        <f aca="false">IF(OR(I179="",I179&lt;12,O179=""),"",O179+330)</f>
        <v/>
      </c>
      <c r="AC179" s="19" t="str">
        <f aca="false">IF(OR(I179="",I179&lt;13,O179=""),"",O179+360)</f>
        <v/>
      </c>
      <c r="AD179" s="19" t="str">
        <f aca="false">IF(OR(I179="",I179&lt;14,O179=""),"",O179+390)</f>
        <v/>
      </c>
      <c r="AE179" s="19" t="str">
        <f aca="false">IF(OR(I179="",I179&lt;15,O179=""),"",O179+420)</f>
        <v/>
      </c>
      <c r="AF179" s="19" t="str">
        <f aca="false">IF(OR(I179="",I179&lt;16,O179=""),"",O179+450)</f>
        <v/>
      </c>
      <c r="AG179" s="19" t="str">
        <f aca="false">IF(OR(I179="",I179&lt;17,O179=""),"",O179+480)</f>
        <v/>
      </c>
      <c r="AH179" s="19" t="str">
        <f aca="false">IF(OR(I179="",I179&lt;18,O179=""),"",O179+510)</f>
        <v/>
      </c>
      <c r="AI179" s="19" t="str">
        <f aca="false">IF(OR(I179="",I179&lt;19,O179=""),"",O179+540)</f>
        <v/>
      </c>
      <c r="AJ179" s="19" t="str">
        <f aca="false">IF(OR(I179="",I179&lt;20,O179=""),"",O179+570)</f>
        <v/>
      </c>
      <c r="AK179" s="19" t="str">
        <f aca="false">IF(OR(I179="",I179&lt;21,O179=""),"",O179+600)</f>
        <v/>
      </c>
      <c r="AL179" s="19" t="str">
        <f aca="false">IF(OR(I179="",I179&lt;22,O179=""),"",O179+630)</f>
        <v/>
      </c>
      <c r="AM179" s="19" t="str">
        <f aca="false">IF(OR(I179="",I179&lt;23,O179=""),"",O179+660)</f>
        <v/>
      </c>
      <c r="AN179" s="19" t="str">
        <f aca="false">IF(OR(I179="",I179&lt;24,O179=""),"",O179+690)</f>
        <v/>
      </c>
      <c r="AO179" s="15" t="str">
        <f aca="false">IF(J179="","",COUNTIF(Q179:AN179,TRUE())*J179)</f>
        <v/>
      </c>
      <c r="AP179" s="15" t="str">
        <f aca="false">IF(K179="","",K179-AO179)</f>
        <v/>
      </c>
      <c r="AQ179" s="15" t="str">
        <f aca="false">IF(K179="","",K179-F179-IF(N179="",0,N179))</f>
        <v/>
      </c>
    </row>
    <row r="180" customFormat="false" ht="15" hidden="false" customHeight="false" outlineLevel="0" collapsed="false">
      <c r="A180" s="4"/>
      <c r="B180" s="4"/>
      <c r="C180" s="4"/>
      <c r="D180" s="5"/>
      <c r="E180" s="5"/>
      <c r="F180" s="6"/>
      <c r="G180" s="4"/>
      <c r="H180" s="4"/>
      <c r="I180" s="4"/>
      <c r="J180" s="6"/>
      <c r="K180" s="7" t="str">
        <f aca="false">IF(OR(I180="",J180=""),"",I180*J180)</f>
        <v/>
      </c>
      <c r="L180" s="4"/>
      <c r="M180" s="8"/>
      <c r="N180" s="7" t="str">
        <f aca="false">IF(OR(L180="",M180="",K180=""),"",IF(L180="GANANCIA",(K180-F180)*M180,IF(L180="BRUTO",K180*M180,"")))</f>
        <v/>
      </c>
      <c r="O180" s="9" t="str">
        <f aca="false">IF(D180="","",D180)</f>
        <v/>
      </c>
      <c r="P180" s="10" t="str">
        <f aca="false">IF(I180="","",IF(COUNTIF(Q180:AN180,TRUE())&gt;=I180,"PAGADO",IF(COUNTIF(Q180:AN180,TRUE())&gt;0,"PARCIAL","VIGENTE")))</f>
        <v/>
      </c>
      <c r="Q180" s="11" t="str">
        <f aca="false">IF(OR(I180="",I180&lt;1,O180=""),"",O180+0)</f>
        <v/>
      </c>
      <c r="R180" s="11" t="str">
        <f aca="false">IF(OR(I180="",I180&lt;2,O180=""),"",O180+30)</f>
        <v/>
      </c>
      <c r="S180" s="11" t="str">
        <f aca="false">IF(OR(I180="",I180&lt;3,O180=""),"",O180+60)</f>
        <v/>
      </c>
      <c r="T180" s="11" t="str">
        <f aca="false">IF(OR(I180="",I180&lt;4,O180=""),"",O180+90)</f>
        <v/>
      </c>
      <c r="U180" s="11" t="str">
        <f aca="false">IF(OR(I180="",I180&lt;5,O180=""),"",O180+120)</f>
        <v/>
      </c>
      <c r="V180" s="11" t="str">
        <f aca="false">IF(OR(I180="",I180&lt;6,O180=""),"",O180+150)</f>
        <v/>
      </c>
      <c r="W180" s="11" t="str">
        <f aca="false">IF(OR(I180="",I180&lt;7,O180=""),"",O180+180)</f>
        <v/>
      </c>
      <c r="X180" s="11" t="str">
        <f aca="false">IF(OR(I180="",I180&lt;8,O180=""),"",O180+210)</f>
        <v/>
      </c>
      <c r="Y180" s="11" t="str">
        <f aca="false">IF(OR(I180="",I180&lt;9,O180=""),"",O180+240)</f>
        <v/>
      </c>
      <c r="Z180" s="11" t="str">
        <f aca="false">IF(OR(I180="",I180&lt;10,O180=""),"",O180+270)</f>
        <v/>
      </c>
      <c r="AA180" s="11" t="str">
        <f aca="false">IF(OR(I180="",I180&lt;11,O180=""),"",O180+300)</f>
        <v/>
      </c>
      <c r="AB180" s="11" t="str">
        <f aca="false">IF(OR(I180="",I180&lt;12,O180=""),"",O180+330)</f>
        <v/>
      </c>
      <c r="AC180" s="11" t="str">
        <f aca="false">IF(OR(I180="",I180&lt;13,O180=""),"",O180+360)</f>
        <v/>
      </c>
      <c r="AD180" s="11" t="str">
        <f aca="false">IF(OR(I180="",I180&lt;14,O180=""),"",O180+390)</f>
        <v/>
      </c>
      <c r="AE180" s="11" t="str">
        <f aca="false">IF(OR(I180="",I180&lt;15,O180=""),"",O180+420)</f>
        <v/>
      </c>
      <c r="AF180" s="11" t="str">
        <f aca="false">IF(OR(I180="",I180&lt;16,O180=""),"",O180+450)</f>
        <v/>
      </c>
      <c r="AG180" s="11" t="str">
        <f aca="false">IF(OR(I180="",I180&lt;17,O180=""),"",O180+480)</f>
        <v/>
      </c>
      <c r="AH180" s="11" t="str">
        <f aca="false">IF(OR(I180="",I180&lt;18,O180=""),"",O180+510)</f>
        <v/>
      </c>
      <c r="AI180" s="11" t="str">
        <f aca="false">IF(OR(I180="",I180&lt;19,O180=""),"",O180+540)</f>
        <v/>
      </c>
      <c r="AJ180" s="11" t="str">
        <f aca="false">IF(OR(I180="",I180&lt;20,O180=""),"",O180+570)</f>
        <v/>
      </c>
      <c r="AK180" s="11" t="str">
        <f aca="false">IF(OR(I180="",I180&lt;21,O180=""),"",O180+600)</f>
        <v/>
      </c>
      <c r="AL180" s="11" t="str">
        <f aca="false">IF(OR(I180="",I180&lt;22,O180=""),"",O180+630)</f>
        <v/>
      </c>
      <c r="AM180" s="11" t="str">
        <f aca="false">IF(OR(I180="",I180&lt;23,O180=""),"",O180+660)</f>
        <v/>
      </c>
      <c r="AN180" s="11" t="str">
        <f aca="false">IF(OR(I180="",I180&lt;24,O180=""),"",O180+690)</f>
        <v/>
      </c>
      <c r="AO180" s="7" t="str">
        <f aca="false">IF(J180="","",COUNTIF(Q180:AN180,TRUE())*J180)</f>
        <v/>
      </c>
      <c r="AP180" s="7" t="str">
        <f aca="false">IF(K180="","",K180-AO180)</f>
        <v/>
      </c>
      <c r="AQ180" s="7" t="str">
        <f aca="false">IF(K180="","",K180-F180-IF(N180="",0,N180))</f>
        <v/>
      </c>
    </row>
    <row r="181" customFormat="false" ht="15" hidden="false" customHeight="false" outlineLevel="0" collapsed="false">
      <c r="A181" s="12"/>
      <c r="B181" s="12"/>
      <c r="C181" s="12"/>
      <c r="D181" s="13"/>
      <c r="E181" s="13"/>
      <c r="F181" s="14"/>
      <c r="G181" s="12"/>
      <c r="H181" s="12"/>
      <c r="I181" s="12"/>
      <c r="J181" s="14"/>
      <c r="K181" s="15" t="str">
        <f aca="false">IF(OR(I181="",J181=""),"",I181*J181)</f>
        <v/>
      </c>
      <c r="L181" s="12"/>
      <c r="M181" s="16"/>
      <c r="N181" s="15" t="str">
        <f aca="false">IF(OR(L181="",M181="",K181=""),"",IF(L181="GANANCIA",(K181-F181)*M181,IF(L181="BRUTO",K181*M181,"")))</f>
        <v/>
      </c>
      <c r="O181" s="17" t="str">
        <f aca="false">IF(D181="","",D181)</f>
        <v/>
      </c>
      <c r="P181" s="18" t="str">
        <f aca="false">IF(I181="","",IF(COUNTIF(Q181:AN181,TRUE())&gt;=I181,"PAGADO",IF(COUNTIF(Q181:AN181,TRUE())&gt;0,"PARCIAL","VIGENTE")))</f>
        <v/>
      </c>
      <c r="Q181" s="19" t="str">
        <f aca="false">IF(OR(I181="",I181&lt;1,O181=""),"",O181+0)</f>
        <v/>
      </c>
      <c r="R181" s="19" t="str">
        <f aca="false">IF(OR(I181="",I181&lt;2,O181=""),"",O181+30)</f>
        <v/>
      </c>
      <c r="S181" s="19" t="str">
        <f aca="false">IF(OR(I181="",I181&lt;3,O181=""),"",O181+60)</f>
        <v/>
      </c>
      <c r="T181" s="19" t="str">
        <f aca="false">IF(OR(I181="",I181&lt;4,O181=""),"",O181+90)</f>
        <v/>
      </c>
      <c r="U181" s="19" t="str">
        <f aca="false">IF(OR(I181="",I181&lt;5,O181=""),"",O181+120)</f>
        <v/>
      </c>
      <c r="V181" s="19" t="str">
        <f aca="false">IF(OR(I181="",I181&lt;6,O181=""),"",O181+150)</f>
        <v/>
      </c>
      <c r="W181" s="19" t="str">
        <f aca="false">IF(OR(I181="",I181&lt;7,O181=""),"",O181+180)</f>
        <v/>
      </c>
      <c r="X181" s="19" t="str">
        <f aca="false">IF(OR(I181="",I181&lt;8,O181=""),"",O181+210)</f>
        <v/>
      </c>
      <c r="Y181" s="19" t="str">
        <f aca="false">IF(OR(I181="",I181&lt;9,O181=""),"",O181+240)</f>
        <v/>
      </c>
      <c r="Z181" s="19" t="str">
        <f aca="false">IF(OR(I181="",I181&lt;10,O181=""),"",O181+270)</f>
        <v/>
      </c>
      <c r="AA181" s="19" t="str">
        <f aca="false">IF(OR(I181="",I181&lt;11,O181=""),"",O181+300)</f>
        <v/>
      </c>
      <c r="AB181" s="19" t="str">
        <f aca="false">IF(OR(I181="",I181&lt;12,O181=""),"",O181+330)</f>
        <v/>
      </c>
      <c r="AC181" s="19" t="str">
        <f aca="false">IF(OR(I181="",I181&lt;13,O181=""),"",O181+360)</f>
        <v/>
      </c>
      <c r="AD181" s="19" t="str">
        <f aca="false">IF(OR(I181="",I181&lt;14,O181=""),"",O181+390)</f>
        <v/>
      </c>
      <c r="AE181" s="19" t="str">
        <f aca="false">IF(OR(I181="",I181&lt;15,O181=""),"",O181+420)</f>
        <v/>
      </c>
      <c r="AF181" s="19" t="str">
        <f aca="false">IF(OR(I181="",I181&lt;16,O181=""),"",O181+450)</f>
        <v/>
      </c>
      <c r="AG181" s="19" t="str">
        <f aca="false">IF(OR(I181="",I181&lt;17,O181=""),"",O181+480)</f>
        <v/>
      </c>
      <c r="AH181" s="19" t="str">
        <f aca="false">IF(OR(I181="",I181&lt;18,O181=""),"",O181+510)</f>
        <v/>
      </c>
      <c r="AI181" s="19" t="str">
        <f aca="false">IF(OR(I181="",I181&lt;19,O181=""),"",O181+540)</f>
        <v/>
      </c>
      <c r="AJ181" s="19" t="str">
        <f aca="false">IF(OR(I181="",I181&lt;20,O181=""),"",O181+570)</f>
        <v/>
      </c>
      <c r="AK181" s="19" t="str">
        <f aca="false">IF(OR(I181="",I181&lt;21,O181=""),"",O181+600)</f>
        <v/>
      </c>
      <c r="AL181" s="19" t="str">
        <f aca="false">IF(OR(I181="",I181&lt;22,O181=""),"",O181+630)</f>
        <v/>
      </c>
      <c r="AM181" s="19" t="str">
        <f aca="false">IF(OR(I181="",I181&lt;23,O181=""),"",O181+660)</f>
        <v/>
      </c>
      <c r="AN181" s="19" t="str">
        <f aca="false">IF(OR(I181="",I181&lt;24,O181=""),"",O181+690)</f>
        <v/>
      </c>
      <c r="AO181" s="15" t="str">
        <f aca="false">IF(J181="","",COUNTIF(Q181:AN181,TRUE())*J181)</f>
        <v/>
      </c>
      <c r="AP181" s="15" t="str">
        <f aca="false">IF(K181="","",K181-AO181)</f>
        <v/>
      </c>
      <c r="AQ181" s="15" t="str">
        <f aca="false">IF(K181="","",K181-F181-IF(N181="",0,N181))</f>
        <v/>
      </c>
    </row>
    <row r="182" customFormat="false" ht="15" hidden="false" customHeight="false" outlineLevel="0" collapsed="false">
      <c r="A182" s="4"/>
      <c r="B182" s="4"/>
      <c r="C182" s="4"/>
      <c r="D182" s="5"/>
      <c r="E182" s="5"/>
      <c r="F182" s="6"/>
      <c r="G182" s="4"/>
      <c r="H182" s="4"/>
      <c r="I182" s="4"/>
      <c r="J182" s="6"/>
      <c r="K182" s="7" t="str">
        <f aca="false">IF(OR(I182="",J182=""),"",I182*J182)</f>
        <v/>
      </c>
      <c r="L182" s="4"/>
      <c r="M182" s="8"/>
      <c r="N182" s="7" t="str">
        <f aca="false">IF(OR(L182="",M182="",K182=""),"",IF(L182="GANANCIA",(K182-F182)*M182,IF(L182="BRUTO",K182*M182,"")))</f>
        <v/>
      </c>
      <c r="O182" s="9" t="str">
        <f aca="false">IF(D182="","",D182)</f>
        <v/>
      </c>
      <c r="P182" s="10" t="str">
        <f aca="false">IF(I182="","",IF(COUNTIF(Q182:AN182,TRUE())&gt;=I182,"PAGADO",IF(COUNTIF(Q182:AN182,TRUE())&gt;0,"PARCIAL","VIGENTE")))</f>
        <v/>
      </c>
      <c r="Q182" s="11" t="str">
        <f aca="false">IF(OR(I182="",I182&lt;1,O182=""),"",O182+0)</f>
        <v/>
      </c>
      <c r="R182" s="11" t="str">
        <f aca="false">IF(OR(I182="",I182&lt;2,O182=""),"",O182+30)</f>
        <v/>
      </c>
      <c r="S182" s="11" t="str">
        <f aca="false">IF(OR(I182="",I182&lt;3,O182=""),"",O182+60)</f>
        <v/>
      </c>
      <c r="T182" s="11" t="str">
        <f aca="false">IF(OR(I182="",I182&lt;4,O182=""),"",O182+90)</f>
        <v/>
      </c>
      <c r="U182" s="11" t="str">
        <f aca="false">IF(OR(I182="",I182&lt;5,O182=""),"",O182+120)</f>
        <v/>
      </c>
      <c r="V182" s="11" t="str">
        <f aca="false">IF(OR(I182="",I182&lt;6,O182=""),"",O182+150)</f>
        <v/>
      </c>
      <c r="W182" s="11" t="str">
        <f aca="false">IF(OR(I182="",I182&lt;7,O182=""),"",O182+180)</f>
        <v/>
      </c>
      <c r="X182" s="11" t="str">
        <f aca="false">IF(OR(I182="",I182&lt;8,O182=""),"",O182+210)</f>
        <v/>
      </c>
      <c r="Y182" s="11" t="str">
        <f aca="false">IF(OR(I182="",I182&lt;9,O182=""),"",O182+240)</f>
        <v/>
      </c>
      <c r="Z182" s="11" t="str">
        <f aca="false">IF(OR(I182="",I182&lt;10,O182=""),"",O182+270)</f>
        <v/>
      </c>
      <c r="AA182" s="11" t="str">
        <f aca="false">IF(OR(I182="",I182&lt;11,O182=""),"",O182+300)</f>
        <v/>
      </c>
      <c r="AB182" s="11" t="str">
        <f aca="false">IF(OR(I182="",I182&lt;12,O182=""),"",O182+330)</f>
        <v/>
      </c>
      <c r="AC182" s="11" t="str">
        <f aca="false">IF(OR(I182="",I182&lt;13,O182=""),"",O182+360)</f>
        <v/>
      </c>
      <c r="AD182" s="11" t="str">
        <f aca="false">IF(OR(I182="",I182&lt;14,O182=""),"",O182+390)</f>
        <v/>
      </c>
      <c r="AE182" s="11" t="str">
        <f aca="false">IF(OR(I182="",I182&lt;15,O182=""),"",O182+420)</f>
        <v/>
      </c>
      <c r="AF182" s="11" t="str">
        <f aca="false">IF(OR(I182="",I182&lt;16,O182=""),"",O182+450)</f>
        <v/>
      </c>
      <c r="AG182" s="11" t="str">
        <f aca="false">IF(OR(I182="",I182&lt;17,O182=""),"",O182+480)</f>
        <v/>
      </c>
      <c r="AH182" s="11" t="str">
        <f aca="false">IF(OR(I182="",I182&lt;18,O182=""),"",O182+510)</f>
        <v/>
      </c>
      <c r="AI182" s="11" t="str">
        <f aca="false">IF(OR(I182="",I182&lt;19,O182=""),"",O182+540)</f>
        <v/>
      </c>
      <c r="AJ182" s="11" t="str">
        <f aca="false">IF(OR(I182="",I182&lt;20,O182=""),"",O182+570)</f>
        <v/>
      </c>
      <c r="AK182" s="11" t="str">
        <f aca="false">IF(OR(I182="",I182&lt;21,O182=""),"",O182+600)</f>
        <v/>
      </c>
      <c r="AL182" s="11" t="str">
        <f aca="false">IF(OR(I182="",I182&lt;22,O182=""),"",O182+630)</f>
        <v/>
      </c>
      <c r="AM182" s="11" t="str">
        <f aca="false">IF(OR(I182="",I182&lt;23,O182=""),"",O182+660)</f>
        <v/>
      </c>
      <c r="AN182" s="11" t="str">
        <f aca="false">IF(OR(I182="",I182&lt;24,O182=""),"",O182+690)</f>
        <v/>
      </c>
      <c r="AO182" s="7" t="str">
        <f aca="false">IF(J182="","",COUNTIF(Q182:AN182,TRUE())*J182)</f>
        <v/>
      </c>
      <c r="AP182" s="7" t="str">
        <f aca="false">IF(K182="","",K182-AO182)</f>
        <v/>
      </c>
      <c r="AQ182" s="7" t="str">
        <f aca="false">IF(K182="","",K182-F182-IF(N182="",0,N182))</f>
        <v/>
      </c>
    </row>
    <row r="183" customFormat="false" ht="15" hidden="false" customHeight="false" outlineLevel="0" collapsed="false">
      <c r="A183" s="12"/>
      <c r="B183" s="12"/>
      <c r="C183" s="12"/>
      <c r="D183" s="13"/>
      <c r="E183" s="13"/>
      <c r="F183" s="14"/>
      <c r="G183" s="12"/>
      <c r="H183" s="12"/>
      <c r="I183" s="12"/>
      <c r="J183" s="14"/>
      <c r="K183" s="15" t="str">
        <f aca="false">IF(OR(I183="",J183=""),"",I183*J183)</f>
        <v/>
      </c>
      <c r="L183" s="12"/>
      <c r="M183" s="16"/>
      <c r="N183" s="15" t="str">
        <f aca="false">IF(OR(L183="",M183="",K183=""),"",IF(L183="GANANCIA",(K183-F183)*M183,IF(L183="BRUTO",K183*M183,"")))</f>
        <v/>
      </c>
      <c r="O183" s="17" t="str">
        <f aca="false">IF(D183="","",D183)</f>
        <v/>
      </c>
      <c r="P183" s="18" t="str">
        <f aca="false">IF(I183="","",IF(COUNTIF(Q183:AN183,TRUE())&gt;=I183,"PAGADO",IF(COUNTIF(Q183:AN183,TRUE())&gt;0,"PARCIAL","VIGENTE")))</f>
        <v/>
      </c>
      <c r="Q183" s="19" t="str">
        <f aca="false">IF(OR(I183="",I183&lt;1,O183=""),"",O183+0)</f>
        <v/>
      </c>
      <c r="R183" s="19" t="str">
        <f aca="false">IF(OR(I183="",I183&lt;2,O183=""),"",O183+30)</f>
        <v/>
      </c>
      <c r="S183" s="19" t="str">
        <f aca="false">IF(OR(I183="",I183&lt;3,O183=""),"",O183+60)</f>
        <v/>
      </c>
      <c r="T183" s="19" t="str">
        <f aca="false">IF(OR(I183="",I183&lt;4,O183=""),"",O183+90)</f>
        <v/>
      </c>
      <c r="U183" s="19" t="str">
        <f aca="false">IF(OR(I183="",I183&lt;5,O183=""),"",O183+120)</f>
        <v/>
      </c>
      <c r="V183" s="19" t="str">
        <f aca="false">IF(OR(I183="",I183&lt;6,O183=""),"",O183+150)</f>
        <v/>
      </c>
      <c r="W183" s="19" t="str">
        <f aca="false">IF(OR(I183="",I183&lt;7,O183=""),"",O183+180)</f>
        <v/>
      </c>
      <c r="X183" s="19" t="str">
        <f aca="false">IF(OR(I183="",I183&lt;8,O183=""),"",O183+210)</f>
        <v/>
      </c>
      <c r="Y183" s="19" t="str">
        <f aca="false">IF(OR(I183="",I183&lt;9,O183=""),"",O183+240)</f>
        <v/>
      </c>
      <c r="Z183" s="19" t="str">
        <f aca="false">IF(OR(I183="",I183&lt;10,O183=""),"",O183+270)</f>
        <v/>
      </c>
      <c r="AA183" s="19" t="str">
        <f aca="false">IF(OR(I183="",I183&lt;11,O183=""),"",O183+300)</f>
        <v/>
      </c>
      <c r="AB183" s="19" t="str">
        <f aca="false">IF(OR(I183="",I183&lt;12,O183=""),"",O183+330)</f>
        <v/>
      </c>
      <c r="AC183" s="19" t="str">
        <f aca="false">IF(OR(I183="",I183&lt;13,O183=""),"",O183+360)</f>
        <v/>
      </c>
      <c r="AD183" s="19" t="str">
        <f aca="false">IF(OR(I183="",I183&lt;14,O183=""),"",O183+390)</f>
        <v/>
      </c>
      <c r="AE183" s="19" t="str">
        <f aca="false">IF(OR(I183="",I183&lt;15,O183=""),"",O183+420)</f>
        <v/>
      </c>
      <c r="AF183" s="19" t="str">
        <f aca="false">IF(OR(I183="",I183&lt;16,O183=""),"",O183+450)</f>
        <v/>
      </c>
      <c r="AG183" s="19" t="str">
        <f aca="false">IF(OR(I183="",I183&lt;17,O183=""),"",O183+480)</f>
        <v/>
      </c>
      <c r="AH183" s="19" t="str">
        <f aca="false">IF(OR(I183="",I183&lt;18,O183=""),"",O183+510)</f>
        <v/>
      </c>
      <c r="AI183" s="19" t="str">
        <f aca="false">IF(OR(I183="",I183&lt;19,O183=""),"",O183+540)</f>
        <v/>
      </c>
      <c r="AJ183" s="19" t="str">
        <f aca="false">IF(OR(I183="",I183&lt;20,O183=""),"",O183+570)</f>
        <v/>
      </c>
      <c r="AK183" s="19" t="str">
        <f aca="false">IF(OR(I183="",I183&lt;21,O183=""),"",O183+600)</f>
        <v/>
      </c>
      <c r="AL183" s="19" t="str">
        <f aca="false">IF(OR(I183="",I183&lt;22,O183=""),"",O183+630)</f>
        <v/>
      </c>
      <c r="AM183" s="19" t="str">
        <f aca="false">IF(OR(I183="",I183&lt;23,O183=""),"",O183+660)</f>
        <v/>
      </c>
      <c r="AN183" s="19" t="str">
        <f aca="false">IF(OR(I183="",I183&lt;24,O183=""),"",O183+690)</f>
        <v/>
      </c>
      <c r="AO183" s="15" t="str">
        <f aca="false">IF(J183="","",COUNTIF(Q183:AN183,TRUE())*J183)</f>
        <v/>
      </c>
      <c r="AP183" s="15" t="str">
        <f aca="false">IF(K183="","",K183-AO183)</f>
        <v/>
      </c>
      <c r="AQ183" s="15" t="str">
        <f aca="false">IF(K183="","",K183-F183-IF(N183="",0,N183))</f>
        <v/>
      </c>
    </row>
    <row r="184" customFormat="false" ht="15" hidden="false" customHeight="false" outlineLevel="0" collapsed="false">
      <c r="A184" s="4"/>
      <c r="B184" s="4"/>
      <c r="C184" s="4"/>
      <c r="D184" s="5"/>
      <c r="E184" s="5"/>
      <c r="F184" s="6"/>
      <c r="G184" s="4"/>
      <c r="H184" s="4"/>
      <c r="I184" s="4"/>
      <c r="J184" s="6"/>
      <c r="K184" s="7" t="str">
        <f aca="false">IF(OR(I184="",J184=""),"",I184*J184)</f>
        <v/>
      </c>
      <c r="L184" s="4"/>
      <c r="M184" s="8"/>
      <c r="N184" s="7" t="str">
        <f aca="false">IF(OR(L184="",M184="",K184=""),"",IF(L184="GANANCIA",(K184-F184)*M184,IF(L184="BRUTO",K184*M184,"")))</f>
        <v/>
      </c>
      <c r="O184" s="9" t="str">
        <f aca="false">IF(D184="","",D184)</f>
        <v/>
      </c>
      <c r="P184" s="10" t="str">
        <f aca="false">IF(I184="","",IF(COUNTIF(Q184:AN184,TRUE())&gt;=I184,"PAGADO",IF(COUNTIF(Q184:AN184,TRUE())&gt;0,"PARCIAL","VIGENTE")))</f>
        <v/>
      </c>
      <c r="Q184" s="11" t="str">
        <f aca="false">IF(OR(I184="",I184&lt;1,O184=""),"",O184+0)</f>
        <v/>
      </c>
      <c r="R184" s="11" t="str">
        <f aca="false">IF(OR(I184="",I184&lt;2,O184=""),"",O184+30)</f>
        <v/>
      </c>
      <c r="S184" s="11" t="str">
        <f aca="false">IF(OR(I184="",I184&lt;3,O184=""),"",O184+60)</f>
        <v/>
      </c>
      <c r="T184" s="11" t="str">
        <f aca="false">IF(OR(I184="",I184&lt;4,O184=""),"",O184+90)</f>
        <v/>
      </c>
      <c r="U184" s="11" t="str">
        <f aca="false">IF(OR(I184="",I184&lt;5,O184=""),"",O184+120)</f>
        <v/>
      </c>
      <c r="V184" s="11" t="str">
        <f aca="false">IF(OR(I184="",I184&lt;6,O184=""),"",O184+150)</f>
        <v/>
      </c>
      <c r="W184" s="11" t="str">
        <f aca="false">IF(OR(I184="",I184&lt;7,O184=""),"",O184+180)</f>
        <v/>
      </c>
      <c r="X184" s="11" t="str">
        <f aca="false">IF(OR(I184="",I184&lt;8,O184=""),"",O184+210)</f>
        <v/>
      </c>
      <c r="Y184" s="11" t="str">
        <f aca="false">IF(OR(I184="",I184&lt;9,O184=""),"",O184+240)</f>
        <v/>
      </c>
      <c r="Z184" s="11" t="str">
        <f aca="false">IF(OR(I184="",I184&lt;10,O184=""),"",O184+270)</f>
        <v/>
      </c>
      <c r="AA184" s="11" t="str">
        <f aca="false">IF(OR(I184="",I184&lt;11,O184=""),"",O184+300)</f>
        <v/>
      </c>
      <c r="AB184" s="11" t="str">
        <f aca="false">IF(OR(I184="",I184&lt;12,O184=""),"",O184+330)</f>
        <v/>
      </c>
      <c r="AC184" s="11" t="str">
        <f aca="false">IF(OR(I184="",I184&lt;13,O184=""),"",O184+360)</f>
        <v/>
      </c>
      <c r="AD184" s="11" t="str">
        <f aca="false">IF(OR(I184="",I184&lt;14,O184=""),"",O184+390)</f>
        <v/>
      </c>
      <c r="AE184" s="11" t="str">
        <f aca="false">IF(OR(I184="",I184&lt;15,O184=""),"",O184+420)</f>
        <v/>
      </c>
      <c r="AF184" s="11" t="str">
        <f aca="false">IF(OR(I184="",I184&lt;16,O184=""),"",O184+450)</f>
        <v/>
      </c>
      <c r="AG184" s="11" t="str">
        <f aca="false">IF(OR(I184="",I184&lt;17,O184=""),"",O184+480)</f>
        <v/>
      </c>
      <c r="AH184" s="11" t="str">
        <f aca="false">IF(OR(I184="",I184&lt;18,O184=""),"",O184+510)</f>
        <v/>
      </c>
      <c r="AI184" s="11" t="str">
        <f aca="false">IF(OR(I184="",I184&lt;19,O184=""),"",O184+540)</f>
        <v/>
      </c>
      <c r="AJ184" s="11" t="str">
        <f aca="false">IF(OR(I184="",I184&lt;20,O184=""),"",O184+570)</f>
        <v/>
      </c>
      <c r="AK184" s="11" t="str">
        <f aca="false">IF(OR(I184="",I184&lt;21,O184=""),"",O184+600)</f>
        <v/>
      </c>
      <c r="AL184" s="11" t="str">
        <f aca="false">IF(OR(I184="",I184&lt;22,O184=""),"",O184+630)</f>
        <v/>
      </c>
      <c r="AM184" s="11" t="str">
        <f aca="false">IF(OR(I184="",I184&lt;23,O184=""),"",O184+660)</f>
        <v/>
      </c>
      <c r="AN184" s="11" t="str">
        <f aca="false">IF(OR(I184="",I184&lt;24,O184=""),"",O184+690)</f>
        <v/>
      </c>
      <c r="AO184" s="7" t="str">
        <f aca="false">IF(J184="","",COUNTIF(Q184:AN184,TRUE())*J184)</f>
        <v/>
      </c>
      <c r="AP184" s="7" t="str">
        <f aca="false">IF(K184="","",K184-AO184)</f>
        <v/>
      </c>
      <c r="AQ184" s="7" t="str">
        <f aca="false">IF(K184="","",K184-F184-IF(N184="",0,N184))</f>
        <v/>
      </c>
    </row>
    <row r="185" customFormat="false" ht="15" hidden="false" customHeight="false" outlineLevel="0" collapsed="false">
      <c r="A185" s="12"/>
      <c r="B185" s="12"/>
      <c r="C185" s="12"/>
      <c r="D185" s="13"/>
      <c r="E185" s="13"/>
      <c r="F185" s="14"/>
      <c r="G185" s="12"/>
      <c r="H185" s="12"/>
      <c r="I185" s="12"/>
      <c r="J185" s="14"/>
      <c r="K185" s="15" t="str">
        <f aca="false">IF(OR(I185="",J185=""),"",I185*J185)</f>
        <v/>
      </c>
      <c r="L185" s="12"/>
      <c r="M185" s="16"/>
      <c r="N185" s="15" t="str">
        <f aca="false">IF(OR(L185="",M185="",K185=""),"",IF(L185="GANANCIA",(K185-F185)*M185,IF(L185="BRUTO",K185*M185,"")))</f>
        <v/>
      </c>
      <c r="O185" s="17" t="str">
        <f aca="false">IF(D185="","",D185)</f>
        <v/>
      </c>
      <c r="P185" s="18" t="str">
        <f aca="false">IF(I185="","",IF(COUNTIF(Q185:AN185,TRUE())&gt;=I185,"PAGADO",IF(COUNTIF(Q185:AN185,TRUE())&gt;0,"PARCIAL","VIGENTE")))</f>
        <v/>
      </c>
      <c r="Q185" s="19" t="str">
        <f aca="false">IF(OR(I185="",I185&lt;1,O185=""),"",O185+0)</f>
        <v/>
      </c>
      <c r="R185" s="19" t="str">
        <f aca="false">IF(OR(I185="",I185&lt;2,O185=""),"",O185+30)</f>
        <v/>
      </c>
      <c r="S185" s="19" t="str">
        <f aca="false">IF(OR(I185="",I185&lt;3,O185=""),"",O185+60)</f>
        <v/>
      </c>
      <c r="T185" s="19" t="str">
        <f aca="false">IF(OR(I185="",I185&lt;4,O185=""),"",O185+90)</f>
        <v/>
      </c>
      <c r="U185" s="19" t="str">
        <f aca="false">IF(OR(I185="",I185&lt;5,O185=""),"",O185+120)</f>
        <v/>
      </c>
      <c r="V185" s="19" t="str">
        <f aca="false">IF(OR(I185="",I185&lt;6,O185=""),"",O185+150)</f>
        <v/>
      </c>
      <c r="W185" s="19" t="str">
        <f aca="false">IF(OR(I185="",I185&lt;7,O185=""),"",O185+180)</f>
        <v/>
      </c>
      <c r="X185" s="19" t="str">
        <f aca="false">IF(OR(I185="",I185&lt;8,O185=""),"",O185+210)</f>
        <v/>
      </c>
      <c r="Y185" s="19" t="str">
        <f aca="false">IF(OR(I185="",I185&lt;9,O185=""),"",O185+240)</f>
        <v/>
      </c>
      <c r="Z185" s="19" t="str">
        <f aca="false">IF(OR(I185="",I185&lt;10,O185=""),"",O185+270)</f>
        <v/>
      </c>
      <c r="AA185" s="19" t="str">
        <f aca="false">IF(OR(I185="",I185&lt;11,O185=""),"",O185+300)</f>
        <v/>
      </c>
      <c r="AB185" s="19" t="str">
        <f aca="false">IF(OR(I185="",I185&lt;12,O185=""),"",O185+330)</f>
        <v/>
      </c>
      <c r="AC185" s="19" t="str">
        <f aca="false">IF(OR(I185="",I185&lt;13,O185=""),"",O185+360)</f>
        <v/>
      </c>
      <c r="AD185" s="19" t="str">
        <f aca="false">IF(OR(I185="",I185&lt;14,O185=""),"",O185+390)</f>
        <v/>
      </c>
      <c r="AE185" s="19" t="str">
        <f aca="false">IF(OR(I185="",I185&lt;15,O185=""),"",O185+420)</f>
        <v/>
      </c>
      <c r="AF185" s="19" t="str">
        <f aca="false">IF(OR(I185="",I185&lt;16,O185=""),"",O185+450)</f>
        <v/>
      </c>
      <c r="AG185" s="19" t="str">
        <f aca="false">IF(OR(I185="",I185&lt;17,O185=""),"",O185+480)</f>
        <v/>
      </c>
      <c r="AH185" s="19" t="str">
        <f aca="false">IF(OR(I185="",I185&lt;18,O185=""),"",O185+510)</f>
        <v/>
      </c>
      <c r="AI185" s="19" t="str">
        <f aca="false">IF(OR(I185="",I185&lt;19,O185=""),"",O185+540)</f>
        <v/>
      </c>
      <c r="AJ185" s="19" t="str">
        <f aca="false">IF(OR(I185="",I185&lt;20,O185=""),"",O185+570)</f>
        <v/>
      </c>
      <c r="AK185" s="19" t="str">
        <f aca="false">IF(OR(I185="",I185&lt;21,O185=""),"",O185+600)</f>
        <v/>
      </c>
      <c r="AL185" s="19" t="str">
        <f aca="false">IF(OR(I185="",I185&lt;22,O185=""),"",O185+630)</f>
        <v/>
      </c>
      <c r="AM185" s="19" t="str">
        <f aca="false">IF(OR(I185="",I185&lt;23,O185=""),"",O185+660)</f>
        <v/>
      </c>
      <c r="AN185" s="19" t="str">
        <f aca="false">IF(OR(I185="",I185&lt;24,O185=""),"",O185+690)</f>
        <v/>
      </c>
      <c r="AO185" s="15" t="str">
        <f aca="false">IF(J185="","",COUNTIF(Q185:AN185,TRUE())*J185)</f>
        <v/>
      </c>
      <c r="AP185" s="15" t="str">
        <f aca="false">IF(K185="","",K185-AO185)</f>
        <v/>
      </c>
      <c r="AQ185" s="15" t="str">
        <f aca="false">IF(K185="","",K185-F185-IF(N185="",0,N185))</f>
        <v/>
      </c>
    </row>
    <row r="186" customFormat="false" ht="15" hidden="false" customHeight="false" outlineLevel="0" collapsed="false">
      <c r="A186" s="4"/>
      <c r="B186" s="4"/>
      <c r="C186" s="4"/>
      <c r="D186" s="5"/>
      <c r="E186" s="5"/>
      <c r="F186" s="6"/>
      <c r="G186" s="4"/>
      <c r="H186" s="4"/>
      <c r="I186" s="4"/>
      <c r="J186" s="6"/>
      <c r="K186" s="7" t="str">
        <f aca="false">IF(OR(I186="",J186=""),"",I186*J186)</f>
        <v/>
      </c>
      <c r="L186" s="4"/>
      <c r="M186" s="8"/>
      <c r="N186" s="7" t="str">
        <f aca="false">IF(OR(L186="",M186="",K186=""),"",IF(L186="GANANCIA",(K186-F186)*M186,IF(L186="BRUTO",K186*M186,"")))</f>
        <v/>
      </c>
      <c r="O186" s="9" t="str">
        <f aca="false">IF(D186="","",D186)</f>
        <v/>
      </c>
      <c r="P186" s="10" t="str">
        <f aca="false">IF(I186="","",IF(COUNTIF(Q186:AN186,TRUE())&gt;=I186,"PAGADO",IF(COUNTIF(Q186:AN186,TRUE())&gt;0,"PARCIAL","VIGENTE")))</f>
        <v/>
      </c>
      <c r="Q186" s="11" t="str">
        <f aca="false">IF(OR(I186="",I186&lt;1,O186=""),"",O186+0)</f>
        <v/>
      </c>
      <c r="R186" s="11" t="str">
        <f aca="false">IF(OR(I186="",I186&lt;2,O186=""),"",O186+30)</f>
        <v/>
      </c>
      <c r="S186" s="11" t="str">
        <f aca="false">IF(OR(I186="",I186&lt;3,O186=""),"",O186+60)</f>
        <v/>
      </c>
      <c r="T186" s="11" t="str">
        <f aca="false">IF(OR(I186="",I186&lt;4,O186=""),"",O186+90)</f>
        <v/>
      </c>
      <c r="U186" s="11" t="str">
        <f aca="false">IF(OR(I186="",I186&lt;5,O186=""),"",O186+120)</f>
        <v/>
      </c>
      <c r="V186" s="11" t="str">
        <f aca="false">IF(OR(I186="",I186&lt;6,O186=""),"",O186+150)</f>
        <v/>
      </c>
      <c r="W186" s="11" t="str">
        <f aca="false">IF(OR(I186="",I186&lt;7,O186=""),"",O186+180)</f>
        <v/>
      </c>
      <c r="X186" s="11" t="str">
        <f aca="false">IF(OR(I186="",I186&lt;8,O186=""),"",O186+210)</f>
        <v/>
      </c>
      <c r="Y186" s="11" t="str">
        <f aca="false">IF(OR(I186="",I186&lt;9,O186=""),"",O186+240)</f>
        <v/>
      </c>
      <c r="Z186" s="11" t="str">
        <f aca="false">IF(OR(I186="",I186&lt;10,O186=""),"",O186+270)</f>
        <v/>
      </c>
      <c r="AA186" s="11" t="str">
        <f aca="false">IF(OR(I186="",I186&lt;11,O186=""),"",O186+300)</f>
        <v/>
      </c>
      <c r="AB186" s="11" t="str">
        <f aca="false">IF(OR(I186="",I186&lt;12,O186=""),"",O186+330)</f>
        <v/>
      </c>
      <c r="AC186" s="11" t="str">
        <f aca="false">IF(OR(I186="",I186&lt;13,O186=""),"",O186+360)</f>
        <v/>
      </c>
      <c r="AD186" s="11" t="str">
        <f aca="false">IF(OR(I186="",I186&lt;14,O186=""),"",O186+390)</f>
        <v/>
      </c>
      <c r="AE186" s="11" t="str">
        <f aca="false">IF(OR(I186="",I186&lt;15,O186=""),"",O186+420)</f>
        <v/>
      </c>
      <c r="AF186" s="11" t="str">
        <f aca="false">IF(OR(I186="",I186&lt;16,O186=""),"",O186+450)</f>
        <v/>
      </c>
      <c r="AG186" s="11" t="str">
        <f aca="false">IF(OR(I186="",I186&lt;17,O186=""),"",O186+480)</f>
        <v/>
      </c>
      <c r="AH186" s="11" t="str">
        <f aca="false">IF(OR(I186="",I186&lt;18,O186=""),"",O186+510)</f>
        <v/>
      </c>
      <c r="AI186" s="11" t="str">
        <f aca="false">IF(OR(I186="",I186&lt;19,O186=""),"",O186+540)</f>
        <v/>
      </c>
      <c r="AJ186" s="11" t="str">
        <f aca="false">IF(OR(I186="",I186&lt;20,O186=""),"",O186+570)</f>
        <v/>
      </c>
      <c r="AK186" s="11" t="str">
        <f aca="false">IF(OR(I186="",I186&lt;21,O186=""),"",O186+600)</f>
        <v/>
      </c>
      <c r="AL186" s="11" t="str">
        <f aca="false">IF(OR(I186="",I186&lt;22,O186=""),"",O186+630)</f>
        <v/>
      </c>
      <c r="AM186" s="11" t="str">
        <f aca="false">IF(OR(I186="",I186&lt;23,O186=""),"",O186+660)</f>
        <v/>
      </c>
      <c r="AN186" s="11" t="str">
        <f aca="false">IF(OR(I186="",I186&lt;24,O186=""),"",O186+690)</f>
        <v/>
      </c>
      <c r="AO186" s="7" t="str">
        <f aca="false">IF(J186="","",COUNTIF(Q186:AN186,TRUE())*J186)</f>
        <v/>
      </c>
      <c r="AP186" s="7" t="str">
        <f aca="false">IF(K186="","",K186-AO186)</f>
        <v/>
      </c>
      <c r="AQ186" s="7" t="str">
        <f aca="false">IF(K186="","",K186-F186-IF(N186="",0,N186))</f>
        <v/>
      </c>
    </row>
    <row r="187" customFormat="false" ht="15" hidden="false" customHeight="false" outlineLevel="0" collapsed="false">
      <c r="A187" s="12"/>
      <c r="B187" s="12"/>
      <c r="C187" s="12"/>
      <c r="D187" s="13"/>
      <c r="E187" s="13"/>
      <c r="F187" s="14"/>
      <c r="G187" s="12"/>
      <c r="H187" s="12"/>
      <c r="I187" s="12"/>
      <c r="J187" s="14"/>
      <c r="K187" s="15" t="str">
        <f aca="false">IF(OR(I187="",J187=""),"",I187*J187)</f>
        <v/>
      </c>
      <c r="L187" s="12"/>
      <c r="M187" s="16"/>
      <c r="N187" s="15" t="str">
        <f aca="false">IF(OR(L187="",M187="",K187=""),"",IF(L187="GANANCIA",(K187-F187)*M187,IF(L187="BRUTO",K187*M187,"")))</f>
        <v/>
      </c>
      <c r="O187" s="17" t="str">
        <f aca="false">IF(D187="","",D187)</f>
        <v/>
      </c>
      <c r="P187" s="18" t="str">
        <f aca="false">IF(I187="","",IF(COUNTIF(Q187:AN187,TRUE())&gt;=I187,"PAGADO",IF(COUNTIF(Q187:AN187,TRUE())&gt;0,"PARCIAL","VIGENTE")))</f>
        <v/>
      </c>
      <c r="Q187" s="19" t="str">
        <f aca="false">IF(OR(I187="",I187&lt;1,O187=""),"",O187+0)</f>
        <v/>
      </c>
      <c r="R187" s="19" t="str">
        <f aca="false">IF(OR(I187="",I187&lt;2,O187=""),"",O187+30)</f>
        <v/>
      </c>
      <c r="S187" s="19" t="str">
        <f aca="false">IF(OR(I187="",I187&lt;3,O187=""),"",O187+60)</f>
        <v/>
      </c>
      <c r="T187" s="19" t="str">
        <f aca="false">IF(OR(I187="",I187&lt;4,O187=""),"",O187+90)</f>
        <v/>
      </c>
      <c r="U187" s="19" t="str">
        <f aca="false">IF(OR(I187="",I187&lt;5,O187=""),"",O187+120)</f>
        <v/>
      </c>
      <c r="V187" s="19" t="str">
        <f aca="false">IF(OR(I187="",I187&lt;6,O187=""),"",O187+150)</f>
        <v/>
      </c>
      <c r="W187" s="19" t="str">
        <f aca="false">IF(OR(I187="",I187&lt;7,O187=""),"",O187+180)</f>
        <v/>
      </c>
      <c r="X187" s="19" t="str">
        <f aca="false">IF(OR(I187="",I187&lt;8,O187=""),"",O187+210)</f>
        <v/>
      </c>
      <c r="Y187" s="19" t="str">
        <f aca="false">IF(OR(I187="",I187&lt;9,O187=""),"",O187+240)</f>
        <v/>
      </c>
      <c r="Z187" s="19" t="str">
        <f aca="false">IF(OR(I187="",I187&lt;10,O187=""),"",O187+270)</f>
        <v/>
      </c>
      <c r="AA187" s="19" t="str">
        <f aca="false">IF(OR(I187="",I187&lt;11,O187=""),"",O187+300)</f>
        <v/>
      </c>
      <c r="AB187" s="19" t="str">
        <f aca="false">IF(OR(I187="",I187&lt;12,O187=""),"",O187+330)</f>
        <v/>
      </c>
      <c r="AC187" s="19" t="str">
        <f aca="false">IF(OR(I187="",I187&lt;13,O187=""),"",O187+360)</f>
        <v/>
      </c>
      <c r="AD187" s="19" t="str">
        <f aca="false">IF(OR(I187="",I187&lt;14,O187=""),"",O187+390)</f>
        <v/>
      </c>
      <c r="AE187" s="19" t="str">
        <f aca="false">IF(OR(I187="",I187&lt;15,O187=""),"",O187+420)</f>
        <v/>
      </c>
      <c r="AF187" s="19" t="str">
        <f aca="false">IF(OR(I187="",I187&lt;16,O187=""),"",O187+450)</f>
        <v/>
      </c>
      <c r="AG187" s="19" t="str">
        <f aca="false">IF(OR(I187="",I187&lt;17,O187=""),"",O187+480)</f>
        <v/>
      </c>
      <c r="AH187" s="19" t="str">
        <f aca="false">IF(OR(I187="",I187&lt;18,O187=""),"",O187+510)</f>
        <v/>
      </c>
      <c r="AI187" s="19" t="str">
        <f aca="false">IF(OR(I187="",I187&lt;19,O187=""),"",O187+540)</f>
        <v/>
      </c>
      <c r="AJ187" s="19" t="str">
        <f aca="false">IF(OR(I187="",I187&lt;20,O187=""),"",O187+570)</f>
        <v/>
      </c>
      <c r="AK187" s="19" t="str">
        <f aca="false">IF(OR(I187="",I187&lt;21,O187=""),"",O187+600)</f>
        <v/>
      </c>
      <c r="AL187" s="19" t="str">
        <f aca="false">IF(OR(I187="",I187&lt;22,O187=""),"",O187+630)</f>
        <v/>
      </c>
      <c r="AM187" s="19" t="str">
        <f aca="false">IF(OR(I187="",I187&lt;23,O187=""),"",O187+660)</f>
        <v/>
      </c>
      <c r="AN187" s="19" t="str">
        <f aca="false">IF(OR(I187="",I187&lt;24,O187=""),"",O187+690)</f>
        <v/>
      </c>
      <c r="AO187" s="15" t="str">
        <f aca="false">IF(J187="","",COUNTIF(Q187:AN187,TRUE())*J187)</f>
        <v/>
      </c>
      <c r="AP187" s="15" t="str">
        <f aca="false">IF(K187="","",K187-AO187)</f>
        <v/>
      </c>
      <c r="AQ187" s="15" t="str">
        <f aca="false">IF(K187="","",K187-F187-IF(N187="",0,N187))</f>
        <v/>
      </c>
    </row>
    <row r="188" customFormat="false" ht="15" hidden="false" customHeight="false" outlineLevel="0" collapsed="false">
      <c r="A188" s="4"/>
      <c r="B188" s="4"/>
      <c r="C188" s="4"/>
      <c r="D188" s="5"/>
      <c r="E188" s="5"/>
      <c r="F188" s="6"/>
      <c r="G188" s="4"/>
      <c r="H188" s="4"/>
      <c r="I188" s="4"/>
      <c r="J188" s="6"/>
      <c r="K188" s="7" t="str">
        <f aca="false">IF(OR(I188="",J188=""),"",I188*J188)</f>
        <v/>
      </c>
      <c r="L188" s="4"/>
      <c r="M188" s="8"/>
      <c r="N188" s="7" t="str">
        <f aca="false">IF(OR(L188="",M188="",K188=""),"",IF(L188="GANANCIA",(K188-F188)*M188,IF(L188="BRUTO",K188*M188,"")))</f>
        <v/>
      </c>
      <c r="O188" s="9" t="str">
        <f aca="false">IF(D188="","",D188)</f>
        <v/>
      </c>
      <c r="P188" s="10" t="str">
        <f aca="false">IF(I188="","",IF(COUNTIF(Q188:AN188,TRUE())&gt;=I188,"PAGADO",IF(COUNTIF(Q188:AN188,TRUE())&gt;0,"PARCIAL","VIGENTE")))</f>
        <v/>
      </c>
      <c r="Q188" s="11" t="str">
        <f aca="false">IF(OR(I188="",I188&lt;1,O188=""),"",O188+0)</f>
        <v/>
      </c>
      <c r="R188" s="11" t="str">
        <f aca="false">IF(OR(I188="",I188&lt;2,O188=""),"",O188+30)</f>
        <v/>
      </c>
      <c r="S188" s="11" t="str">
        <f aca="false">IF(OR(I188="",I188&lt;3,O188=""),"",O188+60)</f>
        <v/>
      </c>
      <c r="T188" s="11" t="str">
        <f aca="false">IF(OR(I188="",I188&lt;4,O188=""),"",O188+90)</f>
        <v/>
      </c>
      <c r="U188" s="11" t="str">
        <f aca="false">IF(OR(I188="",I188&lt;5,O188=""),"",O188+120)</f>
        <v/>
      </c>
      <c r="V188" s="11" t="str">
        <f aca="false">IF(OR(I188="",I188&lt;6,O188=""),"",O188+150)</f>
        <v/>
      </c>
      <c r="W188" s="11" t="str">
        <f aca="false">IF(OR(I188="",I188&lt;7,O188=""),"",O188+180)</f>
        <v/>
      </c>
      <c r="X188" s="11" t="str">
        <f aca="false">IF(OR(I188="",I188&lt;8,O188=""),"",O188+210)</f>
        <v/>
      </c>
      <c r="Y188" s="11" t="str">
        <f aca="false">IF(OR(I188="",I188&lt;9,O188=""),"",O188+240)</f>
        <v/>
      </c>
      <c r="Z188" s="11" t="str">
        <f aca="false">IF(OR(I188="",I188&lt;10,O188=""),"",O188+270)</f>
        <v/>
      </c>
      <c r="AA188" s="11" t="str">
        <f aca="false">IF(OR(I188="",I188&lt;11,O188=""),"",O188+300)</f>
        <v/>
      </c>
      <c r="AB188" s="11" t="str">
        <f aca="false">IF(OR(I188="",I188&lt;12,O188=""),"",O188+330)</f>
        <v/>
      </c>
      <c r="AC188" s="11" t="str">
        <f aca="false">IF(OR(I188="",I188&lt;13,O188=""),"",O188+360)</f>
        <v/>
      </c>
      <c r="AD188" s="11" t="str">
        <f aca="false">IF(OR(I188="",I188&lt;14,O188=""),"",O188+390)</f>
        <v/>
      </c>
      <c r="AE188" s="11" t="str">
        <f aca="false">IF(OR(I188="",I188&lt;15,O188=""),"",O188+420)</f>
        <v/>
      </c>
      <c r="AF188" s="11" t="str">
        <f aca="false">IF(OR(I188="",I188&lt;16,O188=""),"",O188+450)</f>
        <v/>
      </c>
      <c r="AG188" s="11" t="str">
        <f aca="false">IF(OR(I188="",I188&lt;17,O188=""),"",O188+480)</f>
        <v/>
      </c>
      <c r="AH188" s="11" t="str">
        <f aca="false">IF(OR(I188="",I188&lt;18,O188=""),"",O188+510)</f>
        <v/>
      </c>
      <c r="AI188" s="11" t="str">
        <f aca="false">IF(OR(I188="",I188&lt;19,O188=""),"",O188+540)</f>
        <v/>
      </c>
      <c r="AJ188" s="11" t="str">
        <f aca="false">IF(OR(I188="",I188&lt;20,O188=""),"",O188+570)</f>
        <v/>
      </c>
      <c r="AK188" s="11" t="str">
        <f aca="false">IF(OR(I188="",I188&lt;21,O188=""),"",O188+600)</f>
        <v/>
      </c>
      <c r="AL188" s="11" t="str">
        <f aca="false">IF(OR(I188="",I188&lt;22,O188=""),"",O188+630)</f>
        <v/>
      </c>
      <c r="AM188" s="11" t="str">
        <f aca="false">IF(OR(I188="",I188&lt;23,O188=""),"",O188+660)</f>
        <v/>
      </c>
      <c r="AN188" s="11" t="str">
        <f aca="false">IF(OR(I188="",I188&lt;24,O188=""),"",O188+690)</f>
        <v/>
      </c>
      <c r="AO188" s="7" t="str">
        <f aca="false">IF(J188="","",COUNTIF(Q188:AN188,TRUE())*J188)</f>
        <v/>
      </c>
      <c r="AP188" s="7" t="str">
        <f aca="false">IF(K188="","",K188-AO188)</f>
        <v/>
      </c>
      <c r="AQ188" s="7" t="str">
        <f aca="false">IF(K188="","",K188-F188-IF(N188="",0,N188))</f>
        <v/>
      </c>
    </row>
    <row r="189" customFormat="false" ht="15" hidden="false" customHeight="false" outlineLevel="0" collapsed="false">
      <c r="A189" s="12"/>
      <c r="B189" s="12"/>
      <c r="C189" s="12"/>
      <c r="D189" s="13"/>
      <c r="E189" s="13"/>
      <c r="F189" s="14"/>
      <c r="G189" s="12"/>
      <c r="H189" s="12"/>
      <c r="I189" s="12"/>
      <c r="J189" s="14"/>
      <c r="K189" s="15" t="str">
        <f aca="false">IF(OR(I189="",J189=""),"",I189*J189)</f>
        <v/>
      </c>
      <c r="L189" s="12"/>
      <c r="M189" s="16"/>
      <c r="N189" s="15" t="str">
        <f aca="false">IF(OR(L189="",M189="",K189=""),"",IF(L189="GANANCIA",(K189-F189)*M189,IF(L189="BRUTO",K189*M189,"")))</f>
        <v/>
      </c>
      <c r="O189" s="17" t="str">
        <f aca="false">IF(D189="","",D189)</f>
        <v/>
      </c>
      <c r="P189" s="18" t="str">
        <f aca="false">IF(I189="","",IF(COUNTIF(Q189:AN189,TRUE())&gt;=I189,"PAGADO",IF(COUNTIF(Q189:AN189,TRUE())&gt;0,"PARCIAL","VIGENTE")))</f>
        <v/>
      </c>
      <c r="Q189" s="19" t="str">
        <f aca="false">IF(OR(I189="",I189&lt;1,O189=""),"",O189+0)</f>
        <v/>
      </c>
      <c r="R189" s="19" t="str">
        <f aca="false">IF(OR(I189="",I189&lt;2,O189=""),"",O189+30)</f>
        <v/>
      </c>
      <c r="S189" s="19" t="str">
        <f aca="false">IF(OR(I189="",I189&lt;3,O189=""),"",O189+60)</f>
        <v/>
      </c>
      <c r="T189" s="19" t="str">
        <f aca="false">IF(OR(I189="",I189&lt;4,O189=""),"",O189+90)</f>
        <v/>
      </c>
      <c r="U189" s="19" t="str">
        <f aca="false">IF(OR(I189="",I189&lt;5,O189=""),"",O189+120)</f>
        <v/>
      </c>
      <c r="V189" s="19" t="str">
        <f aca="false">IF(OR(I189="",I189&lt;6,O189=""),"",O189+150)</f>
        <v/>
      </c>
      <c r="W189" s="19" t="str">
        <f aca="false">IF(OR(I189="",I189&lt;7,O189=""),"",O189+180)</f>
        <v/>
      </c>
      <c r="X189" s="19" t="str">
        <f aca="false">IF(OR(I189="",I189&lt;8,O189=""),"",O189+210)</f>
        <v/>
      </c>
      <c r="Y189" s="19" t="str">
        <f aca="false">IF(OR(I189="",I189&lt;9,O189=""),"",O189+240)</f>
        <v/>
      </c>
      <c r="Z189" s="19" t="str">
        <f aca="false">IF(OR(I189="",I189&lt;10,O189=""),"",O189+270)</f>
        <v/>
      </c>
      <c r="AA189" s="19" t="str">
        <f aca="false">IF(OR(I189="",I189&lt;11,O189=""),"",O189+300)</f>
        <v/>
      </c>
      <c r="AB189" s="19" t="str">
        <f aca="false">IF(OR(I189="",I189&lt;12,O189=""),"",O189+330)</f>
        <v/>
      </c>
      <c r="AC189" s="19" t="str">
        <f aca="false">IF(OR(I189="",I189&lt;13,O189=""),"",O189+360)</f>
        <v/>
      </c>
      <c r="AD189" s="19" t="str">
        <f aca="false">IF(OR(I189="",I189&lt;14,O189=""),"",O189+390)</f>
        <v/>
      </c>
      <c r="AE189" s="19" t="str">
        <f aca="false">IF(OR(I189="",I189&lt;15,O189=""),"",O189+420)</f>
        <v/>
      </c>
      <c r="AF189" s="19" t="str">
        <f aca="false">IF(OR(I189="",I189&lt;16,O189=""),"",O189+450)</f>
        <v/>
      </c>
      <c r="AG189" s="19" t="str">
        <f aca="false">IF(OR(I189="",I189&lt;17,O189=""),"",O189+480)</f>
        <v/>
      </c>
      <c r="AH189" s="19" t="str">
        <f aca="false">IF(OR(I189="",I189&lt;18,O189=""),"",O189+510)</f>
        <v/>
      </c>
      <c r="AI189" s="19" t="str">
        <f aca="false">IF(OR(I189="",I189&lt;19,O189=""),"",O189+540)</f>
        <v/>
      </c>
      <c r="AJ189" s="19" t="str">
        <f aca="false">IF(OR(I189="",I189&lt;20,O189=""),"",O189+570)</f>
        <v/>
      </c>
      <c r="AK189" s="19" t="str">
        <f aca="false">IF(OR(I189="",I189&lt;21,O189=""),"",O189+600)</f>
        <v/>
      </c>
      <c r="AL189" s="19" t="str">
        <f aca="false">IF(OR(I189="",I189&lt;22,O189=""),"",O189+630)</f>
        <v/>
      </c>
      <c r="AM189" s="19" t="str">
        <f aca="false">IF(OR(I189="",I189&lt;23,O189=""),"",O189+660)</f>
        <v/>
      </c>
      <c r="AN189" s="19" t="str">
        <f aca="false">IF(OR(I189="",I189&lt;24,O189=""),"",O189+690)</f>
        <v/>
      </c>
      <c r="AO189" s="15" t="str">
        <f aca="false">IF(J189="","",COUNTIF(Q189:AN189,TRUE())*J189)</f>
        <v/>
      </c>
      <c r="AP189" s="15" t="str">
        <f aca="false">IF(K189="","",K189-AO189)</f>
        <v/>
      </c>
      <c r="AQ189" s="15" t="str">
        <f aca="false">IF(K189="","",K189-F189-IF(N189="",0,N189))</f>
        <v/>
      </c>
    </row>
    <row r="190" customFormat="false" ht="15" hidden="false" customHeight="false" outlineLevel="0" collapsed="false">
      <c r="A190" s="4"/>
      <c r="B190" s="4"/>
      <c r="C190" s="4"/>
      <c r="D190" s="5"/>
      <c r="E190" s="5"/>
      <c r="F190" s="6"/>
      <c r="G190" s="4"/>
      <c r="H190" s="4"/>
      <c r="I190" s="4"/>
      <c r="J190" s="6"/>
      <c r="K190" s="7" t="str">
        <f aca="false">IF(OR(I190="",J190=""),"",I190*J190)</f>
        <v/>
      </c>
      <c r="L190" s="4"/>
      <c r="M190" s="8"/>
      <c r="N190" s="7" t="str">
        <f aca="false">IF(OR(L190="",M190="",K190=""),"",IF(L190="GANANCIA",(K190-F190)*M190,IF(L190="BRUTO",K190*M190,"")))</f>
        <v/>
      </c>
      <c r="O190" s="9" t="str">
        <f aca="false">IF(D190="","",D190)</f>
        <v/>
      </c>
      <c r="P190" s="10" t="str">
        <f aca="false">IF(I190="","",IF(COUNTIF(Q190:AN190,TRUE())&gt;=I190,"PAGADO",IF(COUNTIF(Q190:AN190,TRUE())&gt;0,"PARCIAL","VIGENTE")))</f>
        <v/>
      </c>
      <c r="Q190" s="11" t="str">
        <f aca="false">IF(OR(I190="",I190&lt;1,O190=""),"",O190+0)</f>
        <v/>
      </c>
      <c r="R190" s="11" t="str">
        <f aca="false">IF(OR(I190="",I190&lt;2,O190=""),"",O190+30)</f>
        <v/>
      </c>
      <c r="S190" s="11" t="str">
        <f aca="false">IF(OR(I190="",I190&lt;3,O190=""),"",O190+60)</f>
        <v/>
      </c>
      <c r="T190" s="11" t="str">
        <f aca="false">IF(OR(I190="",I190&lt;4,O190=""),"",O190+90)</f>
        <v/>
      </c>
      <c r="U190" s="11" t="str">
        <f aca="false">IF(OR(I190="",I190&lt;5,O190=""),"",O190+120)</f>
        <v/>
      </c>
      <c r="V190" s="11" t="str">
        <f aca="false">IF(OR(I190="",I190&lt;6,O190=""),"",O190+150)</f>
        <v/>
      </c>
      <c r="W190" s="11" t="str">
        <f aca="false">IF(OR(I190="",I190&lt;7,O190=""),"",O190+180)</f>
        <v/>
      </c>
      <c r="X190" s="11" t="str">
        <f aca="false">IF(OR(I190="",I190&lt;8,O190=""),"",O190+210)</f>
        <v/>
      </c>
      <c r="Y190" s="11" t="str">
        <f aca="false">IF(OR(I190="",I190&lt;9,O190=""),"",O190+240)</f>
        <v/>
      </c>
      <c r="Z190" s="11" t="str">
        <f aca="false">IF(OR(I190="",I190&lt;10,O190=""),"",O190+270)</f>
        <v/>
      </c>
      <c r="AA190" s="11" t="str">
        <f aca="false">IF(OR(I190="",I190&lt;11,O190=""),"",O190+300)</f>
        <v/>
      </c>
      <c r="AB190" s="11" t="str">
        <f aca="false">IF(OR(I190="",I190&lt;12,O190=""),"",O190+330)</f>
        <v/>
      </c>
      <c r="AC190" s="11" t="str">
        <f aca="false">IF(OR(I190="",I190&lt;13,O190=""),"",O190+360)</f>
        <v/>
      </c>
      <c r="AD190" s="11" t="str">
        <f aca="false">IF(OR(I190="",I190&lt;14,O190=""),"",O190+390)</f>
        <v/>
      </c>
      <c r="AE190" s="11" t="str">
        <f aca="false">IF(OR(I190="",I190&lt;15,O190=""),"",O190+420)</f>
        <v/>
      </c>
      <c r="AF190" s="11" t="str">
        <f aca="false">IF(OR(I190="",I190&lt;16,O190=""),"",O190+450)</f>
        <v/>
      </c>
      <c r="AG190" s="11" t="str">
        <f aca="false">IF(OR(I190="",I190&lt;17,O190=""),"",O190+480)</f>
        <v/>
      </c>
      <c r="AH190" s="11" t="str">
        <f aca="false">IF(OR(I190="",I190&lt;18,O190=""),"",O190+510)</f>
        <v/>
      </c>
      <c r="AI190" s="11" t="str">
        <f aca="false">IF(OR(I190="",I190&lt;19,O190=""),"",O190+540)</f>
        <v/>
      </c>
      <c r="AJ190" s="11" t="str">
        <f aca="false">IF(OR(I190="",I190&lt;20,O190=""),"",O190+570)</f>
        <v/>
      </c>
      <c r="AK190" s="11" t="str">
        <f aca="false">IF(OR(I190="",I190&lt;21,O190=""),"",O190+600)</f>
        <v/>
      </c>
      <c r="AL190" s="11" t="str">
        <f aca="false">IF(OR(I190="",I190&lt;22,O190=""),"",O190+630)</f>
        <v/>
      </c>
      <c r="AM190" s="11" t="str">
        <f aca="false">IF(OR(I190="",I190&lt;23,O190=""),"",O190+660)</f>
        <v/>
      </c>
      <c r="AN190" s="11" t="str">
        <f aca="false">IF(OR(I190="",I190&lt;24,O190=""),"",O190+690)</f>
        <v/>
      </c>
      <c r="AO190" s="7" t="str">
        <f aca="false">IF(J190="","",COUNTIF(Q190:AN190,TRUE())*J190)</f>
        <v/>
      </c>
      <c r="AP190" s="7" t="str">
        <f aca="false">IF(K190="","",K190-AO190)</f>
        <v/>
      </c>
      <c r="AQ190" s="7" t="str">
        <f aca="false">IF(K190="","",K190-F190-IF(N190="",0,N190))</f>
        <v/>
      </c>
    </row>
    <row r="191" customFormat="false" ht="15" hidden="false" customHeight="false" outlineLevel="0" collapsed="false">
      <c r="A191" s="12"/>
      <c r="B191" s="12"/>
      <c r="C191" s="12"/>
      <c r="D191" s="13"/>
      <c r="E191" s="13"/>
      <c r="F191" s="14"/>
      <c r="G191" s="12"/>
      <c r="H191" s="12"/>
      <c r="I191" s="12"/>
      <c r="J191" s="14"/>
      <c r="K191" s="15" t="str">
        <f aca="false">IF(OR(I191="",J191=""),"",I191*J191)</f>
        <v/>
      </c>
      <c r="L191" s="12"/>
      <c r="M191" s="16"/>
      <c r="N191" s="15" t="str">
        <f aca="false">IF(OR(L191="",M191="",K191=""),"",IF(L191="GANANCIA",(K191-F191)*M191,IF(L191="BRUTO",K191*M191,"")))</f>
        <v/>
      </c>
      <c r="O191" s="17" t="str">
        <f aca="false">IF(D191="","",D191)</f>
        <v/>
      </c>
      <c r="P191" s="18" t="str">
        <f aca="false">IF(I191="","",IF(COUNTIF(Q191:AN191,TRUE())&gt;=I191,"PAGADO",IF(COUNTIF(Q191:AN191,TRUE())&gt;0,"PARCIAL","VIGENTE")))</f>
        <v/>
      </c>
      <c r="Q191" s="19" t="str">
        <f aca="false">IF(OR(I191="",I191&lt;1,O191=""),"",O191+0)</f>
        <v/>
      </c>
      <c r="R191" s="19" t="str">
        <f aca="false">IF(OR(I191="",I191&lt;2,O191=""),"",O191+30)</f>
        <v/>
      </c>
      <c r="S191" s="19" t="str">
        <f aca="false">IF(OR(I191="",I191&lt;3,O191=""),"",O191+60)</f>
        <v/>
      </c>
      <c r="T191" s="19" t="str">
        <f aca="false">IF(OR(I191="",I191&lt;4,O191=""),"",O191+90)</f>
        <v/>
      </c>
      <c r="U191" s="19" t="str">
        <f aca="false">IF(OR(I191="",I191&lt;5,O191=""),"",O191+120)</f>
        <v/>
      </c>
      <c r="V191" s="19" t="str">
        <f aca="false">IF(OR(I191="",I191&lt;6,O191=""),"",O191+150)</f>
        <v/>
      </c>
      <c r="W191" s="19" t="str">
        <f aca="false">IF(OR(I191="",I191&lt;7,O191=""),"",O191+180)</f>
        <v/>
      </c>
      <c r="X191" s="19" t="str">
        <f aca="false">IF(OR(I191="",I191&lt;8,O191=""),"",O191+210)</f>
        <v/>
      </c>
      <c r="Y191" s="19" t="str">
        <f aca="false">IF(OR(I191="",I191&lt;9,O191=""),"",O191+240)</f>
        <v/>
      </c>
      <c r="Z191" s="19" t="str">
        <f aca="false">IF(OR(I191="",I191&lt;10,O191=""),"",O191+270)</f>
        <v/>
      </c>
      <c r="AA191" s="19" t="str">
        <f aca="false">IF(OR(I191="",I191&lt;11,O191=""),"",O191+300)</f>
        <v/>
      </c>
      <c r="AB191" s="19" t="str">
        <f aca="false">IF(OR(I191="",I191&lt;12,O191=""),"",O191+330)</f>
        <v/>
      </c>
      <c r="AC191" s="19" t="str">
        <f aca="false">IF(OR(I191="",I191&lt;13,O191=""),"",O191+360)</f>
        <v/>
      </c>
      <c r="AD191" s="19" t="str">
        <f aca="false">IF(OR(I191="",I191&lt;14,O191=""),"",O191+390)</f>
        <v/>
      </c>
      <c r="AE191" s="19" t="str">
        <f aca="false">IF(OR(I191="",I191&lt;15,O191=""),"",O191+420)</f>
        <v/>
      </c>
      <c r="AF191" s="19" t="str">
        <f aca="false">IF(OR(I191="",I191&lt;16,O191=""),"",O191+450)</f>
        <v/>
      </c>
      <c r="AG191" s="19" t="str">
        <f aca="false">IF(OR(I191="",I191&lt;17,O191=""),"",O191+480)</f>
        <v/>
      </c>
      <c r="AH191" s="19" t="str">
        <f aca="false">IF(OR(I191="",I191&lt;18,O191=""),"",O191+510)</f>
        <v/>
      </c>
      <c r="AI191" s="19" t="str">
        <f aca="false">IF(OR(I191="",I191&lt;19,O191=""),"",O191+540)</f>
        <v/>
      </c>
      <c r="AJ191" s="19" t="str">
        <f aca="false">IF(OR(I191="",I191&lt;20,O191=""),"",O191+570)</f>
        <v/>
      </c>
      <c r="AK191" s="19" t="str">
        <f aca="false">IF(OR(I191="",I191&lt;21,O191=""),"",O191+600)</f>
        <v/>
      </c>
      <c r="AL191" s="19" t="str">
        <f aca="false">IF(OR(I191="",I191&lt;22,O191=""),"",O191+630)</f>
        <v/>
      </c>
      <c r="AM191" s="19" t="str">
        <f aca="false">IF(OR(I191="",I191&lt;23,O191=""),"",O191+660)</f>
        <v/>
      </c>
      <c r="AN191" s="19" t="str">
        <f aca="false">IF(OR(I191="",I191&lt;24,O191=""),"",O191+690)</f>
        <v/>
      </c>
      <c r="AO191" s="15" t="str">
        <f aca="false">IF(J191="","",COUNTIF(Q191:AN191,TRUE())*J191)</f>
        <v/>
      </c>
      <c r="AP191" s="15" t="str">
        <f aca="false">IF(K191="","",K191-AO191)</f>
        <v/>
      </c>
      <c r="AQ191" s="15" t="str">
        <f aca="false">IF(K191="","",K191-F191-IF(N191="",0,N191))</f>
        <v/>
      </c>
    </row>
    <row r="192" customFormat="false" ht="15" hidden="false" customHeight="false" outlineLevel="0" collapsed="false">
      <c r="A192" s="4"/>
      <c r="B192" s="4"/>
      <c r="C192" s="4"/>
      <c r="D192" s="5"/>
      <c r="E192" s="5"/>
      <c r="F192" s="6"/>
      <c r="G192" s="4"/>
      <c r="H192" s="4"/>
      <c r="I192" s="4"/>
      <c r="J192" s="6"/>
      <c r="K192" s="7" t="str">
        <f aca="false">IF(OR(I192="",J192=""),"",I192*J192)</f>
        <v/>
      </c>
      <c r="L192" s="4"/>
      <c r="M192" s="8"/>
      <c r="N192" s="7" t="str">
        <f aca="false">IF(OR(L192="",M192="",K192=""),"",IF(L192="GANANCIA",(K192-F192)*M192,IF(L192="BRUTO",K192*M192,"")))</f>
        <v/>
      </c>
      <c r="O192" s="9" t="str">
        <f aca="false">IF(D192="","",D192)</f>
        <v/>
      </c>
      <c r="P192" s="10" t="str">
        <f aca="false">IF(I192="","",IF(COUNTIF(Q192:AN192,TRUE())&gt;=I192,"PAGADO",IF(COUNTIF(Q192:AN192,TRUE())&gt;0,"PARCIAL","VIGENTE")))</f>
        <v/>
      </c>
      <c r="Q192" s="11" t="str">
        <f aca="false">IF(OR(I192="",I192&lt;1,O192=""),"",O192+0)</f>
        <v/>
      </c>
      <c r="R192" s="11" t="str">
        <f aca="false">IF(OR(I192="",I192&lt;2,O192=""),"",O192+30)</f>
        <v/>
      </c>
      <c r="S192" s="11" t="str">
        <f aca="false">IF(OR(I192="",I192&lt;3,O192=""),"",O192+60)</f>
        <v/>
      </c>
      <c r="T192" s="11" t="str">
        <f aca="false">IF(OR(I192="",I192&lt;4,O192=""),"",O192+90)</f>
        <v/>
      </c>
      <c r="U192" s="11" t="str">
        <f aca="false">IF(OR(I192="",I192&lt;5,O192=""),"",O192+120)</f>
        <v/>
      </c>
      <c r="V192" s="11" t="str">
        <f aca="false">IF(OR(I192="",I192&lt;6,O192=""),"",O192+150)</f>
        <v/>
      </c>
      <c r="W192" s="11" t="str">
        <f aca="false">IF(OR(I192="",I192&lt;7,O192=""),"",O192+180)</f>
        <v/>
      </c>
      <c r="X192" s="11" t="str">
        <f aca="false">IF(OR(I192="",I192&lt;8,O192=""),"",O192+210)</f>
        <v/>
      </c>
      <c r="Y192" s="11" t="str">
        <f aca="false">IF(OR(I192="",I192&lt;9,O192=""),"",O192+240)</f>
        <v/>
      </c>
      <c r="Z192" s="11" t="str">
        <f aca="false">IF(OR(I192="",I192&lt;10,O192=""),"",O192+270)</f>
        <v/>
      </c>
      <c r="AA192" s="11" t="str">
        <f aca="false">IF(OR(I192="",I192&lt;11,O192=""),"",O192+300)</f>
        <v/>
      </c>
      <c r="AB192" s="11" t="str">
        <f aca="false">IF(OR(I192="",I192&lt;12,O192=""),"",O192+330)</f>
        <v/>
      </c>
      <c r="AC192" s="11" t="str">
        <f aca="false">IF(OR(I192="",I192&lt;13,O192=""),"",O192+360)</f>
        <v/>
      </c>
      <c r="AD192" s="11" t="str">
        <f aca="false">IF(OR(I192="",I192&lt;14,O192=""),"",O192+390)</f>
        <v/>
      </c>
      <c r="AE192" s="11" t="str">
        <f aca="false">IF(OR(I192="",I192&lt;15,O192=""),"",O192+420)</f>
        <v/>
      </c>
      <c r="AF192" s="11" t="str">
        <f aca="false">IF(OR(I192="",I192&lt;16,O192=""),"",O192+450)</f>
        <v/>
      </c>
      <c r="AG192" s="11" t="str">
        <f aca="false">IF(OR(I192="",I192&lt;17,O192=""),"",O192+480)</f>
        <v/>
      </c>
      <c r="AH192" s="11" t="str">
        <f aca="false">IF(OR(I192="",I192&lt;18,O192=""),"",O192+510)</f>
        <v/>
      </c>
      <c r="AI192" s="11" t="str">
        <f aca="false">IF(OR(I192="",I192&lt;19,O192=""),"",O192+540)</f>
        <v/>
      </c>
      <c r="AJ192" s="11" t="str">
        <f aca="false">IF(OR(I192="",I192&lt;20,O192=""),"",O192+570)</f>
        <v/>
      </c>
      <c r="AK192" s="11" t="str">
        <f aca="false">IF(OR(I192="",I192&lt;21,O192=""),"",O192+600)</f>
        <v/>
      </c>
      <c r="AL192" s="11" t="str">
        <f aca="false">IF(OR(I192="",I192&lt;22,O192=""),"",O192+630)</f>
        <v/>
      </c>
      <c r="AM192" s="11" t="str">
        <f aca="false">IF(OR(I192="",I192&lt;23,O192=""),"",O192+660)</f>
        <v/>
      </c>
      <c r="AN192" s="11" t="str">
        <f aca="false">IF(OR(I192="",I192&lt;24,O192=""),"",O192+690)</f>
        <v/>
      </c>
      <c r="AO192" s="7" t="str">
        <f aca="false">IF(J192="","",COUNTIF(Q192:AN192,TRUE())*J192)</f>
        <v/>
      </c>
      <c r="AP192" s="7" t="str">
        <f aca="false">IF(K192="","",K192-AO192)</f>
        <v/>
      </c>
      <c r="AQ192" s="7" t="str">
        <f aca="false">IF(K192="","",K192-F192-IF(N192="",0,N192))</f>
        <v/>
      </c>
    </row>
    <row r="193" customFormat="false" ht="15" hidden="false" customHeight="false" outlineLevel="0" collapsed="false">
      <c r="A193" s="12"/>
      <c r="B193" s="12"/>
      <c r="C193" s="12"/>
      <c r="D193" s="13"/>
      <c r="E193" s="13"/>
      <c r="F193" s="14"/>
      <c r="G193" s="12"/>
      <c r="H193" s="12"/>
      <c r="I193" s="12"/>
      <c r="J193" s="14"/>
      <c r="K193" s="15" t="str">
        <f aca="false">IF(OR(I193="",J193=""),"",I193*J193)</f>
        <v/>
      </c>
      <c r="L193" s="12"/>
      <c r="M193" s="16"/>
      <c r="N193" s="15" t="str">
        <f aca="false">IF(OR(L193="",M193="",K193=""),"",IF(L193="GANANCIA",(K193-F193)*M193,IF(L193="BRUTO",K193*M193,"")))</f>
        <v/>
      </c>
      <c r="O193" s="17" t="str">
        <f aca="false">IF(D193="","",D193)</f>
        <v/>
      </c>
      <c r="P193" s="18" t="str">
        <f aca="false">IF(I193="","",IF(COUNTIF(Q193:AN193,TRUE())&gt;=I193,"PAGADO",IF(COUNTIF(Q193:AN193,TRUE())&gt;0,"PARCIAL","VIGENTE")))</f>
        <v/>
      </c>
      <c r="Q193" s="19" t="str">
        <f aca="false">IF(OR(I193="",I193&lt;1,O193=""),"",O193+0)</f>
        <v/>
      </c>
      <c r="R193" s="19" t="str">
        <f aca="false">IF(OR(I193="",I193&lt;2,O193=""),"",O193+30)</f>
        <v/>
      </c>
      <c r="S193" s="19" t="str">
        <f aca="false">IF(OR(I193="",I193&lt;3,O193=""),"",O193+60)</f>
        <v/>
      </c>
      <c r="T193" s="19" t="str">
        <f aca="false">IF(OR(I193="",I193&lt;4,O193=""),"",O193+90)</f>
        <v/>
      </c>
      <c r="U193" s="19" t="str">
        <f aca="false">IF(OR(I193="",I193&lt;5,O193=""),"",O193+120)</f>
        <v/>
      </c>
      <c r="V193" s="19" t="str">
        <f aca="false">IF(OR(I193="",I193&lt;6,O193=""),"",O193+150)</f>
        <v/>
      </c>
      <c r="W193" s="19" t="str">
        <f aca="false">IF(OR(I193="",I193&lt;7,O193=""),"",O193+180)</f>
        <v/>
      </c>
      <c r="X193" s="19" t="str">
        <f aca="false">IF(OR(I193="",I193&lt;8,O193=""),"",O193+210)</f>
        <v/>
      </c>
      <c r="Y193" s="19" t="str">
        <f aca="false">IF(OR(I193="",I193&lt;9,O193=""),"",O193+240)</f>
        <v/>
      </c>
      <c r="Z193" s="19" t="str">
        <f aca="false">IF(OR(I193="",I193&lt;10,O193=""),"",O193+270)</f>
        <v/>
      </c>
      <c r="AA193" s="19" t="str">
        <f aca="false">IF(OR(I193="",I193&lt;11,O193=""),"",O193+300)</f>
        <v/>
      </c>
      <c r="AB193" s="19" t="str">
        <f aca="false">IF(OR(I193="",I193&lt;12,O193=""),"",O193+330)</f>
        <v/>
      </c>
      <c r="AC193" s="19" t="str">
        <f aca="false">IF(OR(I193="",I193&lt;13,O193=""),"",O193+360)</f>
        <v/>
      </c>
      <c r="AD193" s="19" t="str">
        <f aca="false">IF(OR(I193="",I193&lt;14,O193=""),"",O193+390)</f>
        <v/>
      </c>
      <c r="AE193" s="19" t="str">
        <f aca="false">IF(OR(I193="",I193&lt;15,O193=""),"",O193+420)</f>
        <v/>
      </c>
      <c r="AF193" s="19" t="str">
        <f aca="false">IF(OR(I193="",I193&lt;16,O193=""),"",O193+450)</f>
        <v/>
      </c>
      <c r="AG193" s="19" t="str">
        <f aca="false">IF(OR(I193="",I193&lt;17,O193=""),"",O193+480)</f>
        <v/>
      </c>
      <c r="AH193" s="19" t="str">
        <f aca="false">IF(OR(I193="",I193&lt;18,O193=""),"",O193+510)</f>
        <v/>
      </c>
      <c r="AI193" s="19" t="str">
        <f aca="false">IF(OR(I193="",I193&lt;19,O193=""),"",O193+540)</f>
        <v/>
      </c>
      <c r="AJ193" s="19" t="str">
        <f aca="false">IF(OR(I193="",I193&lt;20,O193=""),"",O193+570)</f>
        <v/>
      </c>
      <c r="AK193" s="19" t="str">
        <f aca="false">IF(OR(I193="",I193&lt;21,O193=""),"",O193+600)</f>
        <v/>
      </c>
      <c r="AL193" s="19" t="str">
        <f aca="false">IF(OR(I193="",I193&lt;22,O193=""),"",O193+630)</f>
        <v/>
      </c>
      <c r="AM193" s="19" t="str">
        <f aca="false">IF(OR(I193="",I193&lt;23,O193=""),"",O193+660)</f>
        <v/>
      </c>
      <c r="AN193" s="19" t="str">
        <f aca="false">IF(OR(I193="",I193&lt;24,O193=""),"",O193+690)</f>
        <v/>
      </c>
      <c r="AO193" s="15" t="str">
        <f aca="false">IF(J193="","",COUNTIF(Q193:AN193,TRUE())*J193)</f>
        <v/>
      </c>
      <c r="AP193" s="15" t="str">
        <f aca="false">IF(K193="","",K193-AO193)</f>
        <v/>
      </c>
      <c r="AQ193" s="15" t="str">
        <f aca="false">IF(K193="","",K193-F193-IF(N193="",0,N193))</f>
        <v/>
      </c>
    </row>
    <row r="194" customFormat="false" ht="15" hidden="false" customHeight="false" outlineLevel="0" collapsed="false">
      <c r="A194" s="4"/>
      <c r="B194" s="4"/>
      <c r="C194" s="4"/>
      <c r="D194" s="5"/>
      <c r="E194" s="5"/>
      <c r="F194" s="6"/>
      <c r="G194" s="4"/>
      <c r="H194" s="4"/>
      <c r="I194" s="4"/>
      <c r="J194" s="6"/>
      <c r="K194" s="7" t="str">
        <f aca="false">IF(OR(I194="",J194=""),"",I194*J194)</f>
        <v/>
      </c>
      <c r="L194" s="4"/>
      <c r="M194" s="8"/>
      <c r="N194" s="7" t="str">
        <f aca="false">IF(OR(L194="",M194="",K194=""),"",IF(L194="GANANCIA",(K194-F194)*M194,IF(L194="BRUTO",K194*M194,"")))</f>
        <v/>
      </c>
      <c r="O194" s="9" t="str">
        <f aca="false">IF(D194="","",D194)</f>
        <v/>
      </c>
      <c r="P194" s="10" t="str">
        <f aca="false">IF(I194="","",IF(COUNTIF(Q194:AN194,TRUE())&gt;=I194,"PAGADO",IF(COUNTIF(Q194:AN194,TRUE())&gt;0,"PARCIAL","VIGENTE")))</f>
        <v/>
      </c>
      <c r="Q194" s="11" t="str">
        <f aca="false">IF(OR(I194="",I194&lt;1,O194=""),"",O194+0)</f>
        <v/>
      </c>
      <c r="R194" s="11" t="str">
        <f aca="false">IF(OR(I194="",I194&lt;2,O194=""),"",O194+30)</f>
        <v/>
      </c>
      <c r="S194" s="11" t="str">
        <f aca="false">IF(OR(I194="",I194&lt;3,O194=""),"",O194+60)</f>
        <v/>
      </c>
      <c r="T194" s="11" t="str">
        <f aca="false">IF(OR(I194="",I194&lt;4,O194=""),"",O194+90)</f>
        <v/>
      </c>
      <c r="U194" s="11" t="str">
        <f aca="false">IF(OR(I194="",I194&lt;5,O194=""),"",O194+120)</f>
        <v/>
      </c>
      <c r="V194" s="11" t="str">
        <f aca="false">IF(OR(I194="",I194&lt;6,O194=""),"",O194+150)</f>
        <v/>
      </c>
      <c r="W194" s="11" t="str">
        <f aca="false">IF(OR(I194="",I194&lt;7,O194=""),"",O194+180)</f>
        <v/>
      </c>
      <c r="X194" s="11" t="str">
        <f aca="false">IF(OR(I194="",I194&lt;8,O194=""),"",O194+210)</f>
        <v/>
      </c>
      <c r="Y194" s="11" t="str">
        <f aca="false">IF(OR(I194="",I194&lt;9,O194=""),"",O194+240)</f>
        <v/>
      </c>
      <c r="Z194" s="11" t="str">
        <f aca="false">IF(OR(I194="",I194&lt;10,O194=""),"",O194+270)</f>
        <v/>
      </c>
      <c r="AA194" s="11" t="str">
        <f aca="false">IF(OR(I194="",I194&lt;11,O194=""),"",O194+300)</f>
        <v/>
      </c>
      <c r="AB194" s="11" t="str">
        <f aca="false">IF(OR(I194="",I194&lt;12,O194=""),"",O194+330)</f>
        <v/>
      </c>
      <c r="AC194" s="11" t="str">
        <f aca="false">IF(OR(I194="",I194&lt;13,O194=""),"",O194+360)</f>
        <v/>
      </c>
      <c r="AD194" s="11" t="str">
        <f aca="false">IF(OR(I194="",I194&lt;14,O194=""),"",O194+390)</f>
        <v/>
      </c>
      <c r="AE194" s="11" t="str">
        <f aca="false">IF(OR(I194="",I194&lt;15,O194=""),"",O194+420)</f>
        <v/>
      </c>
      <c r="AF194" s="11" t="str">
        <f aca="false">IF(OR(I194="",I194&lt;16,O194=""),"",O194+450)</f>
        <v/>
      </c>
      <c r="AG194" s="11" t="str">
        <f aca="false">IF(OR(I194="",I194&lt;17,O194=""),"",O194+480)</f>
        <v/>
      </c>
      <c r="AH194" s="11" t="str">
        <f aca="false">IF(OR(I194="",I194&lt;18,O194=""),"",O194+510)</f>
        <v/>
      </c>
      <c r="AI194" s="11" t="str">
        <f aca="false">IF(OR(I194="",I194&lt;19,O194=""),"",O194+540)</f>
        <v/>
      </c>
      <c r="AJ194" s="11" t="str">
        <f aca="false">IF(OR(I194="",I194&lt;20,O194=""),"",O194+570)</f>
        <v/>
      </c>
      <c r="AK194" s="11" t="str">
        <f aca="false">IF(OR(I194="",I194&lt;21,O194=""),"",O194+600)</f>
        <v/>
      </c>
      <c r="AL194" s="11" t="str">
        <f aca="false">IF(OR(I194="",I194&lt;22,O194=""),"",O194+630)</f>
        <v/>
      </c>
      <c r="AM194" s="11" t="str">
        <f aca="false">IF(OR(I194="",I194&lt;23,O194=""),"",O194+660)</f>
        <v/>
      </c>
      <c r="AN194" s="11" t="str">
        <f aca="false">IF(OR(I194="",I194&lt;24,O194=""),"",O194+690)</f>
        <v/>
      </c>
      <c r="AO194" s="7" t="str">
        <f aca="false">IF(J194="","",COUNTIF(Q194:AN194,TRUE())*J194)</f>
        <v/>
      </c>
      <c r="AP194" s="7" t="str">
        <f aca="false">IF(K194="","",K194-AO194)</f>
        <v/>
      </c>
      <c r="AQ194" s="7" t="str">
        <f aca="false">IF(K194="","",K194-F194-IF(N194="",0,N194))</f>
        <v/>
      </c>
    </row>
    <row r="195" customFormat="false" ht="15" hidden="false" customHeight="false" outlineLevel="0" collapsed="false">
      <c r="A195" s="12"/>
      <c r="B195" s="12"/>
      <c r="C195" s="12"/>
      <c r="D195" s="13"/>
      <c r="E195" s="13"/>
      <c r="F195" s="14"/>
      <c r="G195" s="12"/>
      <c r="H195" s="12"/>
      <c r="I195" s="12"/>
      <c r="J195" s="14"/>
      <c r="K195" s="15" t="str">
        <f aca="false">IF(OR(I195="",J195=""),"",I195*J195)</f>
        <v/>
      </c>
      <c r="L195" s="12"/>
      <c r="M195" s="16"/>
      <c r="N195" s="15" t="str">
        <f aca="false">IF(OR(L195="",M195="",K195=""),"",IF(L195="GANANCIA",(K195-F195)*M195,IF(L195="BRUTO",K195*M195,"")))</f>
        <v/>
      </c>
      <c r="O195" s="17" t="str">
        <f aca="false">IF(D195="","",D195)</f>
        <v/>
      </c>
      <c r="P195" s="18" t="str">
        <f aca="false">IF(I195="","",IF(COUNTIF(Q195:AN195,TRUE())&gt;=I195,"PAGADO",IF(COUNTIF(Q195:AN195,TRUE())&gt;0,"PARCIAL","VIGENTE")))</f>
        <v/>
      </c>
      <c r="Q195" s="19" t="str">
        <f aca="false">IF(OR(I195="",I195&lt;1,O195=""),"",O195+0)</f>
        <v/>
      </c>
      <c r="R195" s="19" t="str">
        <f aca="false">IF(OR(I195="",I195&lt;2,O195=""),"",O195+30)</f>
        <v/>
      </c>
      <c r="S195" s="19" t="str">
        <f aca="false">IF(OR(I195="",I195&lt;3,O195=""),"",O195+60)</f>
        <v/>
      </c>
      <c r="T195" s="19" t="str">
        <f aca="false">IF(OR(I195="",I195&lt;4,O195=""),"",O195+90)</f>
        <v/>
      </c>
      <c r="U195" s="19" t="str">
        <f aca="false">IF(OR(I195="",I195&lt;5,O195=""),"",O195+120)</f>
        <v/>
      </c>
      <c r="V195" s="19" t="str">
        <f aca="false">IF(OR(I195="",I195&lt;6,O195=""),"",O195+150)</f>
        <v/>
      </c>
      <c r="W195" s="19" t="str">
        <f aca="false">IF(OR(I195="",I195&lt;7,O195=""),"",O195+180)</f>
        <v/>
      </c>
      <c r="X195" s="19" t="str">
        <f aca="false">IF(OR(I195="",I195&lt;8,O195=""),"",O195+210)</f>
        <v/>
      </c>
      <c r="Y195" s="19" t="str">
        <f aca="false">IF(OR(I195="",I195&lt;9,O195=""),"",O195+240)</f>
        <v/>
      </c>
      <c r="Z195" s="19" t="str">
        <f aca="false">IF(OR(I195="",I195&lt;10,O195=""),"",O195+270)</f>
        <v/>
      </c>
      <c r="AA195" s="19" t="str">
        <f aca="false">IF(OR(I195="",I195&lt;11,O195=""),"",O195+300)</f>
        <v/>
      </c>
      <c r="AB195" s="19" t="str">
        <f aca="false">IF(OR(I195="",I195&lt;12,O195=""),"",O195+330)</f>
        <v/>
      </c>
      <c r="AC195" s="19" t="str">
        <f aca="false">IF(OR(I195="",I195&lt;13,O195=""),"",O195+360)</f>
        <v/>
      </c>
      <c r="AD195" s="19" t="str">
        <f aca="false">IF(OR(I195="",I195&lt;14,O195=""),"",O195+390)</f>
        <v/>
      </c>
      <c r="AE195" s="19" t="str">
        <f aca="false">IF(OR(I195="",I195&lt;15,O195=""),"",O195+420)</f>
        <v/>
      </c>
      <c r="AF195" s="19" t="str">
        <f aca="false">IF(OR(I195="",I195&lt;16,O195=""),"",O195+450)</f>
        <v/>
      </c>
      <c r="AG195" s="19" t="str">
        <f aca="false">IF(OR(I195="",I195&lt;17,O195=""),"",O195+480)</f>
        <v/>
      </c>
      <c r="AH195" s="19" t="str">
        <f aca="false">IF(OR(I195="",I195&lt;18,O195=""),"",O195+510)</f>
        <v/>
      </c>
      <c r="AI195" s="19" t="str">
        <f aca="false">IF(OR(I195="",I195&lt;19,O195=""),"",O195+540)</f>
        <v/>
      </c>
      <c r="AJ195" s="19" t="str">
        <f aca="false">IF(OR(I195="",I195&lt;20,O195=""),"",O195+570)</f>
        <v/>
      </c>
      <c r="AK195" s="19" t="str">
        <f aca="false">IF(OR(I195="",I195&lt;21,O195=""),"",O195+600)</f>
        <v/>
      </c>
      <c r="AL195" s="19" t="str">
        <f aca="false">IF(OR(I195="",I195&lt;22,O195=""),"",O195+630)</f>
        <v/>
      </c>
      <c r="AM195" s="19" t="str">
        <f aca="false">IF(OR(I195="",I195&lt;23,O195=""),"",O195+660)</f>
        <v/>
      </c>
      <c r="AN195" s="19" t="str">
        <f aca="false">IF(OR(I195="",I195&lt;24,O195=""),"",O195+690)</f>
        <v/>
      </c>
      <c r="AO195" s="15" t="str">
        <f aca="false">IF(J195="","",COUNTIF(Q195:AN195,TRUE())*J195)</f>
        <v/>
      </c>
      <c r="AP195" s="15" t="str">
        <f aca="false">IF(K195="","",K195-AO195)</f>
        <v/>
      </c>
      <c r="AQ195" s="15" t="str">
        <f aca="false">IF(K195="","",K195-F195-IF(N195="",0,N195))</f>
        <v/>
      </c>
    </row>
    <row r="196" customFormat="false" ht="15" hidden="false" customHeight="false" outlineLevel="0" collapsed="false">
      <c r="A196" s="4"/>
      <c r="B196" s="4"/>
      <c r="C196" s="4"/>
      <c r="D196" s="5"/>
      <c r="E196" s="5"/>
      <c r="F196" s="6"/>
      <c r="G196" s="4"/>
      <c r="H196" s="4"/>
      <c r="I196" s="4"/>
      <c r="J196" s="6"/>
      <c r="K196" s="7" t="str">
        <f aca="false">IF(OR(I196="",J196=""),"",I196*J196)</f>
        <v/>
      </c>
      <c r="L196" s="4"/>
      <c r="M196" s="8"/>
      <c r="N196" s="7" t="str">
        <f aca="false">IF(OR(L196="",M196="",K196=""),"",IF(L196="GANANCIA",(K196-F196)*M196,IF(L196="BRUTO",K196*M196,"")))</f>
        <v/>
      </c>
      <c r="O196" s="9" t="str">
        <f aca="false">IF(D196="","",D196)</f>
        <v/>
      </c>
      <c r="P196" s="10" t="str">
        <f aca="false">IF(I196="","",IF(COUNTIF(Q196:AN196,TRUE())&gt;=I196,"PAGADO",IF(COUNTIF(Q196:AN196,TRUE())&gt;0,"PARCIAL","VIGENTE")))</f>
        <v/>
      </c>
      <c r="Q196" s="11" t="str">
        <f aca="false">IF(OR(I196="",I196&lt;1,O196=""),"",O196+0)</f>
        <v/>
      </c>
      <c r="R196" s="11" t="str">
        <f aca="false">IF(OR(I196="",I196&lt;2,O196=""),"",O196+30)</f>
        <v/>
      </c>
      <c r="S196" s="11" t="str">
        <f aca="false">IF(OR(I196="",I196&lt;3,O196=""),"",O196+60)</f>
        <v/>
      </c>
      <c r="T196" s="11" t="str">
        <f aca="false">IF(OR(I196="",I196&lt;4,O196=""),"",O196+90)</f>
        <v/>
      </c>
      <c r="U196" s="11" t="str">
        <f aca="false">IF(OR(I196="",I196&lt;5,O196=""),"",O196+120)</f>
        <v/>
      </c>
      <c r="V196" s="11" t="str">
        <f aca="false">IF(OR(I196="",I196&lt;6,O196=""),"",O196+150)</f>
        <v/>
      </c>
      <c r="W196" s="11" t="str">
        <f aca="false">IF(OR(I196="",I196&lt;7,O196=""),"",O196+180)</f>
        <v/>
      </c>
      <c r="X196" s="11" t="str">
        <f aca="false">IF(OR(I196="",I196&lt;8,O196=""),"",O196+210)</f>
        <v/>
      </c>
      <c r="Y196" s="11" t="str">
        <f aca="false">IF(OR(I196="",I196&lt;9,O196=""),"",O196+240)</f>
        <v/>
      </c>
      <c r="Z196" s="11" t="str">
        <f aca="false">IF(OR(I196="",I196&lt;10,O196=""),"",O196+270)</f>
        <v/>
      </c>
      <c r="AA196" s="11" t="str">
        <f aca="false">IF(OR(I196="",I196&lt;11,O196=""),"",O196+300)</f>
        <v/>
      </c>
      <c r="AB196" s="11" t="str">
        <f aca="false">IF(OR(I196="",I196&lt;12,O196=""),"",O196+330)</f>
        <v/>
      </c>
      <c r="AC196" s="11" t="str">
        <f aca="false">IF(OR(I196="",I196&lt;13,O196=""),"",O196+360)</f>
        <v/>
      </c>
      <c r="AD196" s="11" t="str">
        <f aca="false">IF(OR(I196="",I196&lt;14,O196=""),"",O196+390)</f>
        <v/>
      </c>
      <c r="AE196" s="11" t="str">
        <f aca="false">IF(OR(I196="",I196&lt;15,O196=""),"",O196+420)</f>
        <v/>
      </c>
      <c r="AF196" s="11" t="str">
        <f aca="false">IF(OR(I196="",I196&lt;16,O196=""),"",O196+450)</f>
        <v/>
      </c>
      <c r="AG196" s="11" t="str">
        <f aca="false">IF(OR(I196="",I196&lt;17,O196=""),"",O196+480)</f>
        <v/>
      </c>
      <c r="AH196" s="11" t="str">
        <f aca="false">IF(OR(I196="",I196&lt;18,O196=""),"",O196+510)</f>
        <v/>
      </c>
      <c r="AI196" s="11" t="str">
        <f aca="false">IF(OR(I196="",I196&lt;19,O196=""),"",O196+540)</f>
        <v/>
      </c>
      <c r="AJ196" s="11" t="str">
        <f aca="false">IF(OR(I196="",I196&lt;20,O196=""),"",O196+570)</f>
        <v/>
      </c>
      <c r="AK196" s="11" t="str">
        <f aca="false">IF(OR(I196="",I196&lt;21,O196=""),"",O196+600)</f>
        <v/>
      </c>
      <c r="AL196" s="11" t="str">
        <f aca="false">IF(OR(I196="",I196&lt;22,O196=""),"",O196+630)</f>
        <v/>
      </c>
      <c r="AM196" s="11" t="str">
        <f aca="false">IF(OR(I196="",I196&lt;23,O196=""),"",O196+660)</f>
        <v/>
      </c>
      <c r="AN196" s="11" t="str">
        <f aca="false">IF(OR(I196="",I196&lt;24,O196=""),"",O196+690)</f>
        <v/>
      </c>
      <c r="AO196" s="7" t="str">
        <f aca="false">IF(J196="","",COUNTIF(Q196:AN196,TRUE())*J196)</f>
        <v/>
      </c>
      <c r="AP196" s="7" t="str">
        <f aca="false">IF(K196="","",K196-AO196)</f>
        <v/>
      </c>
      <c r="AQ196" s="7" t="str">
        <f aca="false">IF(K196="","",K196-F196-IF(N196="",0,N196))</f>
        <v/>
      </c>
    </row>
    <row r="197" customFormat="false" ht="15" hidden="false" customHeight="false" outlineLevel="0" collapsed="false">
      <c r="A197" s="12"/>
      <c r="B197" s="12"/>
      <c r="C197" s="12"/>
      <c r="D197" s="13"/>
      <c r="E197" s="13"/>
      <c r="F197" s="14"/>
      <c r="G197" s="12"/>
      <c r="H197" s="12"/>
      <c r="I197" s="12"/>
      <c r="J197" s="14"/>
      <c r="K197" s="15" t="str">
        <f aca="false">IF(OR(I197="",J197=""),"",I197*J197)</f>
        <v/>
      </c>
      <c r="L197" s="12"/>
      <c r="M197" s="16"/>
      <c r="N197" s="15" t="str">
        <f aca="false">IF(OR(L197="",M197="",K197=""),"",IF(L197="GANANCIA",(K197-F197)*M197,IF(L197="BRUTO",K197*M197,"")))</f>
        <v/>
      </c>
      <c r="O197" s="17" t="str">
        <f aca="false">IF(D197="","",D197)</f>
        <v/>
      </c>
      <c r="P197" s="18" t="str">
        <f aca="false">IF(I197="","",IF(COUNTIF(Q197:AN197,TRUE())&gt;=I197,"PAGADO",IF(COUNTIF(Q197:AN197,TRUE())&gt;0,"PARCIAL","VIGENTE")))</f>
        <v/>
      </c>
      <c r="Q197" s="19" t="str">
        <f aca="false">IF(OR(I197="",I197&lt;1,O197=""),"",O197+0)</f>
        <v/>
      </c>
      <c r="R197" s="19" t="str">
        <f aca="false">IF(OR(I197="",I197&lt;2,O197=""),"",O197+30)</f>
        <v/>
      </c>
      <c r="S197" s="19" t="str">
        <f aca="false">IF(OR(I197="",I197&lt;3,O197=""),"",O197+60)</f>
        <v/>
      </c>
      <c r="T197" s="19" t="str">
        <f aca="false">IF(OR(I197="",I197&lt;4,O197=""),"",O197+90)</f>
        <v/>
      </c>
      <c r="U197" s="19" t="str">
        <f aca="false">IF(OR(I197="",I197&lt;5,O197=""),"",O197+120)</f>
        <v/>
      </c>
      <c r="V197" s="19" t="str">
        <f aca="false">IF(OR(I197="",I197&lt;6,O197=""),"",O197+150)</f>
        <v/>
      </c>
      <c r="W197" s="19" t="str">
        <f aca="false">IF(OR(I197="",I197&lt;7,O197=""),"",O197+180)</f>
        <v/>
      </c>
      <c r="X197" s="19" t="str">
        <f aca="false">IF(OR(I197="",I197&lt;8,O197=""),"",O197+210)</f>
        <v/>
      </c>
      <c r="Y197" s="19" t="str">
        <f aca="false">IF(OR(I197="",I197&lt;9,O197=""),"",O197+240)</f>
        <v/>
      </c>
      <c r="Z197" s="19" t="str">
        <f aca="false">IF(OR(I197="",I197&lt;10,O197=""),"",O197+270)</f>
        <v/>
      </c>
      <c r="AA197" s="19" t="str">
        <f aca="false">IF(OR(I197="",I197&lt;11,O197=""),"",O197+300)</f>
        <v/>
      </c>
      <c r="AB197" s="19" t="str">
        <f aca="false">IF(OR(I197="",I197&lt;12,O197=""),"",O197+330)</f>
        <v/>
      </c>
      <c r="AC197" s="19" t="str">
        <f aca="false">IF(OR(I197="",I197&lt;13,O197=""),"",O197+360)</f>
        <v/>
      </c>
      <c r="AD197" s="19" t="str">
        <f aca="false">IF(OR(I197="",I197&lt;14,O197=""),"",O197+390)</f>
        <v/>
      </c>
      <c r="AE197" s="19" t="str">
        <f aca="false">IF(OR(I197="",I197&lt;15,O197=""),"",O197+420)</f>
        <v/>
      </c>
      <c r="AF197" s="19" t="str">
        <f aca="false">IF(OR(I197="",I197&lt;16,O197=""),"",O197+450)</f>
        <v/>
      </c>
      <c r="AG197" s="19" t="str">
        <f aca="false">IF(OR(I197="",I197&lt;17,O197=""),"",O197+480)</f>
        <v/>
      </c>
      <c r="AH197" s="19" t="str">
        <f aca="false">IF(OR(I197="",I197&lt;18,O197=""),"",O197+510)</f>
        <v/>
      </c>
      <c r="AI197" s="19" t="str">
        <f aca="false">IF(OR(I197="",I197&lt;19,O197=""),"",O197+540)</f>
        <v/>
      </c>
      <c r="AJ197" s="19" t="str">
        <f aca="false">IF(OR(I197="",I197&lt;20,O197=""),"",O197+570)</f>
        <v/>
      </c>
      <c r="AK197" s="19" t="str">
        <f aca="false">IF(OR(I197="",I197&lt;21,O197=""),"",O197+600)</f>
        <v/>
      </c>
      <c r="AL197" s="19" t="str">
        <f aca="false">IF(OR(I197="",I197&lt;22,O197=""),"",O197+630)</f>
        <v/>
      </c>
      <c r="AM197" s="19" t="str">
        <f aca="false">IF(OR(I197="",I197&lt;23,O197=""),"",O197+660)</f>
        <v/>
      </c>
      <c r="AN197" s="19" t="str">
        <f aca="false">IF(OR(I197="",I197&lt;24,O197=""),"",O197+690)</f>
        <v/>
      </c>
      <c r="AO197" s="15" t="str">
        <f aca="false">IF(J197="","",COUNTIF(Q197:AN197,TRUE())*J197)</f>
        <v/>
      </c>
      <c r="AP197" s="15" t="str">
        <f aca="false">IF(K197="","",K197-AO197)</f>
        <v/>
      </c>
      <c r="AQ197" s="15" t="str">
        <f aca="false">IF(K197="","",K197-F197-IF(N197="",0,N197))</f>
        <v/>
      </c>
    </row>
    <row r="198" customFormat="false" ht="15" hidden="false" customHeight="false" outlineLevel="0" collapsed="false">
      <c r="A198" s="4"/>
      <c r="B198" s="4"/>
      <c r="C198" s="4"/>
      <c r="D198" s="5"/>
      <c r="E198" s="5"/>
      <c r="F198" s="6"/>
      <c r="G198" s="4"/>
      <c r="H198" s="4"/>
      <c r="I198" s="4"/>
      <c r="J198" s="6"/>
      <c r="K198" s="7" t="str">
        <f aca="false">IF(OR(I198="",J198=""),"",I198*J198)</f>
        <v/>
      </c>
      <c r="L198" s="4"/>
      <c r="M198" s="8"/>
      <c r="N198" s="7" t="str">
        <f aca="false">IF(OR(L198="",M198="",K198=""),"",IF(L198="GANANCIA",(K198-F198)*M198,IF(L198="BRUTO",K198*M198,"")))</f>
        <v/>
      </c>
      <c r="O198" s="9" t="str">
        <f aca="false">IF(D198="","",D198)</f>
        <v/>
      </c>
      <c r="P198" s="10" t="str">
        <f aca="false">IF(I198="","",IF(COUNTIF(Q198:AN198,TRUE())&gt;=I198,"PAGADO",IF(COUNTIF(Q198:AN198,TRUE())&gt;0,"PARCIAL","VIGENTE")))</f>
        <v/>
      </c>
      <c r="Q198" s="11" t="str">
        <f aca="false">IF(OR(I198="",I198&lt;1,O198=""),"",O198+0)</f>
        <v/>
      </c>
      <c r="R198" s="11" t="str">
        <f aca="false">IF(OR(I198="",I198&lt;2,O198=""),"",O198+30)</f>
        <v/>
      </c>
      <c r="S198" s="11" t="str">
        <f aca="false">IF(OR(I198="",I198&lt;3,O198=""),"",O198+60)</f>
        <v/>
      </c>
      <c r="T198" s="11" t="str">
        <f aca="false">IF(OR(I198="",I198&lt;4,O198=""),"",O198+90)</f>
        <v/>
      </c>
      <c r="U198" s="11" t="str">
        <f aca="false">IF(OR(I198="",I198&lt;5,O198=""),"",O198+120)</f>
        <v/>
      </c>
      <c r="V198" s="11" t="str">
        <f aca="false">IF(OR(I198="",I198&lt;6,O198=""),"",O198+150)</f>
        <v/>
      </c>
      <c r="W198" s="11" t="str">
        <f aca="false">IF(OR(I198="",I198&lt;7,O198=""),"",O198+180)</f>
        <v/>
      </c>
      <c r="X198" s="11" t="str">
        <f aca="false">IF(OR(I198="",I198&lt;8,O198=""),"",O198+210)</f>
        <v/>
      </c>
      <c r="Y198" s="11" t="str">
        <f aca="false">IF(OR(I198="",I198&lt;9,O198=""),"",O198+240)</f>
        <v/>
      </c>
      <c r="Z198" s="11" t="str">
        <f aca="false">IF(OR(I198="",I198&lt;10,O198=""),"",O198+270)</f>
        <v/>
      </c>
      <c r="AA198" s="11" t="str">
        <f aca="false">IF(OR(I198="",I198&lt;11,O198=""),"",O198+300)</f>
        <v/>
      </c>
      <c r="AB198" s="11" t="str">
        <f aca="false">IF(OR(I198="",I198&lt;12,O198=""),"",O198+330)</f>
        <v/>
      </c>
      <c r="AC198" s="11" t="str">
        <f aca="false">IF(OR(I198="",I198&lt;13,O198=""),"",O198+360)</f>
        <v/>
      </c>
      <c r="AD198" s="11" t="str">
        <f aca="false">IF(OR(I198="",I198&lt;14,O198=""),"",O198+390)</f>
        <v/>
      </c>
      <c r="AE198" s="11" t="str">
        <f aca="false">IF(OR(I198="",I198&lt;15,O198=""),"",O198+420)</f>
        <v/>
      </c>
      <c r="AF198" s="11" t="str">
        <f aca="false">IF(OR(I198="",I198&lt;16,O198=""),"",O198+450)</f>
        <v/>
      </c>
      <c r="AG198" s="11" t="str">
        <f aca="false">IF(OR(I198="",I198&lt;17,O198=""),"",O198+480)</f>
        <v/>
      </c>
      <c r="AH198" s="11" t="str">
        <f aca="false">IF(OR(I198="",I198&lt;18,O198=""),"",O198+510)</f>
        <v/>
      </c>
      <c r="AI198" s="11" t="str">
        <f aca="false">IF(OR(I198="",I198&lt;19,O198=""),"",O198+540)</f>
        <v/>
      </c>
      <c r="AJ198" s="11" t="str">
        <f aca="false">IF(OR(I198="",I198&lt;20,O198=""),"",O198+570)</f>
        <v/>
      </c>
      <c r="AK198" s="11" t="str">
        <f aca="false">IF(OR(I198="",I198&lt;21,O198=""),"",O198+600)</f>
        <v/>
      </c>
      <c r="AL198" s="11" t="str">
        <f aca="false">IF(OR(I198="",I198&lt;22,O198=""),"",O198+630)</f>
        <v/>
      </c>
      <c r="AM198" s="11" t="str">
        <f aca="false">IF(OR(I198="",I198&lt;23,O198=""),"",O198+660)</f>
        <v/>
      </c>
      <c r="AN198" s="11" t="str">
        <f aca="false">IF(OR(I198="",I198&lt;24,O198=""),"",O198+690)</f>
        <v/>
      </c>
      <c r="AO198" s="7" t="str">
        <f aca="false">IF(J198="","",COUNTIF(Q198:AN198,TRUE())*J198)</f>
        <v/>
      </c>
      <c r="AP198" s="7" t="str">
        <f aca="false">IF(K198="","",K198-AO198)</f>
        <v/>
      </c>
      <c r="AQ198" s="7" t="str">
        <f aca="false">IF(K198="","",K198-F198-IF(N198="",0,N198))</f>
        <v/>
      </c>
    </row>
    <row r="199" customFormat="false" ht="15" hidden="false" customHeight="false" outlineLevel="0" collapsed="false">
      <c r="A199" s="12"/>
      <c r="B199" s="12"/>
      <c r="C199" s="12"/>
      <c r="D199" s="13"/>
      <c r="E199" s="13"/>
      <c r="F199" s="14"/>
      <c r="G199" s="12"/>
      <c r="H199" s="12"/>
      <c r="I199" s="12"/>
      <c r="J199" s="14"/>
      <c r="K199" s="15" t="str">
        <f aca="false">IF(OR(I199="",J199=""),"",I199*J199)</f>
        <v/>
      </c>
      <c r="L199" s="12"/>
      <c r="M199" s="16"/>
      <c r="N199" s="15" t="str">
        <f aca="false">IF(OR(L199="",M199="",K199=""),"",IF(L199="GANANCIA",(K199-F199)*M199,IF(L199="BRUTO",K199*M199,"")))</f>
        <v/>
      </c>
      <c r="O199" s="17" t="str">
        <f aca="false">IF(D199="","",D199)</f>
        <v/>
      </c>
      <c r="P199" s="18" t="str">
        <f aca="false">IF(I199="","",IF(COUNTIF(Q199:AN199,TRUE())&gt;=I199,"PAGADO",IF(COUNTIF(Q199:AN199,TRUE())&gt;0,"PARCIAL","VIGENTE")))</f>
        <v/>
      </c>
      <c r="Q199" s="19" t="str">
        <f aca="false">IF(OR(I199="",I199&lt;1,O199=""),"",O199+0)</f>
        <v/>
      </c>
      <c r="R199" s="19" t="str">
        <f aca="false">IF(OR(I199="",I199&lt;2,O199=""),"",O199+30)</f>
        <v/>
      </c>
      <c r="S199" s="19" t="str">
        <f aca="false">IF(OR(I199="",I199&lt;3,O199=""),"",O199+60)</f>
        <v/>
      </c>
      <c r="T199" s="19" t="str">
        <f aca="false">IF(OR(I199="",I199&lt;4,O199=""),"",O199+90)</f>
        <v/>
      </c>
      <c r="U199" s="19" t="str">
        <f aca="false">IF(OR(I199="",I199&lt;5,O199=""),"",O199+120)</f>
        <v/>
      </c>
      <c r="V199" s="19" t="str">
        <f aca="false">IF(OR(I199="",I199&lt;6,O199=""),"",O199+150)</f>
        <v/>
      </c>
      <c r="W199" s="19" t="str">
        <f aca="false">IF(OR(I199="",I199&lt;7,O199=""),"",O199+180)</f>
        <v/>
      </c>
      <c r="X199" s="19" t="str">
        <f aca="false">IF(OR(I199="",I199&lt;8,O199=""),"",O199+210)</f>
        <v/>
      </c>
      <c r="Y199" s="19" t="str">
        <f aca="false">IF(OR(I199="",I199&lt;9,O199=""),"",O199+240)</f>
        <v/>
      </c>
      <c r="Z199" s="19" t="str">
        <f aca="false">IF(OR(I199="",I199&lt;10,O199=""),"",O199+270)</f>
        <v/>
      </c>
      <c r="AA199" s="19" t="str">
        <f aca="false">IF(OR(I199="",I199&lt;11,O199=""),"",O199+300)</f>
        <v/>
      </c>
      <c r="AB199" s="19" t="str">
        <f aca="false">IF(OR(I199="",I199&lt;12,O199=""),"",O199+330)</f>
        <v/>
      </c>
      <c r="AC199" s="19" t="str">
        <f aca="false">IF(OR(I199="",I199&lt;13,O199=""),"",O199+360)</f>
        <v/>
      </c>
      <c r="AD199" s="19" t="str">
        <f aca="false">IF(OR(I199="",I199&lt;14,O199=""),"",O199+390)</f>
        <v/>
      </c>
      <c r="AE199" s="19" t="str">
        <f aca="false">IF(OR(I199="",I199&lt;15,O199=""),"",O199+420)</f>
        <v/>
      </c>
      <c r="AF199" s="19" t="str">
        <f aca="false">IF(OR(I199="",I199&lt;16,O199=""),"",O199+450)</f>
        <v/>
      </c>
      <c r="AG199" s="19" t="str">
        <f aca="false">IF(OR(I199="",I199&lt;17,O199=""),"",O199+480)</f>
        <v/>
      </c>
      <c r="AH199" s="19" t="str">
        <f aca="false">IF(OR(I199="",I199&lt;18,O199=""),"",O199+510)</f>
        <v/>
      </c>
      <c r="AI199" s="19" t="str">
        <f aca="false">IF(OR(I199="",I199&lt;19,O199=""),"",O199+540)</f>
        <v/>
      </c>
      <c r="AJ199" s="19" t="str">
        <f aca="false">IF(OR(I199="",I199&lt;20,O199=""),"",O199+570)</f>
        <v/>
      </c>
      <c r="AK199" s="19" t="str">
        <f aca="false">IF(OR(I199="",I199&lt;21,O199=""),"",O199+600)</f>
        <v/>
      </c>
      <c r="AL199" s="19" t="str">
        <f aca="false">IF(OR(I199="",I199&lt;22,O199=""),"",O199+630)</f>
        <v/>
      </c>
      <c r="AM199" s="19" t="str">
        <f aca="false">IF(OR(I199="",I199&lt;23,O199=""),"",O199+660)</f>
        <v/>
      </c>
      <c r="AN199" s="19" t="str">
        <f aca="false">IF(OR(I199="",I199&lt;24,O199=""),"",O199+690)</f>
        <v/>
      </c>
      <c r="AO199" s="15" t="str">
        <f aca="false">IF(J199="","",COUNTIF(Q199:AN199,TRUE())*J199)</f>
        <v/>
      </c>
      <c r="AP199" s="15" t="str">
        <f aca="false">IF(K199="","",K199-AO199)</f>
        <v/>
      </c>
      <c r="AQ199" s="15" t="str">
        <f aca="false">IF(K199="","",K199-F199-IF(N199="",0,N199))</f>
        <v/>
      </c>
    </row>
    <row r="200" customFormat="false" ht="15" hidden="false" customHeight="false" outlineLevel="0" collapsed="false">
      <c r="A200" s="4"/>
      <c r="B200" s="4"/>
      <c r="C200" s="4"/>
      <c r="D200" s="5"/>
      <c r="E200" s="5"/>
      <c r="F200" s="6"/>
      <c r="G200" s="4"/>
      <c r="H200" s="4"/>
      <c r="I200" s="4"/>
      <c r="J200" s="6"/>
      <c r="K200" s="7" t="str">
        <f aca="false">IF(OR(I200="",J200=""),"",I200*J200)</f>
        <v/>
      </c>
      <c r="L200" s="4"/>
      <c r="M200" s="8"/>
      <c r="N200" s="7" t="str">
        <f aca="false">IF(OR(L200="",M200="",K200=""),"",IF(L200="GANANCIA",(K200-F200)*M200,IF(L200="BRUTO",K200*M200,"")))</f>
        <v/>
      </c>
      <c r="O200" s="9" t="str">
        <f aca="false">IF(D200="","",D200)</f>
        <v/>
      </c>
      <c r="P200" s="10" t="str">
        <f aca="false">IF(I200="","",IF(COUNTIF(Q200:AN200,TRUE())&gt;=I200,"PAGADO",IF(COUNTIF(Q200:AN200,TRUE())&gt;0,"PARCIAL","VIGENTE")))</f>
        <v/>
      </c>
      <c r="Q200" s="11" t="str">
        <f aca="false">IF(OR(I200="",I200&lt;1,O200=""),"",O200+0)</f>
        <v/>
      </c>
      <c r="R200" s="11" t="str">
        <f aca="false">IF(OR(I200="",I200&lt;2,O200=""),"",O200+30)</f>
        <v/>
      </c>
      <c r="S200" s="11" t="str">
        <f aca="false">IF(OR(I200="",I200&lt;3,O200=""),"",O200+60)</f>
        <v/>
      </c>
      <c r="T200" s="11" t="str">
        <f aca="false">IF(OR(I200="",I200&lt;4,O200=""),"",O200+90)</f>
        <v/>
      </c>
      <c r="U200" s="11" t="str">
        <f aca="false">IF(OR(I200="",I200&lt;5,O200=""),"",O200+120)</f>
        <v/>
      </c>
      <c r="V200" s="11" t="str">
        <f aca="false">IF(OR(I200="",I200&lt;6,O200=""),"",O200+150)</f>
        <v/>
      </c>
      <c r="W200" s="11" t="str">
        <f aca="false">IF(OR(I200="",I200&lt;7,O200=""),"",O200+180)</f>
        <v/>
      </c>
      <c r="X200" s="11" t="str">
        <f aca="false">IF(OR(I200="",I200&lt;8,O200=""),"",O200+210)</f>
        <v/>
      </c>
      <c r="Y200" s="11" t="str">
        <f aca="false">IF(OR(I200="",I200&lt;9,O200=""),"",O200+240)</f>
        <v/>
      </c>
      <c r="Z200" s="11" t="str">
        <f aca="false">IF(OR(I200="",I200&lt;10,O200=""),"",O200+270)</f>
        <v/>
      </c>
      <c r="AA200" s="11" t="str">
        <f aca="false">IF(OR(I200="",I200&lt;11,O200=""),"",O200+300)</f>
        <v/>
      </c>
      <c r="AB200" s="11" t="str">
        <f aca="false">IF(OR(I200="",I200&lt;12,O200=""),"",O200+330)</f>
        <v/>
      </c>
      <c r="AC200" s="11" t="str">
        <f aca="false">IF(OR(I200="",I200&lt;13,O200=""),"",O200+360)</f>
        <v/>
      </c>
      <c r="AD200" s="11" t="str">
        <f aca="false">IF(OR(I200="",I200&lt;14,O200=""),"",O200+390)</f>
        <v/>
      </c>
      <c r="AE200" s="11" t="str">
        <f aca="false">IF(OR(I200="",I200&lt;15,O200=""),"",O200+420)</f>
        <v/>
      </c>
      <c r="AF200" s="11" t="str">
        <f aca="false">IF(OR(I200="",I200&lt;16,O200=""),"",O200+450)</f>
        <v/>
      </c>
      <c r="AG200" s="11" t="str">
        <f aca="false">IF(OR(I200="",I200&lt;17,O200=""),"",O200+480)</f>
        <v/>
      </c>
      <c r="AH200" s="11" t="str">
        <f aca="false">IF(OR(I200="",I200&lt;18,O200=""),"",O200+510)</f>
        <v/>
      </c>
      <c r="AI200" s="11" t="str">
        <f aca="false">IF(OR(I200="",I200&lt;19,O200=""),"",O200+540)</f>
        <v/>
      </c>
      <c r="AJ200" s="11" t="str">
        <f aca="false">IF(OR(I200="",I200&lt;20,O200=""),"",O200+570)</f>
        <v/>
      </c>
      <c r="AK200" s="11" t="str">
        <f aca="false">IF(OR(I200="",I200&lt;21,O200=""),"",O200+600)</f>
        <v/>
      </c>
      <c r="AL200" s="11" t="str">
        <f aca="false">IF(OR(I200="",I200&lt;22,O200=""),"",O200+630)</f>
        <v/>
      </c>
      <c r="AM200" s="11" t="str">
        <f aca="false">IF(OR(I200="",I200&lt;23,O200=""),"",O200+660)</f>
        <v/>
      </c>
      <c r="AN200" s="11" t="str">
        <f aca="false">IF(OR(I200="",I200&lt;24,O200=""),"",O200+690)</f>
        <v/>
      </c>
      <c r="AO200" s="7" t="str">
        <f aca="false">IF(J200="","",COUNTIF(Q200:AN200,TRUE())*J200)</f>
        <v/>
      </c>
      <c r="AP200" s="7" t="str">
        <f aca="false">IF(K200="","",K200-AO200)</f>
        <v/>
      </c>
      <c r="AQ200" s="7" t="str">
        <f aca="false">IF(K200="","",K200-F200-IF(N200="",0,N200))</f>
        <v/>
      </c>
    </row>
    <row r="201" customFormat="false" ht="15" hidden="false" customHeight="false" outlineLevel="0" collapsed="false">
      <c r="A201" s="12"/>
      <c r="B201" s="12"/>
      <c r="C201" s="12"/>
      <c r="D201" s="13"/>
      <c r="E201" s="13"/>
      <c r="F201" s="14"/>
      <c r="G201" s="12"/>
      <c r="H201" s="12"/>
      <c r="I201" s="12"/>
      <c r="J201" s="14"/>
      <c r="K201" s="15" t="str">
        <f aca="false">IF(OR(I201="",J201=""),"",I201*J201)</f>
        <v/>
      </c>
      <c r="L201" s="12"/>
      <c r="M201" s="16"/>
      <c r="N201" s="15" t="str">
        <f aca="false">IF(OR(L201="",M201="",K201=""),"",IF(L201="GANANCIA",(K201-F201)*M201,IF(L201="BRUTO",K201*M201,"")))</f>
        <v/>
      </c>
      <c r="O201" s="17" t="str">
        <f aca="false">IF(D201="","",D201)</f>
        <v/>
      </c>
      <c r="P201" s="18" t="str">
        <f aca="false">IF(I201="","",IF(COUNTIF(Q201:AN201,TRUE())&gt;=I201,"PAGADO",IF(COUNTIF(Q201:AN201,TRUE())&gt;0,"PARCIAL","VIGENTE")))</f>
        <v/>
      </c>
      <c r="Q201" s="19" t="str">
        <f aca="false">IF(OR(I201="",I201&lt;1,O201=""),"",O201+0)</f>
        <v/>
      </c>
      <c r="R201" s="19" t="str">
        <f aca="false">IF(OR(I201="",I201&lt;2,O201=""),"",O201+30)</f>
        <v/>
      </c>
      <c r="S201" s="19" t="str">
        <f aca="false">IF(OR(I201="",I201&lt;3,O201=""),"",O201+60)</f>
        <v/>
      </c>
      <c r="T201" s="19" t="str">
        <f aca="false">IF(OR(I201="",I201&lt;4,O201=""),"",O201+90)</f>
        <v/>
      </c>
      <c r="U201" s="19" t="str">
        <f aca="false">IF(OR(I201="",I201&lt;5,O201=""),"",O201+120)</f>
        <v/>
      </c>
      <c r="V201" s="19" t="str">
        <f aca="false">IF(OR(I201="",I201&lt;6,O201=""),"",O201+150)</f>
        <v/>
      </c>
      <c r="W201" s="19" t="str">
        <f aca="false">IF(OR(I201="",I201&lt;7,O201=""),"",O201+180)</f>
        <v/>
      </c>
      <c r="X201" s="19" t="str">
        <f aca="false">IF(OR(I201="",I201&lt;8,O201=""),"",O201+210)</f>
        <v/>
      </c>
      <c r="Y201" s="19" t="str">
        <f aca="false">IF(OR(I201="",I201&lt;9,O201=""),"",O201+240)</f>
        <v/>
      </c>
      <c r="Z201" s="19" t="str">
        <f aca="false">IF(OR(I201="",I201&lt;10,O201=""),"",O201+270)</f>
        <v/>
      </c>
      <c r="AA201" s="19" t="str">
        <f aca="false">IF(OR(I201="",I201&lt;11,O201=""),"",O201+300)</f>
        <v/>
      </c>
      <c r="AB201" s="19" t="str">
        <f aca="false">IF(OR(I201="",I201&lt;12,O201=""),"",O201+330)</f>
        <v/>
      </c>
      <c r="AC201" s="19" t="str">
        <f aca="false">IF(OR(I201="",I201&lt;13,O201=""),"",O201+360)</f>
        <v/>
      </c>
      <c r="AD201" s="19" t="str">
        <f aca="false">IF(OR(I201="",I201&lt;14,O201=""),"",O201+390)</f>
        <v/>
      </c>
      <c r="AE201" s="19" t="str">
        <f aca="false">IF(OR(I201="",I201&lt;15,O201=""),"",O201+420)</f>
        <v/>
      </c>
      <c r="AF201" s="19" t="str">
        <f aca="false">IF(OR(I201="",I201&lt;16,O201=""),"",O201+450)</f>
        <v/>
      </c>
      <c r="AG201" s="19" t="str">
        <f aca="false">IF(OR(I201="",I201&lt;17,O201=""),"",O201+480)</f>
        <v/>
      </c>
      <c r="AH201" s="19" t="str">
        <f aca="false">IF(OR(I201="",I201&lt;18,O201=""),"",O201+510)</f>
        <v/>
      </c>
      <c r="AI201" s="19" t="str">
        <f aca="false">IF(OR(I201="",I201&lt;19,O201=""),"",O201+540)</f>
        <v/>
      </c>
      <c r="AJ201" s="19" t="str">
        <f aca="false">IF(OR(I201="",I201&lt;20,O201=""),"",O201+570)</f>
        <v/>
      </c>
      <c r="AK201" s="19" t="str">
        <f aca="false">IF(OR(I201="",I201&lt;21,O201=""),"",O201+600)</f>
        <v/>
      </c>
      <c r="AL201" s="19" t="str">
        <f aca="false">IF(OR(I201="",I201&lt;22,O201=""),"",O201+630)</f>
        <v/>
      </c>
      <c r="AM201" s="19" t="str">
        <f aca="false">IF(OR(I201="",I201&lt;23,O201=""),"",O201+660)</f>
        <v/>
      </c>
      <c r="AN201" s="19" t="str">
        <f aca="false">IF(OR(I201="",I201&lt;24,O201=""),"",O201+690)</f>
        <v/>
      </c>
      <c r="AO201" s="15" t="str">
        <f aca="false">IF(J201="","",COUNTIF(Q201:AN201,TRUE())*J201)</f>
        <v/>
      </c>
      <c r="AP201" s="15" t="str">
        <f aca="false">IF(K201="","",K201-AO201)</f>
        <v/>
      </c>
      <c r="AQ201" s="15" t="str">
        <f aca="false">IF(K201="","",K201-F201-IF(N201="",0,N201))</f>
        <v/>
      </c>
    </row>
    <row r="202" customFormat="false" ht="15" hidden="false" customHeight="false" outlineLevel="0" collapsed="false">
      <c r="A202" s="4"/>
      <c r="B202" s="4"/>
      <c r="C202" s="4"/>
      <c r="D202" s="5"/>
      <c r="E202" s="5"/>
      <c r="F202" s="6"/>
      <c r="G202" s="4"/>
      <c r="H202" s="4"/>
      <c r="I202" s="4"/>
      <c r="J202" s="6"/>
      <c r="K202" s="7" t="str">
        <f aca="false">IF(OR(I202="",J202=""),"",I202*J202)</f>
        <v/>
      </c>
      <c r="L202" s="4"/>
      <c r="M202" s="8"/>
      <c r="N202" s="7" t="str">
        <f aca="false">IF(OR(L202="",M202="",K202=""),"",IF(L202="GANANCIA",(K202-F202)*M202,IF(L202="BRUTO",K202*M202,"")))</f>
        <v/>
      </c>
      <c r="O202" s="9" t="str">
        <f aca="false">IF(D202="","",D202)</f>
        <v/>
      </c>
      <c r="P202" s="10" t="str">
        <f aca="false">IF(I202="","",IF(COUNTIF(Q202:AN202,TRUE())&gt;=I202,"PAGADO",IF(COUNTIF(Q202:AN202,TRUE())&gt;0,"PARCIAL","VIGENTE")))</f>
        <v/>
      </c>
      <c r="Q202" s="11" t="str">
        <f aca="false">IF(OR(I202="",I202&lt;1,O202=""),"",O202+0)</f>
        <v/>
      </c>
      <c r="R202" s="11" t="str">
        <f aca="false">IF(OR(I202="",I202&lt;2,O202=""),"",O202+30)</f>
        <v/>
      </c>
      <c r="S202" s="11" t="str">
        <f aca="false">IF(OR(I202="",I202&lt;3,O202=""),"",O202+60)</f>
        <v/>
      </c>
      <c r="T202" s="11" t="str">
        <f aca="false">IF(OR(I202="",I202&lt;4,O202=""),"",O202+90)</f>
        <v/>
      </c>
      <c r="U202" s="11" t="str">
        <f aca="false">IF(OR(I202="",I202&lt;5,O202=""),"",O202+120)</f>
        <v/>
      </c>
      <c r="V202" s="11" t="str">
        <f aca="false">IF(OR(I202="",I202&lt;6,O202=""),"",O202+150)</f>
        <v/>
      </c>
      <c r="W202" s="11" t="str">
        <f aca="false">IF(OR(I202="",I202&lt;7,O202=""),"",O202+180)</f>
        <v/>
      </c>
      <c r="X202" s="11" t="str">
        <f aca="false">IF(OR(I202="",I202&lt;8,O202=""),"",O202+210)</f>
        <v/>
      </c>
      <c r="Y202" s="11" t="str">
        <f aca="false">IF(OR(I202="",I202&lt;9,O202=""),"",O202+240)</f>
        <v/>
      </c>
      <c r="Z202" s="11" t="str">
        <f aca="false">IF(OR(I202="",I202&lt;10,O202=""),"",O202+270)</f>
        <v/>
      </c>
      <c r="AA202" s="11" t="str">
        <f aca="false">IF(OR(I202="",I202&lt;11,O202=""),"",O202+300)</f>
        <v/>
      </c>
      <c r="AB202" s="11" t="str">
        <f aca="false">IF(OR(I202="",I202&lt;12,O202=""),"",O202+330)</f>
        <v/>
      </c>
      <c r="AC202" s="11" t="str">
        <f aca="false">IF(OR(I202="",I202&lt;13,O202=""),"",O202+360)</f>
        <v/>
      </c>
      <c r="AD202" s="11" t="str">
        <f aca="false">IF(OR(I202="",I202&lt;14,O202=""),"",O202+390)</f>
        <v/>
      </c>
      <c r="AE202" s="11" t="str">
        <f aca="false">IF(OR(I202="",I202&lt;15,O202=""),"",O202+420)</f>
        <v/>
      </c>
      <c r="AF202" s="11" t="str">
        <f aca="false">IF(OR(I202="",I202&lt;16,O202=""),"",O202+450)</f>
        <v/>
      </c>
      <c r="AG202" s="11" t="str">
        <f aca="false">IF(OR(I202="",I202&lt;17,O202=""),"",O202+480)</f>
        <v/>
      </c>
      <c r="AH202" s="11" t="str">
        <f aca="false">IF(OR(I202="",I202&lt;18,O202=""),"",O202+510)</f>
        <v/>
      </c>
      <c r="AI202" s="11" t="str">
        <f aca="false">IF(OR(I202="",I202&lt;19,O202=""),"",O202+540)</f>
        <v/>
      </c>
      <c r="AJ202" s="11" t="str">
        <f aca="false">IF(OR(I202="",I202&lt;20,O202=""),"",O202+570)</f>
        <v/>
      </c>
      <c r="AK202" s="11" t="str">
        <f aca="false">IF(OR(I202="",I202&lt;21,O202=""),"",O202+600)</f>
        <v/>
      </c>
      <c r="AL202" s="11" t="str">
        <f aca="false">IF(OR(I202="",I202&lt;22,O202=""),"",O202+630)</f>
        <v/>
      </c>
      <c r="AM202" s="11" t="str">
        <f aca="false">IF(OR(I202="",I202&lt;23,O202=""),"",O202+660)</f>
        <v/>
      </c>
      <c r="AN202" s="11" t="str">
        <f aca="false">IF(OR(I202="",I202&lt;24,O202=""),"",O202+690)</f>
        <v/>
      </c>
      <c r="AO202" s="7" t="str">
        <f aca="false">IF(J202="","",COUNTIF(Q202:AN202,TRUE())*J202)</f>
        <v/>
      </c>
      <c r="AP202" s="7" t="str">
        <f aca="false">IF(K202="","",K202-AO202)</f>
        <v/>
      </c>
      <c r="AQ202" s="7" t="str">
        <f aca="false">IF(K202="","",K202-F202-IF(N202="",0,N202))</f>
        <v/>
      </c>
    </row>
    <row r="203" customFormat="false" ht="15" hidden="false" customHeight="false" outlineLevel="0" collapsed="false">
      <c r="A203" s="12"/>
      <c r="B203" s="12"/>
      <c r="C203" s="12"/>
      <c r="D203" s="13"/>
      <c r="E203" s="13"/>
      <c r="F203" s="14"/>
      <c r="G203" s="12"/>
      <c r="H203" s="12"/>
      <c r="I203" s="12"/>
      <c r="J203" s="14"/>
      <c r="K203" s="15" t="str">
        <f aca="false">IF(OR(I203="",J203=""),"",I203*J203)</f>
        <v/>
      </c>
      <c r="L203" s="12"/>
      <c r="M203" s="16"/>
      <c r="N203" s="15" t="str">
        <f aca="false">IF(OR(L203="",M203="",K203=""),"",IF(L203="GANANCIA",(K203-F203)*M203,IF(L203="BRUTO",K203*M203,"")))</f>
        <v/>
      </c>
      <c r="O203" s="17" t="str">
        <f aca="false">IF(D203="","",D203)</f>
        <v/>
      </c>
      <c r="P203" s="18" t="str">
        <f aca="false">IF(I203="","",IF(COUNTIF(Q203:AN203,TRUE())&gt;=I203,"PAGADO",IF(COUNTIF(Q203:AN203,TRUE())&gt;0,"PARCIAL","VIGENTE")))</f>
        <v/>
      </c>
      <c r="Q203" s="19" t="str">
        <f aca="false">IF(OR(I203="",I203&lt;1,O203=""),"",O203+0)</f>
        <v/>
      </c>
      <c r="R203" s="19" t="str">
        <f aca="false">IF(OR(I203="",I203&lt;2,O203=""),"",O203+30)</f>
        <v/>
      </c>
      <c r="S203" s="19" t="str">
        <f aca="false">IF(OR(I203="",I203&lt;3,O203=""),"",O203+60)</f>
        <v/>
      </c>
      <c r="T203" s="19" t="str">
        <f aca="false">IF(OR(I203="",I203&lt;4,O203=""),"",O203+90)</f>
        <v/>
      </c>
      <c r="U203" s="19" t="str">
        <f aca="false">IF(OR(I203="",I203&lt;5,O203=""),"",O203+120)</f>
        <v/>
      </c>
      <c r="V203" s="19" t="str">
        <f aca="false">IF(OR(I203="",I203&lt;6,O203=""),"",O203+150)</f>
        <v/>
      </c>
      <c r="W203" s="19" t="str">
        <f aca="false">IF(OR(I203="",I203&lt;7,O203=""),"",O203+180)</f>
        <v/>
      </c>
      <c r="X203" s="19" t="str">
        <f aca="false">IF(OR(I203="",I203&lt;8,O203=""),"",O203+210)</f>
        <v/>
      </c>
      <c r="Y203" s="19" t="str">
        <f aca="false">IF(OR(I203="",I203&lt;9,O203=""),"",O203+240)</f>
        <v/>
      </c>
      <c r="Z203" s="19" t="str">
        <f aca="false">IF(OR(I203="",I203&lt;10,O203=""),"",O203+270)</f>
        <v/>
      </c>
      <c r="AA203" s="19" t="str">
        <f aca="false">IF(OR(I203="",I203&lt;11,O203=""),"",O203+300)</f>
        <v/>
      </c>
      <c r="AB203" s="19" t="str">
        <f aca="false">IF(OR(I203="",I203&lt;12,O203=""),"",O203+330)</f>
        <v/>
      </c>
      <c r="AC203" s="19" t="str">
        <f aca="false">IF(OR(I203="",I203&lt;13,O203=""),"",O203+360)</f>
        <v/>
      </c>
      <c r="AD203" s="19" t="str">
        <f aca="false">IF(OR(I203="",I203&lt;14,O203=""),"",O203+390)</f>
        <v/>
      </c>
      <c r="AE203" s="19" t="str">
        <f aca="false">IF(OR(I203="",I203&lt;15,O203=""),"",O203+420)</f>
        <v/>
      </c>
      <c r="AF203" s="19" t="str">
        <f aca="false">IF(OR(I203="",I203&lt;16,O203=""),"",O203+450)</f>
        <v/>
      </c>
      <c r="AG203" s="19" t="str">
        <f aca="false">IF(OR(I203="",I203&lt;17,O203=""),"",O203+480)</f>
        <v/>
      </c>
      <c r="AH203" s="19" t="str">
        <f aca="false">IF(OR(I203="",I203&lt;18,O203=""),"",O203+510)</f>
        <v/>
      </c>
      <c r="AI203" s="19" t="str">
        <f aca="false">IF(OR(I203="",I203&lt;19,O203=""),"",O203+540)</f>
        <v/>
      </c>
      <c r="AJ203" s="19" t="str">
        <f aca="false">IF(OR(I203="",I203&lt;20,O203=""),"",O203+570)</f>
        <v/>
      </c>
      <c r="AK203" s="19" t="str">
        <f aca="false">IF(OR(I203="",I203&lt;21,O203=""),"",O203+600)</f>
        <v/>
      </c>
      <c r="AL203" s="19" t="str">
        <f aca="false">IF(OR(I203="",I203&lt;22,O203=""),"",O203+630)</f>
        <v/>
      </c>
      <c r="AM203" s="19" t="str">
        <f aca="false">IF(OR(I203="",I203&lt;23,O203=""),"",O203+660)</f>
        <v/>
      </c>
      <c r="AN203" s="19" t="str">
        <f aca="false">IF(OR(I203="",I203&lt;24,O203=""),"",O203+690)</f>
        <v/>
      </c>
      <c r="AO203" s="15" t="str">
        <f aca="false">IF(J203="","",COUNTIF(Q203:AN203,TRUE())*J203)</f>
        <v/>
      </c>
      <c r="AP203" s="15" t="str">
        <f aca="false">IF(K203="","",K203-AO203)</f>
        <v/>
      </c>
      <c r="AQ203" s="15" t="str">
        <f aca="false">IF(K203="","",K203-F203-IF(N203="",0,N203))</f>
        <v/>
      </c>
    </row>
  </sheetData>
  <mergeCells count="2">
    <mergeCell ref="A1:AQ1"/>
    <mergeCell ref="A2:AQ2"/>
  </mergeCells>
  <conditionalFormatting sqref="P4:P203">
    <cfRule type="cellIs" priority="2" operator="equal" aboveAverage="0" equalAverage="0" bottom="0" percent="0" rank="0" text="" dxfId="0">
      <formula>"PAGADO"</formula>
    </cfRule>
    <cfRule type="cellIs" priority="3" operator="equal" aboveAverage="0" equalAverage="0" bottom="0" percent="0" rank="0" text="" dxfId="1">
      <formula>"VIGENTE"</formula>
    </cfRule>
    <cfRule type="cellIs" priority="4" operator="equal" aboveAverage="0" equalAverage="0" bottom="0" percent="0" rank="0" text="" dxfId="2">
      <formula>"PARCIAL"</formula>
    </cfRule>
  </conditionalFormatting>
  <dataValidations count="1">
    <dataValidation allowBlank="true" error="Elegí GANANCIA o BRUTO" errorStyle="stop" errorTitle="Valor inválido" operator="between" showDropDown="false" showErrorMessage="false" showInputMessage="false" sqref="L4:L203" type="list">
      <formula1>"GANANCIA,BRUTO"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2" min="10" style="0" width="13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11"/>
    <col collapsed="false" customWidth="true" hidden="false" outlineLevel="0" max="41" min="17" style="0" width="12"/>
    <col collapsed="false" customWidth="true" hidden="false" outlineLevel="0" max="43" min="42" style="0" width="14"/>
  </cols>
  <sheetData>
    <row r="1" customFormat="false" ht="39.7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customFormat="false" ht="24" hidden="false" customHeight="true" outlineLevel="0" collapsed="false">
      <c r="A2" s="2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</row>
    <row r="4" customFormat="false" ht="15" hidden="false" customHeight="false" outlineLevel="0" collapsed="false">
      <c r="A4" s="4"/>
      <c r="B4" s="4"/>
      <c r="C4" s="4"/>
      <c r="D4" s="5"/>
      <c r="E4" s="5"/>
      <c r="F4" s="6"/>
      <c r="G4" s="4"/>
      <c r="H4" s="4"/>
      <c r="I4" s="4"/>
      <c r="J4" s="6"/>
      <c r="K4" s="7" t="str">
        <f aca="false">IF(OR(I4="",J4=""),"",I4*J4)</f>
        <v/>
      </c>
      <c r="L4" s="4"/>
      <c r="M4" s="8"/>
      <c r="N4" s="7" t="str">
        <f aca="false">IF(OR(L4="",M4="",K4=""),"",IF(L4="GANANCIA",(K4-F4)*M4,IF(L4="BRUTO",K4*M4,"")))</f>
        <v/>
      </c>
      <c r="O4" s="9" t="str">
        <f aca="false">IF(D4="","",D4+30)</f>
        <v/>
      </c>
      <c r="P4" s="10" t="str">
        <f aca="false">IF(I4="","",IF(COUNTIF(Q4:AN4,TRUE())&gt;=I4,"PAGADO",IF(COUNTIF(Q4:AN4,TRUE())&gt;0,"PARCIAL","VIGENTE")))</f>
        <v/>
      </c>
      <c r="Q4" s="11" t="str">
        <f aca="false">IF(OR(I4="",I4&lt;1,O4=""),"",O4+0)</f>
        <v/>
      </c>
      <c r="R4" s="11" t="str">
        <f aca="false">IF(OR(I4="",I4&lt;2,O4=""),"",O4+30)</f>
        <v/>
      </c>
      <c r="S4" s="11" t="str">
        <f aca="false">IF(OR(I4="",I4&lt;3,O4=""),"",O4+60)</f>
        <v/>
      </c>
      <c r="T4" s="11" t="str">
        <f aca="false">IF(OR(I4="",I4&lt;4,O4=""),"",O4+90)</f>
        <v/>
      </c>
      <c r="U4" s="11" t="str">
        <f aca="false">IF(OR(I4="",I4&lt;5,O4=""),"",O4+120)</f>
        <v/>
      </c>
      <c r="V4" s="11" t="str">
        <f aca="false">IF(OR(I4="",I4&lt;6,O4=""),"",O4+150)</f>
        <v/>
      </c>
      <c r="W4" s="11" t="str">
        <f aca="false">IF(OR(I4="",I4&lt;7,O4=""),"",O4+180)</f>
        <v/>
      </c>
      <c r="X4" s="11" t="str">
        <f aca="false">IF(OR(I4="",I4&lt;8,O4=""),"",O4+210)</f>
        <v/>
      </c>
      <c r="Y4" s="11" t="str">
        <f aca="false">IF(OR(I4="",I4&lt;9,O4=""),"",O4+240)</f>
        <v/>
      </c>
      <c r="Z4" s="11" t="str">
        <f aca="false">IF(OR(I4="",I4&lt;10,O4=""),"",O4+270)</f>
        <v/>
      </c>
      <c r="AA4" s="11" t="str">
        <f aca="false">IF(OR(I4="",I4&lt;11,O4=""),"",O4+300)</f>
        <v/>
      </c>
      <c r="AB4" s="11" t="str">
        <f aca="false">IF(OR(I4="",I4&lt;12,O4=""),"",O4+330)</f>
        <v/>
      </c>
      <c r="AC4" s="11" t="str">
        <f aca="false">IF(OR(I4="",I4&lt;13,O4=""),"",O4+360)</f>
        <v/>
      </c>
      <c r="AD4" s="11" t="str">
        <f aca="false">IF(OR(I4="",I4&lt;14,O4=""),"",O4+390)</f>
        <v/>
      </c>
      <c r="AE4" s="11" t="str">
        <f aca="false">IF(OR(I4="",I4&lt;15,O4=""),"",O4+420)</f>
        <v/>
      </c>
      <c r="AF4" s="11" t="str">
        <f aca="false">IF(OR(I4="",I4&lt;16,O4=""),"",O4+450)</f>
        <v/>
      </c>
      <c r="AG4" s="11" t="str">
        <f aca="false">IF(OR(I4="",I4&lt;17,O4=""),"",O4+480)</f>
        <v/>
      </c>
      <c r="AH4" s="11" t="str">
        <f aca="false">IF(OR(I4="",I4&lt;18,O4=""),"",O4+510)</f>
        <v/>
      </c>
      <c r="AI4" s="11" t="str">
        <f aca="false">IF(OR(I4="",I4&lt;19,O4=""),"",O4+540)</f>
        <v/>
      </c>
      <c r="AJ4" s="11" t="str">
        <f aca="false">IF(OR(I4="",I4&lt;20,O4=""),"",O4+570)</f>
        <v/>
      </c>
      <c r="AK4" s="11" t="str">
        <f aca="false">IF(OR(I4="",I4&lt;21,O4=""),"",O4+600)</f>
        <v/>
      </c>
      <c r="AL4" s="11" t="str">
        <f aca="false">IF(OR(I4="",I4&lt;22,O4=""),"",O4+630)</f>
        <v/>
      </c>
      <c r="AM4" s="11" t="str">
        <f aca="false">IF(OR(I4="",I4&lt;23,O4=""),"",O4+660)</f>
        <v/>
      </c>
      <c r="AN4" s="11" t="str">
        <f aca="false">IF(OR(I4="",I4&lt;24,O4=""),"",O4+690)</f>
        <v/>
      </c>
      <c r="AO4" s="7" t="str">
        <f aca="false">IF(J4="","",COUNTIF(Q4:AN4,TRUE())*J4)</f>
        <v/>
      </c>
      <c r="AP4" s="7" t="str">
        <f aca="false">IF(K4="","",K4-AO4)</f>
        <v/>
      </c>
      <c r="AQ4" s="7" t="str">
        <f aca="false">IF(K4="","",K4-F4-IF(N4="",0,N4))</f>
        <v/>
      </c>
    </row>
    <row r="5" customFormat="false" ht="15" hidden="false" customHeight="false" outlineLevel="0" collapsed="false">
      <c r="A5" s="12"/>
      <c r="B5" s="12"/>
      <c r="C5" s="12"/>
      <c r="D5" s="13"/>
      <c r="E5" s="13"/>
      <c r="F5" s="14"/>
      <c r="G5" s="12"/>
      <c r="H5" s="12"/>
      <c r="I5" s="12"/>
      <c r="J5" s="14"/>
      <c r="K5" s="15" t="str">
        <f aca="false">IF(OR(I5="",J5=""),"",I5*J5)</f>
        <v/>
      </c>
      <c r="L5" s="12"/>
      <c r="M5" s="16"/>
      <c r="N5" s="15" t="str">
        <f aca="false">IF(OR(L5="",M5="",K5=""),"",IF(L5="GANANCIA",(K5-F5)*M5,IF(L5="BRUTO",K5*M5,"")))</f>
        <v/>
      </c>
      <c r="O5" s="17" t="str">
        <f aca="false">IF(D5="","",D5+30)</f>
        <v/>
      </c>
      <c r="P5" s="18" t="str">
        <f aca="false">IF(I5="","",IF(COUNTIF(Q5:AN5,TRUE())&gt;=I5,"PAGADO",IF(COUNTIF(Q5:AN5,TRUE())&gt;0,"PARCIAL","VIGENTE")))</f>
        <v/>
      </c>
      <c r="Q5" s="19" t="str">
        <f aca="false">IF(OR(I5="",I5&lt;1,O5=""),"",O5+0)</f>
        <v/>
      </c>
      <c r="R5" s="19" t="str">
        <f aca="false">IF(OR(I5="",I5&lt;2,O5=""),"",O5+30)</f>
        <v/>
      </c>
      <c r="S5" s="19" t="str">
        <f aca="false">IF(OR(I5="",I5&lt;3,O5=""),"",O5+60)</f>
        <v/>
      </c>
      <c r="T5" s="19" t="str">
        <f aca="false">IF(OR(I5="",I5&lt;4,O5=""),"",O5+90)</f>
        <v/>
      </c>
      <c r="U5" s="19" t="str">
        <f aca="false">IF(OR(I5="",I5&lt;5,O5=""),"",O5+120)</f>
        <v/>
      </c>
      <c r="V5" s="19" t="str">
        <f aca="false">IF(OR(I5="",I5&lt;6,O5=""),"",O5+150)</f>
        <v/>
      </c>
      <c r="W5" s="19" t="str">
        <f aca="false">IF(OR(I5="",I5&lt;7,O5=""),"",O5+180)</f>
        <v/>
      </c>
      <c r="X5" s="19" t="str">
        <f aca="false">IF(OR(I5="",I5&lt;8,O5=""),"",O5+210)</f>
        <v/>
      </c>
      <c r="Y5" s="19" t="str">
        <f aca="false">IF(OR(I5="",I5&lt;9,O5=""),"",O5+240)</f>
        <v/>
      </c>
      <c r="Z5" s="19" t="str">
        <f aca="false">IF(OR(I5="",I5&lt;10,O5=""),"",O5+270)</f>
        <v/>
      </c>
      <c r="AA5" s="19" t="str">
        <f aca="false">IF(OR(I5="",I5&lt;11,O5=""),"",O5+300)</f>
        <v/>
      </c>
      <c r="AB5" s="19" t="str">
        <f aca="false">IF(OR(I5="",I5&lt;12,O5=""),"",O5+330)</f>
        <v/>
      </c>
      <c r="AC5" s="19" t="str">
        <f aca="false">IF(OR(I5="",I5&lt;13,O5=""),"",O5+360)</f>
        <v/>
      </c>
      <c r="AD5" s="19" t="str">
        <f aca="false">IF(OR(I5="",I5&lt;14,O5=""),"",O5+390)</f>
        <v/>
      </c>
      <c r="AE5" s="19" t="str">
        <f aca="false">IF(OR(I5="",I5&lt;15,O5=""),"",O5+420)</f>
        <v/>
      </c>
      <c r="AF5" s="19" t="str">
        <f aca="false">IF(OR(I5="",I5&lt;16,O5=""),"",O5+450)</f>
        <v/>
      </c>
      <c r="AG5" s="19" t="str">
        <f aca="false">IF(OR(I5="",I5&lt;17,O5=""),"",O5+480)</f>
        <v/>
      </c>
      <c r="AH5" s="19" t="str">
        <f aca="false">IF(OR(I5="",I5&lt;18,O5=""),"",O5+510)</f>
        <v/>
      </c>
      <c r="AI5" s="19" t="str">
        <f aca="false">IF(OR(I5="",I5&lt;19,O5=""),"",O5+540)</f>
        <v/>
      </c>
      <c r="AJ5" s="19" t="str">
        <f aca="false">IF(OR(I5="",I5&lt;20,O5=""),"",O5+570)</f>
        <v/>
      </c>
      <c r="AK5" s="19" t="str">
        <f aca="false">IF(OR(I5="",I5&lt;21,O5=""),"",O5+600)</f>
        <v/>
      </c>
      <c r="AL5" s="19" t="str">
        <f aca="false">IF(OR(I5="",I5&lt;22,O5=""),"",O5+630)</f>
        <v/>
      </c>
      <c r="AM5" s="19" t="str">
        <f aca="false">IF(OR(I5="",I5&lt;23,O5=""),"",O5+660)</f>
        <v/>
      </c>
      <c r="AN5" s="19" t="str">
        <f aca="false">IF(OR(I5="",I5&lt;24,O5=""),"",O5+690)</f>
        <v/>
      </c>
      <c r="AO5" s="15" t="str">
        <f aca="false">IF(J5="","",COUNTIF(Q5:AN5,TRUE())*J5)</f>
        <v/>
      </c>
      <c r="AP5" s="15" t="str">
        <f aca="false">IF(K5="","",K5-AO5)</f>
        <v/>
      </c>
      <c r="AQ5" s="15" t="str">
        <f aca="false">IF(K5="","",K5-F5-IF(N5="",0,N5))</f>
        <v/>
      </c>
    </row>
    <row r="6" customFormat="false" ht="15" hidden="false" customHeight="false" outlineLevel="0" collapsed="false">
      <c r="A6" s="4"/>
      <c r="B6" s="4"/>
      <c r="C6" s="4"/>
      <c r="D6" s="5"/>
      <c r="E6" s="5"/>
      <c r="F6" s="6"/>
      <c r="G6" s="4"/>
      <c r="H6" s="4"/>
      <c r="I6" s="4"/>
      <c r="J6" s="6"/>
      <c r="K6" s="7" t="str">
        <f aca="false">IF(OR(I6="",J6=""),"",I6*J6)</f>
        <v/>
      </c>
      <c r="L6" s="4"/>
      <c r="M6" s="8"/>
      <c r="N6" s="7" t="str">
        <f aca="false">IF(OR(L6="",M6="",K6=""),"",IF(L6="GANANCIA",(K6-F6)*M6,IF(L6="BRUTO",K6*M6,"")))</f>
        <v/>
      </c>
      <c r="O6" s="9" t="str">
        <f aca="false">IF(D6="","",D6+30)</f>
        <v/>
      </c>
      <c r="P6" s="10" t="str">
        <f aca="false">IF(I6="","",IF(COUNTIF(Q6:AN6,TRUE())&gt;=I6,"PAGADO",IF(COUNTIF(Q6:AN6,TRUE())&gt;0,"PARCIAL","VIGENTE")))</f>
        <v/>
      </c>
      <c r="Q6" s="11" t="str">
        <f aca="false">IF(OR(I6="",I6&lt;1,O6=""),"",O6+0)</f>
        <v/>
      </c>
      <c r="R6" s="11" t="str">
        <f aca="false">IF(OR(I6="",I6&lt;2,O6=""),"",O6+30)</f>
        <v/>
      </c>
      <c r="S6" s="11" t="str">
        <f aca="false">IF(OR(I6="",I6&lt;3,O6=""),"",O6+60)</f>
        <v/>
      </c>
      <c r="T6" s="11" t="str">
        <f aca="false">IF(OR(I6="",I6&lt;4,O6=""),"",O6+90)</f>
        <v/>
      </c>
      <c r="U6" s="11" t="str">
        <f aca="false">IF(OR(I6="",I6&lt;5,O6=""),"",O6+120)</f>
        <v/>
      </c>
      <c r="V6" s="11" t="str">
        <f aca="false">IF(OR(I6="",I6&lt;6,O6=""),"",O6+150)</f>
        <v/>
      </c>
      <c r="W6" s="11" t="str">
        <f aca="false">IF(OR(I6="",I6&lt;7,O6=""),"",O6+180)</f>
        <v/>
      </c>
      <c r="X6" s="11" t="str">
        <f aca="false">IF(OR(I6="",I6&lt;8,O6=""),"",O6+210)</f>
        <v/>
      </c>
      <c r="Y6" s="11" t="str">
        <f aca="false">IF(OR(I6="",I6&lt;9,O6=""),"",O6+240)</f>
        <v/>
      </c>
      <c r="Z6" s="11" t="str">
        <f aca="false">IF(OR(I6="",I6&lt;10,O6=""),"",O6+270)</f>
        <v/>
      </c>
      <c r="AA6" s="11" t="str">
        <f aca="false">IF(OR(I6="",I6&lt;11,O6=""),"",O6+300)</f>
        <v/>
      </c>
      <c r="AB6" s="11" t="str">
        <f aca="false">IF(OR(I6="",I6&lt;12,O6=""),"",O6+330)</f>
        <v/>
      </c>
      <c r="AC6" s="11" t="str">
        <f aca="false">IF(OR(I6="",I6&lt;13,O6=""),"",O6+360)</f>
        <v/>
      </c>
      <c r="AD6" s="11" t="str">
        <f aca="false">IF(OR(I6="",I6&lt;14,O6=""),"",O6+390)</f>
        <v/>
      </c>
      <c r="AE6" s="11" t="str">
        <f aca="false">IF(OR(I6="",I6&lt;15,O6=""),"",O6+420)</f>
        <v/>
      </c>
      <c r="AF6" s="11" t="str">
        <f aca="false">IF(OR(I6="",I6&lt;16,O6=""),"",O6+450)</f>
        <v/>
      </c>
      <c r="AG6" s="11" t="str">
        <f aca="false">IF(OR(I6="",I6&lt;17,O6=""),"",O6+480)</f>
        <v/>
      </c>
      <c r="AH6" s="11" t="str">
        <f aca="false">IF(OR(I6="",I6&lt;18,O6=""),"",O6+510)</f>
        <v/>
      </c>
      <c r="AI6" s="11" t="str">
        <f aca="false">IF(OR(I6="",I6&lt;19,O6=""),"",O6+540)</f>
        <v/>
      </c>
      <c r="AJ6" s="11" t="str">
        <f aca="false">IF(OR(I6="",I6&lt;20,O6=""),"",O6+570)</f>
        <v/>
      </c>
      <c r="AK6" s="11" t="str">
        <f aca="false">IF(OR(I6="",I6&lt;21,O6=""),"",O6+600)</f>
        <v/>
      </c>
      <c r="AL6" s="11" t="str">
        <f aca="false">IF(OR(I6="",I6&lt;22,O6=""),"",O6+630)</f>
        <v/>
      </c>
      <c r="AM6" s="11" t="str">
        <f aca="false">IF(OR(I6="",I6&lt;23,O6=""),"",O6+660)</f>
        <v/>
      </c>
      <c r="AN6" s="11" t="str">
        <f aca="false">IF(OR(I6="",I6&lt;24,O6=""),"",O6+690)</f>
        <v/>
      </c>
      <c r="AO6" s="7" t="str">
        <f aca="false">IF(J6="","",COUNTIF(Q6:AN6,TRUE())*J6)</f>
        <v/>
      </c>
      <c r="AP6" s="7" t="str">
        <f aca="false">IF(K6="","",K6-AO6)</f>
        <v/>
      </c>
      <c r="AQ6" s="7" t="str">
        <f aca="false">IF(K6="","",K6-F6-IF(N6="",0,N6))</f>
        <v/>
      </c>
    </row>
    <row r="7" customFormat="false" ht="15" hidden="false" customHeight="false" outlineLevel="0" collapsed="false">
      <c r="A7" s="12"/>
      <c r="B7" s="12"/>
      <c r="C7" s="12"/>
      <c r="D7" s="13"/>
      <c r="E7" s="13"/>
      <c r="F7" s="14"/>
      <c r="G7" s="12"/>
      <c r="H7" s="12"/>
      <c r="I7" s="12"/>
      <c r="J7" s="14"/>
      <c r="K7" s="15" t="str">
        <f aca="false">IF(OR(I7="",J7=""),"",I7*J7)</f>
        <v/>
      </c>
      <c r="L7" s="12"/>
      <c r="M7" s="16"/>
      <c r="N7" s="15" t="str">
        <f aca="false">IF(OR(L7="",M7="",K7=""),"",IF(L7="GANANCIA",(K7-F7)*M7,IF(L7="BRUTO",K7*M7,"")))</f>
        <v/>
      </c>
      <c r="O7" s="17" t="str">
        <f aca="false">IF(D7="","",D7+30)</f>
        <v/>
      </c>
      <c r="P7" s="18" t="str">
        <f aca="false">IF(I7="","",IF(COUNTIF(Q7:AN7,TRUE())&gt;=I7,"PAGADO",IF(COUNTIF(Q7:AN7,TRUE())&gt;0,"PARCIAL","VIGENTE")))</f>
        <v/>
      </c>
      <c r="Q7" s="19" t="str">
        <f aca="false">IF(OR(I7="",I7&lt;1,O7=""),"",O7+0)</f>
        <v/>
      </c>
      <c r="R7" s="19" t="str">
        <f aca="false">IF(OR(I7="",I7&lt;2,O7=""),"",O7+30)</f>
        <v/>
      </c>
      <c r="S7" s="19" t="str">
        <f aca="false">IF(OR(I7="",I7&lt;3,O7=""),"",O7+60)</f>
        <v/>
      </c>
      <c r="T7" s="19" t="str">
        <f aca="false">IF(OR(I7="",I7&lt;4,O7=""),"",O7+90)</f>
        <v/>
      </c>
      <c r="U7" s="19" t="str">
        <f aca="false">IF(OR(I7="",I7&lt;5,O7=""),"",O7+120)</f>
        <v/>
      </c>
      <c r="V7" s="19" t="str">
        <f aca="false">IF(OR(I7="",I7&lt;6,O7=""),"",O7+150)</f>
        <v/>
      </c>
      <c r="W7" s="19" t="str">
        <f aca="false">IF(OR(I7="",I7&lt;7,O7=""),"",O7+180)</f>
        <v/>
      </c>
      <c r="X7" s="19" t="str">
        <f aca="false">IF(OR(I7="",I7&lt;8,O7=""),"",O7+210)</f>
        <v/>
      </c>
      <c r="Y7" s="19" t="str">
        <f aca="false">IF(OR(I7="",I7&lt;9,O7=""),"",O7+240)</f>
        <v/>
      </c>
      <c r="Z7" s="19" t="str">
        <f aca="false">IF(OR(I7="",I7&lt;10,O7=""),"",O7+270)</f>
        <v/>
      </c>
      <c r="AA7" s="19" t="str">
        <f aca="false">IF(OR(I7="",I7&lt;11,O7=""),"",O7+300)</f>
        <v/>
      </c>
      <c r="AB7" s="19" t="str">
        <f aca="false">IF(OR(I7="",I7&lt;12,O7=""),"",O7+330)</f>
        <v/>
      </c>
      <c r="AC7" s="19" t="str">
        <f aca="false">IF(OR(I7="",I7&lt;13,O7=""),"",O7+360)</f>
        <v/>
      </c>
      <c r="AD7" s="19" t="str">
        <f aca="false">IF(OR(I7="",I7&lt;14,O7=""),"",O7+390)</f>
        <v/>
      </c>
      <c r="AE7" s="19" t="str">
        <f aca="false">IF(OR(I7="",I7&lt;15,O7=""),"",O7+420)</f>
        <v/>
      </c>
      <c r="AF7" s="19" t="str">
        <f aca="false">IF(OR(I7="",I7&lt;16,O7=""),"",O7+450)</f>
        <v/>
      </c>
      <c r="AG7" s="19" t="str">
        <f aca="false">IF(OR(I7="",I7&lt;17,O7=""),"",O7+480)</f>
        <v/>
      </c>
      <c r="AH7" s="19" t="str">
        <f aca="false">IF(OR(I7="",I7&lt;18,O7=""),"",O7+510)</f>
        <v/>
      </c>
      <c r="AI7" s="19" t="str">
        <f aca="false">IF(OR(I7="",I7&lt;19,O7=""),"",O7+540)</f>
        <v/>
      </c>
      <c r="AJ7" s="19" t="str">
        <f aca="false">IF(OR(I7="",I7&lt;20,O7=""),"",O7+570)</f>
        <v/>
      </c>
      <c r="AK7" s="19" t="str">
        <f aca="false">IF(OR(I7="",I7&lt;21,O7=""),"",O7+600)</f>
        <v/>
      </c>
      <c r="AL7" s="19" t="str">
        <f aca="false">IF(OR(I7="",I7&lt;22,O7=""),"",O7+630)</f>
        <v/>
      </c>
      <c r="AM7" s="19" t="str">
        <f aca="false">IF(OR(I7="",I7&lt;23,O7=""),"",O7+660)</f>
        <v/>
      </c>
      <c r="AN7" s="19" t="str">
        <f aca="false">IF(OR(I7="",I7&lt;24,O7=""),"",O7+690)</f>
        <v/>
      </c>
      <c r="AO7" s="15" t="str">
        <f aca="false">IF(J7="","",COUNTIF(Q7:AN7,TRUE())*J7)</f>
        <v/>
      </c>
      <c r="AP7" s="15" t="str">
        <f aca="false">IF(K7="","",K7-AO7)</f>
        <v/>
      </c>
      <c r="AQ7" s="15" t="str">
        <f aca="false">IF(K7="","",K7-F7-IF(N7="",0,N7))</f>
        <v/>
      </c>
    </row>
    <row r="8" customFormat="false" ht="15" hidden="false" customHeight="false" outlineLevel="0" collapsed="false">
      <c r="A8" s="4"/>
      <c r="B8" s="4"/>
      <c r="C8" s="4"/>
      <c r="D8" s="5"/>
      <c r="E8" s="5"/>
      <c r="F8" s="6"/>
      <c r="G8" s="4"/>
      <c r="H8" s="4"/>
      <c r="I8" s="4"/>
      <c r="J8" s="6"/>
      <c r="K8" s="7" t="str">
        <f aca="false">IF(OR(I8="",J8=""),"",I8*J8)</f>
        <v/>
      </c>
      <c r="L8" s="4"/>
      <c r="M8" s="8"/>
      <c r="N8" s="7" t="str">
        <f aca="false">IF(OR(L8="",M8="",K8=""),"",IF(L8="GANANCIA",(K8-F8)*M8,IF(L8="BRUTO",K8*M8,"")))</f>
        <v/>
      </c>
      <c r="O8" s="9" t="str">
        <f aca="false">IF(D8="","",D8+30)</f>
        <v/>
      </c>
      <c r="P8" s="10" t="str">
        <f aca="false">IF(I8="","",IF(COUNTIF(Q8:AN8,TRUE())&gt;=I8,"PAGADO",IF(COUNTIF(Q8:AN8,TRUE())&gt;0,"PARCIAL","VIGENTE")))</f>
        <v/>
      </c>
      <c r="Q8" s="11" t="str">
        <f aca="false">IF(OR(I8="",I8&lt;1,O8=""),"",O8+0)</f>
        <v/>
      </c>
      <c r="R8" s="11" t="str">
        <f aca="false">IF(OR(I8="",I8&lt;2,O8=""),"",O8+30)</f>
        <v/>
      </c>
      <c r="S8" s="11" t="str">
        <f aca="false">IF(OR(I8="",I8&lt;3,O8=""),"",O8+60)</f>
        <v/>
      </c>
      <c r="T8" s="11" t="str">
        <f aca="false">IF(OR(I8="",I8&lt;4,O8=""),"",O8+90)</f>
        <v/>
      </c>
      <c r="U8" s="11" t="str">
        <f aca="false">IF(OR(I8="",I8&lt;5,O8=""),"",O8+120)</f>
        <v/>
      </c>
      <c r="V8" s="11" t="str">
        <f aca="false">IF(OR(I8="",I8&lt;6,O8=""),"",O8+150)</f>
        <v/>
      </c>
      <c r="W8" s="11" t="str">
        <f aca="false">IF(OR(I8="",I8&lt;7,O8=""),"",O8+180)</f>
        <v/>
      </c>
      <c r="X8" s="11" t="str">
        <f aca="false">IF(OR(I8="",I8&lt;8,O8=""),"",O8+210)</f>
        <v/>
      </c>
      <c r="Y8" s="11" t="str">
        <f aca="false">IF(OR(I8="",I8&lt;9,O8=""),"",O8+240)</f>
        <v/>
      </c>
      <c r="Z8" s="11" t="str">
        <f aca="false">IF(OR(I8="",I8&lt;10,O8=""),"",O8+270)</f>
        <v/>
      </c>
      <c r="AA8" s="11" t="str">
        <f aca="false">IF(OR(I8="",I8&lt;11,O8=""),"",O8+300)</f>
        <v/>
      </c>
      <c r="AB8" s="11" t="str">
        <f aca="false">IF(OR(I8="",I8&lt;12,O8=""),"",O8+330)</f>
        <v/>
      </c>
      <c r="AC8" s="11" t="str">
        <f aca="false">IF(OR(I8="",I8&lt;13,O8=""),"",O8+360)</f>
        <v/>
      </c>
      <c r="AD8" s="11" t="str">
        <f aca="false">IF(OR(I8="",I8&lt;14,O8=""),"",O8+390)</f>
        <v/>
      </c>
      <c r="AE8" s="11" t="str">
        <f aca="false">IF(OR(I8="",I8&lt;15,O8=""),"",O8+420)</f>
        <v/>
      </c>
      <c r="AF8" s="11" t="str">
        <f aca="false">IF(OR(I8="",I8&lt;16,O8=""),"",O8+450)</f>
        <v/>
      </c>
      <c r="AG8" s="11" t="str">
        <f aca="false">IF(OR(I8="",I8&lt;17,O8=""),"",O8+480)</f>
        <v/>
      </c>
      <c r="AH8" s="11" t="str">
        <f aca="false">IF(OR(I8="",I8&lt;18,O8=""),"",O8+510)</f>
        <v/>
      </c>
      <c r="AI8" s="11" t="str">
        <f aca="false">IF(OR(I8="",I8&lt;19,O8=""),"",O8+540)</f>
        <v/>
      </c>
      <c r="AJ8" s="11" t="str">
        <f aca="false">IF(OR(I8="",I8&lt;20,O8=""),"",O8+570)</f>
        <v/>
      </c>
      <c r="AK8" s="11" t="str">
        <f aca="false">IF(OR(I8="",I8&lt;21,O8=""),"",O8+600)</f>
        <v/>
      </c>
      <c r="AL8" s="11" t="str">
        <f aca="false">IF(OR(I8="",I8&lt;22,O8=""),"",O8+630)</f>
        <v/>
      </c>
      <c r="AM8" s="11" t="str">
        <f aca="false">IF(OR(I8="",I8&lt;23,O8=""),"",O8+660)</f>
        <v/>
      </c>
      <c r="AN8" s="11" t="str">
        <f aca="false">IF(OR(I8="",I8&lt;24,O8=""),"",O8+690)</f>
        <v/>
      </c>
      <c r="AO8" s="7" t="str">
        <f aca="false">IF(J8="","",COUNTIF(Q8:AN8,TRUE())*J8)</f>
        <v/>
      </c>
      <c r="AP8" s="7" t="str">
        <f aca="false">IF(K8="","",K8-AO8)</f>
        <v/>
      </c>
      <c r="AQ8" s="7" t="str">
        <f aca="false">IF(K8="","",K8-F8-IF(N8="",0,N8))</f>
        <v/>
      </c>
    </row>
    <row r="9" customFormat="false" ht="15" hidden="false" customHeight="false" outlineLevel="0" collapsed="false">
      <c r="A9" s="12"/>
      <c r="B9" s="12"/>
      <c r="C9" s="12"/>
      <c r="D9" s="13"/>
      <c r="E9" s="13"/>
      <c r="F9" s="14"/>
      <c r="G9" s="12"/>
      <c r="H9" s="12"/>
      <c r="I9" s="12"/>
      <c r="J9" s="14"/>
      <c r="K9" s="15" t="str">
        <f aca="false">IF(OR(I9="",J9=""),"",I9*J9)</f>
        <v/>
      </c>
      <c r="L9" s="12"/>
      <c r="M9" s="16"/>
      <c r="N9" s="15" t="str">
        <f aca="false">IF(OR(L9="",M9="",K9=""),"",IF(L9="GANANCIA",(K9-F9)*M9,IF(L9="BRUTO",K9*M9,"")))</f>
        <v/>
      </c>
      <c r="O9" s="17" t="str">
        <f aca="false">IF(D9="","",D9+30)</f>
        <v/>
      </c>
      <c r="P9" s="18" t="str">
        <f aca="false">IF(I9="","",IF(COUNTIF(Q9:AN9,TRUE())&gt;=I9,"PAGADO",IF(COUNTIF(Q9:AN9,TRUE())&gt;0,"PARCIAL","VIGENTE")))</f>
        <v/>
      </c>
      <c r="Q9" s="19" t="str">
        <f aca="false">IF(OR(I9="",I9&lt;1,O9=""),"",O9+0)</f>
        <v/>
      </c>
      <c r="R9" s="19" t="str">
        <f aca="false">IF(OR(I9="",I9&lt;2,O9=""),"",O9+30)</f>
        <v/>
      </c>
      <c r="S9" s="19" t="str">
        <f aca="false">IF(OR(I9="",I9&lt;3,O9=""),"",O9+60)</f>
        <v/>
      </c>
      <c r="T9" s="19" t="str">
        <f aca="false">IF(OR(I9="",I9&lt;4,O9=""),"",O9+90)</f>
        <v/>
      </c>
      <c r="U9" s="19" t="str">
        <f aca="false">IF(OR(I9="",I9&lt;5,O9=""),"",O9+120)</f>
        <v/>
      </c>
      <c r="V9" s="19" t="str">
        <f aca="false">IF(OR(I9="",I9&lt;6,O9=""),"",O9+150)</f>
        <v/>
      </c>
      <c r="W9" s="19" t="str">
        <f aca="false">IF(OR(I9="",I9&lt;7,O9=""),"",O9+180)</f>
        <v/>
      </c>
      <c r="X9" s="19" t="str">
        <f aca="false">IF(OR(I9="",I9&lt;8,O9=""),"",O9+210)</f>
        <v/>
      </c>
      <c r="Y9" s="19" t="str">
        <f aca="false">IF(OR(I9="",I9&lt;9,O9=""),"",O9+240)</f>
        <v/>
      </c>
      <c r="Z9" s="19" t="str">
        <f aca="false">IF(OR(I9="",I9&lt;10,O9=""),"",O9+270)</f>
        <v/>
      </c>
      <c r="AA9" s="19" t="str">
        <f aca="false">IF(OR(I9="",I9&lt;11,O9=""),"",O9+300)</f>
        <v/>
      </c>
      <c r="AB9" s="19" t="str">
        <f aca="false">IF(OR(I9="",I9&lt;12,O9=""),"",O9+330)</f>
        <v/>
      </c>
      <c r="AC9" s="19" t="str">
        <f aca="false">IF(OR(I9="",I9&lt;13,O9=""),"",O9+360)</f>
        <v/>
      </c>
      <c r="AD9" s="19" t="str">
        <f aca="false">IF(OR(I9="",I9&lt;14,O9=""),"",O9+390)</f>
        <v/>
      </c>
      <c r="AE9" s="19" t="str">
        <f aca="false">IF(OR(I9="",I9&lt;15,O9=""),"",O9+420)</f>
        <v/>
      </c>
      <c r="AF9" s="19" t="str">
        <f aca="false">IF(OR(I9="",I9&lt;16,O9=""),"",O9+450)</f>
        <v/>
      </c>
      <c r="AG9" s="19" t="str">
        <f aca="false">IF(OR(I9="",I9&lt;17,O9=""),"",O9+480)</f>
        <v/>
      </c>
      <c r="AH9" s="19" t="str">
        <f aca="false">IF(OR(I9="",I9&lt;18,O9=""),"",O9+510)</f>
        <v/>
      </c>
      <c r="AI9" s="19" t="str">
        <f aca="false">IF(OR(I9="",I9&lt;19,O9=""),"",O9+540)</f>
        <v/>
      </c>
      <c r="AJ9" s="19" t="str">
        <f aca="false">IF(OR(I9="",I9&lt;20,O9=""),"",O9+570)</f>
        <v/>
      </c>
      <c r="AK9" s="19" t="str">
        <f aca="false">IF(OR(I9="",I9&lt;21,O9=""),"",O9+600)</f>
        <v/>
      </c>
      <c r="AL9" s="19" t="str">
        <f aca="false">IF(OR(I9="",I9&lt;22,O9=""),"",O9+630)</f>
        <v/>
      </c>
      <c r="AM9" s="19" t="str">
        <f aca="false">IF(OR(I9="",I9&lt;23,O9=""),"",O9+660)</f>
        <v/>
      </c>
      <c r="AN9" s="19" t="str">
        <f aca="false">IF(OR(I9="",I9&lt;24,O9=""),"",O9+690)</f>
        <v/>
      </c>
      <c r="AO9" s="15" t="str">
        <f aca="false">IF(J9="","",COUNTIF(Q9:AN9,TRUE())*J9)</f>
        <v/>
      </c>
      <c r="AP9" s="15" t="str">
        <f aca="false">IF(K9="","",K9-AO9)</f>
        <v/>
      </c>
      <c r="AQ9" s="15" t="str">
        <f aca="false">IF(K9="","",K9-F9-IF(N9="",0,N9))</f>
        <v/>
      </c>
    </row>
    <row r="10" customFormat="false" ht="15" hidden="false" customHeight="false" outlineLevel="0" collapsed="false">
      <c r="A10" s="4"/>
      <c r="B10" s="4"/>
      <c r="C10" s="4"/>
      <c r="D10" s="5"/>
      <c r="E10" s="5"/>
      <c r="F10" s="6"/>
      <c r="G10" s="4"/>
      <c r="H10" s="4"/>
      <c r="I10" s="4"/>
      <c r="J10" s="6"/>
      <c r="K10" s="7" t="str">
        <f aca="false">IF(OR(I10="",J10=""),"",I10*J10)</f>
        <v/>
      </c>
      <c r="L10" s="4"/>
      <c r="M10" s="8"/>
      <c r="N10" s="7" t="str">
        <f aca="false">IF(OR(L10="",M10="",K10=""),"",IF(L10="GANANCIA",(K10-F10)*M10,IF(L10="BRUTO",K10*M10,"")))</f>
        <v/>
      </c>
      <c r="O10" s="9" t="str">
        <f aca="false">IF(D10="","",D10+30)</f>
        <v/>
      </c>
      <c r="P10" s="10" t="str">
        <f aca="false">IF(I10="","",IF(COUNTIF(Q10:AN10,TRUE())&gt;=I10,"PAGADO",IF(COUNTIF(Q10:AN10,TRUE())&gt;0,"PARCIAL","VIGENTE")))</f>
        <v/>
      </c>
      <c r="Q10" s="11" t="str">
        <f aca="false">IF(OR(I10="",I10&lt;1,O10=""),"",O10+0)</f>
        <v/>
      </c>
      <c r="R10" s="11" t="str">
        <f aca="false">IF(OR(I10="",I10&lt;2,O10=""),"",O10+30)</f>
        <v/>
      </c>
      <c r="S10" s="11" t="str">
        <f aca="false">IF(OR(I10="",I10&lt;3,O10=""),"",O10+60)</f>
        <v/>
      </c>
      <c r="T10" s="11" t="str">
        <f aca="false">IF(OR(I10="",I10&lt;4,O10=""),"",O10+90)</f>
        <v/>
      </c>
      <c r="U10" s="11" t="str">
        <f aca="false">IF(OR(I10="",I10&lt;5,O10=""),"",O10+120)</f>
        <v/>
      </c>
      <c r="V10" s="11" t="str">
        <f aca="false">IF(OR(I10="",I10&lt;6,O10=""),"",O10+150)</f>
        <v/>
      </c>
      <c r="W10" s="11" t="str">
        <f aca="false">IF(OR(I10="",I10&lt;7,O10=""),"",O10+180)</f>
        <v/>
      </c>
      <c r="X10" s="11" t="str">
        <f aca="false">IF(OR(I10="",I10&lt;8,O10=""),"",O10+210)</f>
        <v/>
      </c>
      <c r="Y10" s="11" t="str">
        <f aca="false">IF(OR(I10="",I10&lt;9,O10=""),"",O10+240)</f>
        <v/>
      </c>
      <c r="Z10" s="11" t="str">
        <f aca="false">IF(OR(I10="",I10&lt;10,O10=""),"",O10+270)</f>
        <v/>
      </c>
      <c r="AA10" s="11" t="str">
        <f aca="false">IF(OR(I10="",I10&lt;11,O10=""),"",O10+300)</f>
        <v/>
      </c>
      <c r="AB10" s="11" t="str">
        <f aca="false">IF(OR(I10="",I10&lt;12,O10=""),"",O10+330)</f>
        <v/>
      </c>
      <c r="AC10" s="11" t="str">
        <f aca="false">IF(OR(I10="",I10&lt;13,O10=""),"",O10+360)</f>
        <v/>
      </c>
      <c r="AD10" s="11" t="str">
        <f aca="false">IF(OR(I10="",I10&lt;14,O10=""),"",O10+390)</f>
        <v/>
      </c>
      <c r="AE10" s="11" t="str">
        <f aca="false">IF(OR(I10="",I10&lt;15,O10=""),"",O10+420)</f>
        <v/>
      </c>
      <c r="AF10" s="11" t="str">
        <f aca="false">IF(OR(I10="",I10&lt;16,O10=""),"",O10+450)</f>
        <v/>
      </c>
      <c r="AG10" s="11" t="str">
        <f aca="false">IF(OR(I10="",I10&lt;17,O10=""),"",O10+480)</f>
        <v/>
      </c>
      <c r="AH10" s="11" t="str">
        <f aca="false">IF(OR(I10="",I10&lt;18,O10=""),"",O10+510)</f>
        <v/>
      </c>
      <c r="AI10" s="11" t="str">
        <f aca="false">IF(OR(I10="",I10&lt;19,O10=""),"",O10+540)</f>
        <v/>
      </c>
      <c r="AJ10" s="11" t="str">
        <f aca="false">IF(OR(I10="",I10&lt;20,O10=""),"",O10+570)</f>
        <v/>
      </c>
      <c r="AK10" s="11" t="str">
        <f aca="false">IF(OR(I10="",I10&lt;21,O10=""),"",O10+600)</f>
        <v/>
      </c>
      <c r="AL10" s="11" t="str">
        <f aca="false">IF(OR(I10="",I10&lt;22,O10=""),"",O10+630)</f>
        <v/>
      </c>
      <c r="AM10" s="11" t="str">
        <f aca="false">IF(OR(I10="",I10&lt;23,O10=""),"",O10+660)</f>
        <v/>
      </c>
      <c r="AN10" s="11" t="str">
        <f aca="false">IF(OR(I10="",I10&lt;24,O10=""),"",O10+690)</f>
        <v/>
      </c>
      <c r="AO10" s="7" t="str">
        <f aca="false">IF(J10="","",COUNTIF(Q10:AN10,TRUE())*J10)</f>
        <v/>
      </c>
      <c r="AP10" s="7" t="str">
        <f aca="false">IF(K10="","",K10-AO10)</f>
        <v/>
      </c>
      <c r="AQ10" s="7" t="str">
        <f aca="false">IF(K10="","",K10-F10-IF(N10="",0,N10))</f>
        <v/>
      </c>
    </row>
    <row r="11" customFormat="false" ht="15" hidden="false" customHeight="false" outlineLevel="0" collapsed="false">
      <c r="A11" s="12"/>
      <c r="B11" s="12"/>
      <c r="C11" s="12"/>
      <c r="D11" s="13"/>
      <c r="E11" s="13"/>
      <c r="F11" s="14"/>
      <c r="G11" s="12"/>
      <c r="H11" s="12"/>
      <c r="I11" s="12"/>
      <c r="J11" s="14"/>
      <c r="K11" s="15" t="str">
        <f aca="false">IF(OR(I11="",J11=""),"",I11*J11)</f>
        <v/>
      </c>
      <c r="L11" s="12"/>
      <c r="M11" s="16"/>
      <c r="N11" s="15" t="str">
        <f aca="false">IF(OR(L11="",M11="",K11=""),"",IF(L11="GANANCIA",(K11-F11)*M11,IF(L11="BRUTO",K11*M11,"")))</f>
        <v/>
      </c>
      <c r="O11" s="17" t="str">
        <f aca="false">IF(D11="","",D11+30)</f>
        <v/>
      </c>
      <c r="P11" s="18" t="str">
        <f aca="false">IF(I11="","",IF(COUNTIF(Q11:AN11,TRUE())&gt;=I11,"PAGADO",IF(COUNTIF(Q11:AN11,TRUE())&gt;0,"PARCIAL","VIGENTE")))</f>
        <v/>
      </c>
      <c r="Q11" s="19" t="str">
        <f aca="false">IF(OR(I11="",I11&lt;1,O11=""),"",O11+0)</f>
        <v/>
      </c>
      <c r="R11" s="19" t="str">
        <f aca="false">IF(OR(I11="",I11&lt;2,O11=""),"",O11+30)</f>
        <v/>
      </c>
      <c r="S11" s="19" t="str">
        <f aca="false">IF(OR(I11="",I11&lt;3,O11=""),"",O11+60)</f>
        <v/>
      </c>
      <c r="T11" s="19" t="str">
        <f aca="false">IF(OR(I11="",I11&lt;4,O11=""),"",O11+90)</f>
        <v/>
      </c>
      <c r="U11" s="19" t="str">
        <f aca="false">IF(OR(I11="",I11&lt;5,O11=""),"",O11+120)</f>
        <v/>
      </c>
      <c r="V11" s="19" t="str">
        <f aca="false">IF(OR(I11="",I11&lt;6,O11=""),"",O11+150)</f>
        <v/>
      </c>
      <c r="W11" s="19" t="str">
        <f aca="false">IF(OR(I11="",I11&lt;7,O11=""),"",O11+180)</f>
        <v/>
      </c>
      <c r="X11" s="19" t="str">
        <f aca="false">IF(OR(I11="",I11&lt;8,O11=""),"",O11+210)</f>
        <v/>
      </c>
      <c r="Y11" s="19" t="str">
        <f aca="false">IF(OR(I11="",I11&lt;9,O11=""),"",O11+240)</f>
        <v/>
      </c>
      <c r="Z11" s="19" t="str">
        <f aca="false">IF(OR(I11="",I11&lt;10,O11=""),"",O11+270)</f>
        <v/>
      </c>
      <c r="AA11" s="19" t="str">
        <f aca="false">IF(OR(I11="",I11&lt;11,O11=""),"",O11+300)</f>
        <v/>
      </c>
      <c r="AB11" s="19" t="str">
        <f aca="false">IF(OR(I11="",I11&lt;12,O11=""),"",O11+330)</f>
        <v/>
      </c>
      <c r="AC11" s="19" t="str">
        <f aca="false">IF(OR(I11="",I11&lt;13,O11=""),"",O11+360)</f>
        <v/>
      </c>
      <c r="AD11" s="19" t="str">
        <f aca="false">IF(OR(I11="",I11&lt;14,O11=""),"",O11+390)</f>
        <v/>
      </c>
      <c r="AE11" s="19" t="str">
        <f aca="false">IF(OR(I11="",I11&lt;15,O11=""),"",O11+420)</f>
        <v/>
      </c>
      <c r="AF11" s="19" t="str">
        <f aca="false">IF(OR(I11="",I11&lt;16,O11=""),"",O11+450)</f>
        <v/>
      </c>
      <c r="AG11" s="19" t="str">
        <f aca="false">IF(OR(I11="",I11&lt;17,O11=""),"",O11+480)</f>
        <v/>
      </c>
      <c r="AH11" s="19" t="str">
        <f aca="false">IF(OR(I11="",I11&lt;18,O11=""),"",O11+510)</f>
        <v/>
      </c>
      <c r="AI11" s="19" t="str">
        <f aca="false">IF(OR(I11="",I11&lt;19,O11=""),"",O11+540)</f>
        <v/>
      </c>
      <c r="AJ11" s="19" t="str">
        <f aca="false">IF(OR(I11="",I11&lt;20,O11=""),"",O11+570)</f>
        <v/>
      </c>
      <c r="AK11" s="19" t="str">
        <f aca="false">IF(OR(I11="",I11&lt;21,O11=""),"",O11+600)</f>
        <v/>
      </c>
      <c r="AL11" s="19" t="str">
        <f aca="false">IF(OR(I11="",I11&lt;22,O11=""),"",O11+630)</f>
        <v/>
      </c>
      <c r="AM11" s="19" t="str">
        <f aca="false">IF(OR(I11="",I11&lt;23,O11=""),"",O11+660)</f>
        <v/>
      </c>
      <c r="AN11" s="19" t="str">
        <f aca="false">IF(OR(I11="",I11&lt;24,O11=""),"",O11+690)</f>
        <v/>
      </c>
      <c r="AO11" s="15" t="str">
        <f aca="false">IF(J11="","",COUNTIF(Q11:AN11,TRUE())*J11)</f>
        <v/>
      </c>
      <c r="AP11" s="15" t="str">
        <f aca="false">IF(K11="","",K11-AO11)</f>
        <v/>
      </c>
      <c r="AQ11" s="15" t="str">
        <f aca="false">IF(K11="","",K11-F11-IF(N11="",0,N11))</f>
        <v/>
      </c>
    </row>
    <row r="12" customFormat="false" ht="15" hidden="false" customHeight="false" outlineLevel="0" collapsed="false">
      <c r="A12" s="4"/>
      <c r="B12" s="4"/>
      <c r="C12" s="4"/>
      <c r="D12" s="5"/>
      <c r="E12" s="5"/>
      <c r="F12" s="6"/>
      <c r="G12" s="4"/>
      <c r="H12" s="4"/>
      <c r="I12" s="4"/>
      <c r="J12" s="6"/>
      <c r="K12" s="7" t="str">
        <f aca="false">IF(OR(I12="",J12=""),"",I12*J12)</f>
        <v/>
      </c>
      <c r="L12" s="4"/>
      <c r="M12" s="8"/>
      <c r="N12" s="7" t="str">
        <f aca="false">IF(OR(L12="",M12="",K12=""),"",IF(L12="GANANCIA",(K12-F12)*M12,IF(L12="BRUTO",K12*M12,"")))</f>
        <v/>
      </c>
      <c r="O12" s="9" t="str">
        <f aca="false">IF(D12="","",D12+30)</f>
        <v/>
      </c>
      <c r="P12" s="10" t="str">
        <f aca="false">IF(I12="","",IF(COUNTIF(Q12:AN12,TRUE())&gt;=I12,"PAGADO",IF(COUNTIF(Q12:AN12,TRUE())&gt;0,"PARCIAL","VIGENTE")))</f>
        <v/>
      </c>
      <c r="Q12" s="11" t="str">
        <f aca="false">IF(OR(I12="",I12&lt;1,O12=""),"",O12+0)</f>
        <v/>
      </c>
      <c r="R12" s="11" t="str">
        <f aca="false">IF(OR(I12="",I12&lt;2,O12=""),"",O12+30)</f>
        <v/>
      </c>
      <c r="S12" s="11" t="str">
        <f aca="false">IF(OR(I12="",I12&lt;3,O12=""),"",O12+60)</f>
        <v/>
      </c>
      <c r="T12" s="11" t="str">
        <f aca="false">IF(OR(I12="",I12&lt;4,O12=""),"",O12+90)</f>
        <v/>
      </c>
      <c r="U12" s="11" t="str">
        <f aca="false">IF(OR(I12="",I12&lt;5,O12=""),"",O12+120)</f>
        <v/>
      </c>
      <c r="V12" s="11" t="str">
        <f aca="false">IF(OR(I12="",I12&lt;6,O12=""),"",O12+150)</f>
        <v/>
      </c>
      <c r="W12" s="11" t="str">
        <f aca="false">IF(OR(I12="",I12&lt;7,O12=""),"",O12+180)</f>
        <v/>
      </c>
      <c r="X12" s="11" t="str">
        <f aca="false">IF(OR(I12="",I12&lt;8,O12=""),"",O12+210)</f>
        <v/>
      </c>
      <c r="Y12" s="11" t="str">
        <f aca="false">IF(OR(I12="",I12&lt;9,O12=""),"",O12+240)</f>
        <v/>
      </c>
      <c r="Z12" s="11" t="str">
        <f aca="false">IF(OR(I12="",I12&lt;10,O12=""),"",O12+270)</f>
        <v/>
      </c>
      <c r="AA12" s="11" t="str">
        <f aca="false">IF(OR(I12="",I12&lt;11,O12=""),"",O12+300)</f>
        <v/>
      </c>
      <c r="AB12" s="11" t="str">
        <f aca="false">IF(OR(I12="",I12&lt;12,O12=""),"",O12+330)</f>
        <v/>
      </c>
      <c r="AC12" s="11" t="str">
        <f aca="false">IF(OR(I12="",I12&lt;13,O12=""),"",O12+360)</f>
        <v/>
      </c>
      <c r="AD12" s="11" t="str">
        <f aca="false">IF(OR(I12="",I12&lt;14,O12=""),"",O12+390)</f>
        <v/>
      </c>
      <c r="AE12" s="11" t="str">
        <f aca="false">IF(OR(I12="",I12&lt;15,O12=""),"",O12+420)</f>
        <v/>
      </c>
      <c r="AF12" s="11" t="str">
        <f aca="false">IF(OR(I12="",I12&lt;16,O12=""),"",O12+450)</f>
        <v/>
      </c>
      <c r="AG12" s="11" t="str">
        <f aca="false">IF(OR(I12="",I12&lt;17,O12=""),"",O12+480)</f>
        <v/>
      </c>
      <c r="AH12" s="11" t="str">
        <f aca="false">IF(OR(I12="",I12&lt;18,O12=""),"",O12+510)</f>
        <v/>
      </c>
      <c r="AI12" s="11" t="str">
        <f aca="false">IF(OR(I12="",I12&lt;19,O12=""),"",O12+540)</f>
        <v/>
      </c>
      <c r="AJ12" s="11" t="str">
        <f aca="false">IF(OR(I12="",I12&lt;20,O12=""),"",O12+570)</f>
        <v/>
      </c>
      <c r="AK12" s="11" t="str">
        <f aca="false">IF(OR(I12="",I12&lt;21,O12=""),"",O12+600)</f>
        <v/>
      </c>
      <c r="AL12" s="11" t="str">
        <f aca="false">IF(OR(I12="",I12&lt;22,O12=""),"",O12+630)</f>
        <v/>
      </c>
      <c r="AM12" s="11" t="str">
        <f aca="false">IF(OR(I12="",I12&lt;23,O12=""),"",O12+660)</f>
        <v/>
      </c>
      <c r="AN12" s="11" t="str">
        <f aca="false">IF(OR(I12="",I12&lt;24,O12=""),"",O12+690)</f>
        <v/>
      </c>
      <c r="AO12" s="7" t="str">
        <f aca="false">IF(J12="","",COUNTIF(Q12:AN12,TRUE())*J12)</f>
        <v/>
      </c>
      <c r="AP12" s="7" t="str">
        <f aca="false">IF(K12="","",K12-AO12)</f>
        <v/>
      </c>
      <c r="AQ12" s="7" t="str">
        <f aca="false">IF(K12="","",K12-F12-IF(N12="",0,N12))</f>
        <v/>
      </c>
    </row>
    <row r="13" customFormat="false" ht="15" hidden="false" customHeight="false" outlineLevel="0" collapsed="false">
      <c r="A13" s="12"/>
      <c r="B13" s="12"/>
      <c r="C13" s="12"/>
      <c r="D13" s="13"/>
      <c r="E13" s="13"/>
      <c r="F13" s="14"/>
      <c r="G13" s="12"/>
      <c r="H13" s="12"/>
      <c r="I13" s="12"/>
      <c r="J13" s="14"/>
      <c r="K13" s="15" t="str">
        <f aca="false">IF(OR(I13="",J13=""),"",I13*J13)</f>
        <v/>
      </c>
      <c r="L13" s="12"/>
      <c r="M13" s="16"/>
      <c r="N13" s="15" t="str">
        <f aca="false">IF(OR(L13="",M13="",K13=""),"",IF(L13="GANANCIA",(K13-F13)*M13,IF(L13="BRUTO",K13*M13,"")))</f>
        <v/>
      </c>
      <c r="O13" s="17" t="str">
        <f aca="false">IF(D13="","",D13+30)</f>
        <v/>
      </c>
      <c r="P13" s="18" t="str">
        <f aca="false">IF(I13="","",IF(COUNTIF(Q13:AN13,TRUE())&gt;=I13,"PAGADO",IF(COUNTIF(Q13:AN13,TRUE())&gt;0,"PARCIAL","VIGENTE")))</f>
        <v/>
      </c>
      <c r="Q13" s="19" t="str">
        <f aca="false">IF(OR(I13="",I13&lt;1,O13=""),"",O13+0)</f>
        <v/>
      </c>
      <c r="R13" s="19" t="str">
        <f aca="false">IF(OR(I13="",I13&lt;2,O13=""),"",O13+30)</f>
        <v/>
      </c>
      <c r="S13" s="19" t="str">
        <f aca="false">IF(OR(I13="",I13&lt;3,O13=""),"",O13+60)</f>
        <v/>
      </c>
      <c r="T13" s="19" t="str">
        <f aca="false">IF(OR(I13="",I13&lt;4,O13=""),"",O13+90)</f>
        <v/>
      </c>
      <c r="U13" s="19" t="str">
        <f aca="false">IF(OR(I13="",I13&lt;5,O13=""),"",O13+120)</f>
        <v/>
      </c>
      <c r="V13" s="19" t="str">
        <f aca="false">IF(OR(I13="",I13&lt;6,O13=""),"",O13+150)</f>
        <v/>
      </c>
      <c r="W13" s="19" t="str">
        <f aca="false">IF(OR(I13="",I13&lt;7,O13=""),"",O13+180)</f>
        <v/>
      </c>
      <c r="X13" s="19" t="str">
        <f aca="false">IF(OR(I13="",I13&lt;8,O13=""),"",O13+210)</f>
        <v/>
      </c>
      <c r="Y13" s="19" t="str">
        <f aca="false">IF(OR(I13="",I13&lt;9,O13=""),"",O13+240)</f>
        <v/>
      </c>
      <c r="Z13" s="19" t="str">
        <f aca="false">IF(OR(I13="",I13&lt;10,O13=""),"",O13+270)</f>
        <v/>
      </c>
      <c r="AA13" s="19" t="str">
        <f aca="false">IF(OR(I13="",I13&lt;11,O13=""),"",O13+300)</f>
        <v/>
      </c>
      <c r="AB13" s="19" t="str">
        <f aca="false">IF(OR(I13="",I13&lt;12,O13=""),"",O13+330)</f>
        <v/>
      </c>
      <c r="AC13" s="19" t="str">
        <f aca="false">IF(OR(I13="",I13&lt;13,O13=""),"",O13+360)</f>
        <v/>
      </c>
      <c r="AD13" s="19" t="str">
        <f aca="false">IF(OR(I13="",I13&lt;14,O13=""),"",O13+390)</f>
        <v/>
      </c>
      <c r="AE13" s="19" t="str">
        <f aca="false">IF(OR(I13="",I13&lt;15,O13=""),"",O13+420)</f>
        <v/>
      </c>
      <c r="AF13" s="19" t="str">
        <f aca="false">IF(OR(I13="",I13&lt;16,O13=""),"",O13+450)</f>
        <v/>
      </c>
      <c r="AG13" s="19" t="str">
        <f aca="false">IF(OR(I13="",I13&lt;17,O13=""),"",O13+480)</f>
        <v/>
      </c>
      <c r="AH13" s="19" t="str">
        <f aca="false">IF(OR(I13="",I13&lt;18,O13=""),"",O13+510)</f>
        <v/>
      </c>
      <c r="AI13" s="19" t="str">
        <f aca="false">IF(OR(I13="",I13&lt;19,O13=""),"",O13+540)</f>
        <v/>
      </c>
      <c r="AJ13" s="19" t="str">
        <f aca="false">IF(OR(I13="",I13&lt;20,O13=""),"",O13+570)</f>
        <v/>
      </c>
      <c r="AK13" s="19" t="str">
        <f aca="false">IF(OR(I13="",I13&lt;21,O13=""),"",O13+600)</f>
        <v/>
      </c>
      <c r="AL13" s="19" t="str">
        <f aca="false">IF(OR(I13="",I13&lt;22,O13=""),"",O13+630)</f>
        <v/>
      </c>
      <c r="AM13" s="19" t="str">
        <f aca="false">IF(OR(I13="",I13&lt;23,O13=""),"",O13+660)</f>
        <v/>
      </c>
      <c r="AN13" s="19" t="str">
        <f aca="false">IF(OR(I13="",I13&lt;24,O13=""),"",O13+690)</f>
        <v/>
      </c>
      <c r="AO13" s="15" t="str">
        <f aca="false">IF(J13="","",COUNTIF(Q13:AN13,TRUE())*J13)</f>
        <v/>
      </c>
      <c r="AP13" s="15" t="str">
        <f aca="false">IF(K13="","",K13-AO13)</f>
        <v/>
      </c>
      <c r="AQ13" s="15" t="str">
        <f aca="false">IF(K13="","",K13-F13-IF(N13="",0,N13))</f>
        <v/>
      </c>
    </row>
    <row r="14" customFormat="false" ht="15" hidden="false" customHeight="false" outlineLevel="0" collapsed="false">
      <c r="A14" s="4"/>
      <c r="B14" s="4"/>
      <c r="C14" s="4"/>
      <c r="D14" s="5"/>
      <c r="E14" s="5"/>
      <c r="F14" s="6"/>
      <c r="G14" s="4"/>
      <c r="H14" s="4"/>
      <c r="I14" s="4"/>
      <c r="J14" s="6"/>
      <c r="K14" s="7" t="str">
        <f aca="false">IF(OR(I14="",J14=""),"",I14*J14)</f>
        <v/>
      </c>
      <c r="L14" s="4"/>
      <c r="M14" s="8"/>
      <c r="N14" s="7" t="str">
        <f aca="false">IF(OR(L14="",M14="",K14=""),"",IF(L14="GANANCIA",(K14-F14)*M14,IF(L14="BRUTO",K14*M14,"")))</f>
        <v/>
      </c>
      <c r="O14" s="9" t="str">
        <f aca="false">IF(D14="","",D14+30)</f>
        <v/>
      </c>
      <c r="P14" s="10" t="str">
        <f aca="false">IF(I14="","",IF(COUNTIF(Q14:AN14,TRUE())&gt;=I14,"PAGADO",IF(COUNTIF(Q14:AN14,TRUE())&gt;0,"PARCIAL","VIGENTE")))</f>
        <v/>
      </c>
      <c r="Q14" s="11" t="str">
        <f aca="false">IF(OR(I14="",I14&lt;1,O14=""),"",O14+0)</f>
        <v/>
      </c>
      <c r="R14" s="11" t="str">
        <f aca="false">IF(OR(I14="",I14&lt;2,O14=""),"",O14+30)</f>
        <v/>
      </c>
      <c r="S14" s="11" t="str">
        <f aca="false">IF(OR(I14="",I14&lt;3,O14=""),"",O14+60)</f>
        <v/>
      </c>
      <c r="T14" s="11" t="str">
        <f aca="false">IF(OR(I14="",I14&lt;4,O14=""),"",O14+90)</f>
        <v/>
      </c>
      <c r="U14" s="11" t="str">
        <f aca="false">IF(OR(I14="",I14&lt;5,O14=""),"",O14+120)</f>
        <v/>
      </c>
      <c r="V14" s="11" t="str">
        <f aca="false">IF(OR(I14="",I14&lt;6,O14=""),"",O14+150)</f>
        <v/>
      </c>
      <c r="W14" s="11" t="str">
        <f aca="false">IF(OR(I14="",I14&lt;7,O14=""),"",O14+180)</f>
        <v/>
      </c>
      <c r="X14" s="11" t="str">
        <f aca="false">IF(OR(I14="",I14&lt;8,O14=""),"",O14+210)</f>
        <v/>
      </c>
      <c r="Y14" s="11" t="str">
        <f aca="false">IF(OR(I14="",I14&lt;9,O14=""),"",O14+240)</f>
        <v/>
      </c>
      <c r="Z14" s="11" t="str">
        <f aca="false">IF(OR(I14="",I14&lt;10,O14=""),"",O14+270)</f>
        <v/>
      </c>
      <c r="AA14" s="11" t="str">
        <f aca="false">IF(OR(I14="",I14&lt;11,O14=""),"",O14+300)</f>
        <v/>
      </c>
      <c r="AB14" s="11" t="str">
        <f aca="false">IF(OR(I14="",I14&lt;12,O14=""),"",O14+330)</f>
        <v/>
      </c>
      <c r="AC14" s="11" t="str">
        <f aca="false">IF(OR(I14="",I14&lt;13,O14=""),"",O14+360)</f>
        <v/>
      </c>
      <c r="AD14" s="11" t="str">
        <f aca="false">IF(OR(I14="",I14&lt;14,O14=""),"",O14+390)</f>
        <v/>
      </c>
      <c r="AE14" s="11" t="str">
        <f aca="false">IF(OR(I14="",I14&lt;15,O14=""),"",O14+420)</f>
        <v/>
      </c>
      <c r="AF14" s="11" t="str">
        <f aca="false">IF(OR(I14="",I14&lt;16,O14=""),"",O14+450)</f>
        <v/>
      </c>
      <c r="AG14" s="11" t="str">
        <f aca="false">IF(OR(I14="",I14&lt;17,O14=""),"",O14+480)</f>
        <v/>
      </c>
      <c r="AH14" s="11" t="str">
        <f aca="false">IF(OR(I14="",I14&lt;18,O14=""),"",O14+510)</f>
        <v/>
      </c>
      <c r="AI14" s="11" t="str">
        <f aca="false">IF(OR(I14="",I14&lt;19,O14=""),"",O14+540)</f>
        <v/>
      </c>
      <c r="AJ14" s="11" t="str">
        <f aca="false">IF(OR(I14="",I14&lt;20,O14=""),"",O14+570)</f>
        <v/>
      </c>
      <c r="AK14" s="11" t="str">
        <f aca="false">IF(OR(I14="",I14&lt;21,O14=""),"",O14+600)</f>
        <v/>
      </c>
      <c r="AL14" s="11" t="str">
        <f aca="false">IF(OR(I14="",I14&lt;22,O14=""),"",O14+630)</f>
        <v/>
      </c>
      <c r="AM14" s="11" t="str">
        <f aca="false">IF(OR(I14="",I14&lt;23,O14=""),"",O14+660)</f>
        <v/>
      </c>
      <c r="AN14" s="11" t="str">
        <f aca="false">IF(OR(I14="",I14&lt;24,O14=""),"",O14+690)</f>
        <v/>
      </c>
      <c r="AO14" s="7" t="str">
        <f aca="false">IF(J14="","",COUNTIF(Q14:AN14,TRUE())*J14)</f>
        <v/>
      </c>
      <c r="AP14" s="7" t="str">
        <f aca="false">IF(K14="","",K14-AO14)</f>
        <v/>
      </c>
      <c r="AQ14" s="7" t="str">
        <f aca="false">IF(K14="","",K14-F14-IF(N14="",0,N14))</f>
        <v/>
      </c>
    </row>
    <row r="15" customFormat="false" ht="15" hidden="false" customHeight="false" outlineLevel="0" collapsed="false">
      <c r="A15" s="12"/>
      <c r="B15" s="12"/>
      <c r="C15" s="12"/>
      <c r="D15" s="13"/>
      <c r="E15" s="13"/>
      <c r="F15" s="14"/>
      <c r="G15" s="12"/>
      <c r="H15" s="12"/>
      <c r="I15" s="12"/>
      <c r="J15" s="14"/>
      <c r="K15" s="15" t="str">
        <f aca="false">IF(OR(I15="",J15=""),"",I15*J15)</f>
        <v/>
      </c>
      <c r="L15" s="12"/>
      <c r="M15" s="16"/>
      <c r="N15" s="15" t="str">
        <f aca="false">IF(OR(L15="",M15="",K15=""),"",IF(L15="GANANCIA",(K15-F15)*M15,IF(L15="BRUTO",K15*M15,"")))</f>
        <v/>
      </c>
      <c r="O15" s="17" t="str">
        <f aca="false">IF(D15="","",D15+30)</f>
        <v/>
      </c>
      <c r="P15" s="18" t="str">
        <f aca="false">IF(I15="","",IF(COUNTIF(Q15:AN15,TRUE())&gt;=I15,"PAGADO",IF(COUNTIF(Q15:AN15,TRUE())&gt;0,"PARCIAL","VIGENTE")))</f>
        <v/>
      </c>
      <c r="Q15" s="19" t="str">
        <f aca="false">IF(OR(I15="",I15&lt;1,O15=""),"",O15+0)</f>
        <v/>
      </c>
      <c r="R15" s="19" t="str">
        <f aca="false">IF(OR(I15="",I15&lt;2,O15=""),"",O15+30)</f>
        <v/>
      </c>
      <c r="S15" s="19" t="str">
        <f aca="false">IF(OR(I15="",I15&lt;3,O15=""),"",O15+60)</f>
        <v/>
      </c>
      <c r="T15" s="19" t="str">
        <f aca="false">IF(OR(I15="",I15&lt;4,O15=""),"",O15+90)</f>
        <v/>
      </c>
      <c r="U15" s="19" t="str">
        <f aca="false">IF(OR(I15="",I15&lt;5,O15=""),"",O15+120)</f>
        <v/>
      </c>
      <c r="V15" s="19" t="str">
        <f aca="false">IF(OR(I15="",I15&lt;6,O15=""),"",O15+150)</f>
        <v/>
      </c>
      <c r="W15" s="19" t="str">
        <f aca="false">IF(OR(I15="",I15&lt;7,O15=""),"",O15+180)</f>
        <v/>
      </c>
      <c r="X15" s="19" t="str">
        <f aca="false">IF(OR(I15="",I15&lt;8,O15=""),"",O15+210)</f>
        <v/>
      </c>
      <c r="Y15" s="19" t="str">
        <f aca="false">IF(OR(I15="",I15&lt;9,O15=""),"",O15+240)</f>
        <v/>
      </c>
      <c r="Z15" s="19" t="str">
        <f aca="false">IF(OR(I15="",I15&lt;10,O15=""),"",O15+270)</f>
        <v/>
      </c>
      <c r="AA15" s="19" t="str">
        <f aca="false">IF(OR(I15="",I15&lt;11,O15=""),"",O15+300)</f>
        <v/>
      </c>
      <c r="AB15" s="19" t="str">
        <f aca="false">IF(OR(I15="",I15&lt;12,O15=""),"",O15+330)</f>
        <v/>
      </c>
      <c r="AC15" s="19" t="str">
        <f aca="false">IF(OR(I15="",I15&lt;13,O15=""),"",O15+360)</f>
        <v/>
      </c>
      <c r="AD15" s="19" t="str">
        <f aca="false">IF(OR(I15="",I15&lt;14,O15=""),"",O15+390)</f>
        <v/>
      </c>
      <c r="AE15" s="19" t="str">
        <f aca="false">IF(OR(I15="",I15&lt;15,O15=""),"",O15+420)</f>
        <v/>
      </c>
      <c r="AF15" s="19" t="str">
        <f aca="false">IF(OR(I15="",I15&lt;16,O15=""),"",O15+450)</f>
        <v/>
      </c>
      <c r="AG15" s="19" t="str">
        <f aca="false">IF(OR(I15="",I15&lt;17,O15=""),"",O15+480)</f>
        <v/>
      </c>
      <c r="AH15" s="19" t="str">
        <f aca="false">IF(OR(I15="",I15&lt;18,O15=""),"",O15+510)</f>
        <v/>
      </c>
      <c r="AI15" s="19" t="str">
        <f aca="false">IF(OR(I15="",I15&lt;19,O15=""),"",O15+540)</f>
        <v/>
      </c>
      <c r="AJ15" s="19" t="str">
        <f aca="false">IF(OR(I15="",I15&lt;20,O15=""),"",O15+570)</f>
        <v/>
      </c>
      <c r="AK15" s="19" t="str">
        <f aca="false">IF(OR(I15="",I15&lt;21,O15=""),"",O15+600)</f>
        <v/>
      </c>
      <c r="AL15" s="19" t="str">
        <f aca="false">IF(OR(I15="",I15&lt;22,O15=""),"",O15+630)</f>
        <v/>
      </c>
      <c r="AM15" s="19" t="str">
        <f aca="false">IF(OR(I15="",I15&lt;23,O15=""),"",O15+660)</f>
        <v/>
      </c>
      <c r="AN15" s="19" t="str">
        <f aca="false">IF(OR(I15="",I15&lt;24,O15=""),"",O15+690)</f>
        <v/>
      </c>
      <c r="AO15" s="15" t="str">
        <f aca="false">IF(J15="","",COUNTIF(Q15:AN15,TRUE())*J15)</f>
        <v/>
      </c>
      <c r="AP15" s="15" t="str">
        <f aca="false">IF(K15="","",K15-AO15)</f>
        <v/>
      </c>
      <c r="AQ15" s="15" t="str">
        <f aca="false">IF(K15="","",K15-F15-IF(N15="",0,N15))</f>
        <v/>
      </c>
    </row>
    <row r="16" customFormat="false" ht="15" hidden="false" customHeight="false" outlineLevel="0" collapsed="false">
      <c r="A16" s="4"/>
      <c r="B16" s="4"/>
      <c r="C16" s="4"/>
      <c r="D16" s="5"/>
      <c r="E16" s="5"/>
      <c r="F16" s="6"/>
      <c r="G16" s="4"/>
      <c r="H16" s="4"/>
      <c r="I16" s="4"/>
      <c r="J16" s="6"/>
      <c r="K16" s="7" t="str">
        <f aca="false">IF(OR(I16="",J16=""),"",I16*J16)</f>
        <v/>
      </c>
      <c r="L16" s="4"/>
      <c r="M16" s="8"/>
      <c r="N16" s="7" t="str">
        <f aca="false">IF(OR(L16="",M16="",K16=""),"",IF(L16="GANANCIA",(K16-F16)*M16,IF(L16="BRUTO",K16*M16,"")))</f>
        <v/>
      </c>
      <c r="O16" s="9" t="str">
        <f aca="false">IF(D16="","",D16+30)</f>
        <v/>
      </c>
      <c r="P16" s="10" t="str">
        <f aca="false">IF(I16="","",IF(COUNTIF(Q16:AN16,TRUE())&gt;=I16,"PAGADO",IF(COUNTIF(Q16:AN16,TRUE())&gt;0,"PARCIAL","VIGENTE")))</f>
        <v/>
      </c>
      <c r="Q16" s="11" t="str">
        <f aca="false">IF(OR(I16="",I16&lt;1,O16=""),"",O16+0)</f>
        <v/>
      </c>
      <c r="R16" s="11" t="str">
        <f aca="false">IF(OR(I16="",I16&lt;2,O16=""),"",O16+30)</f>
        <v/>
      </c>
      <c r="S16" s="11" t="str">
        <f aca="false">IF(OR(I16="",I16&lt;3,O16=""),"",O16+60)</f>
        <v/>
      </c>
      <c r="T16" s="11" t="str">
        <f aca="false">IF(OR(I16="",I16&lt;4,O16=""),"",O16+90)</f>
        <v/>
      </c>
      <c r="U16" s="11" t="str">
        <f aca="false">IF(OR(I16="",I16&lt;5,O16=""),"",O16+120)</f>
        <v/>
      </c>
      <c r="V16" s="11" t="str">
        <f aca="false">IF(OR(I16="",I16&lt;6,O16=""),"",O16+150)</f>
        <v/>
      </c>
      <c r="W16" s="11" t="str">
        <f aca="false">IF(OR(I16="",I16&lt;7,O16=""),"",O16+180)</f>
        <v/>
      </c>
      <c r="X16" s="11" t="str">
        <f aca="false">IF(OR(I16="",I16&lt;8,O16=""),"",O16+210)</f>
        <v/>
      </c>
      <c r="Y16" s="11" t="str">
        <f aca="false">IF(OR(I16="",I16&lt;9,O16=""),"",O16+240)</f>
        <v/>
      </c>
      <c r="Z16" s="11" t="str">
        <f aca="false">IF(OR(I16="",I16&lt;10,O16=""),"",O16+270)</f>
        <v/>
      </c>
      <c r="AA16" s="11" t="str">
        <f aca="false">IF(OR(I16="",I16&lt;11,O16=""),"",O16+300)</f>
        <v/>
      </c>
      <c r="AB16" s="11" t="str">
        <f aca="false">IF(OR(I16="",I16&lt;12,O16=""),"",O16+330)</f>
        <v/>
      </c>
      <c r="AC16" s="11" t="str">
        <f aca="false">IF(OR(I16="",I16&lt;13,O16=""),"",O16+360)</f>
        <v/>
      </c>
      <c r="AD16" s="11" t="str">
        <f aca="false">IF(OR(I16="",I16&lt;14,O16=""),"",O16+390)</f>
        <v/>
      </c>
      <c r="AE16" s="11" t="str">
        <f aca="false">IF(OR(I16="",I16&lt;15,O16=""),"",O16+420)</f>
        <v/>
      </c>
      <c r="AF16" s="11" t="str">
        <f aca="false">IF(OR(I16="",I16&lt;16,O16=""),"",O16+450)</f>
        <v/>
      </c>
      <c r="AG16" s="11" t="str">
        <f aca="false">IF(OR(I16="",I16&lt;17,O16=""),"",O16+480)</f>
        <v/>
      </c>
      <c r="AH16" s="11" t="str">
        <f aca="false">IF(OR(I16="",I16&lt;18,O16=""),"",O16+510)</f>
        <v/>
      </c>
      <c r="AI16" s="11" t="str">
        <f aca="false">IF(OR(I16="",I16&lt;19,O16=""),"",O16+540)</f>
        <v/>
      </c>
      <c r="AJ16" s="11" t="str">
        <f aca="false">IF(OR(I16="",I16&lt;20,O16=""),"",O16+570)</f>
        <v/>
      </c>
      <c r="AK16" s="11" t="str">
        <f aca="false">IF(OR(I16="",I16&lt;21,O16=""),"",O16+600)</f>
        <v/>
      </c>
      <c r="AL16" s="11" t="str">
        <f aca="false">IF(OR(I16="",I16&lt;22,O16=""),"",O16+630)</f>
        <v/>
      </c>
      <c r="AM16" s="11" t="str">
        <f aca="false">IF(OR(I16="",I16&lt;23,O16=""),"",O16+660)</f>
        <v/>
      </c>
      <c r="AN16" s="11" t="str">
        <f aca="false">IF(OR(I16="",I16&lt;24,O16=""),"",O16+690)</f>
        <v/>
      </c>
      <c r="AO16" s="7" t="str">
        <f aca="false">IF(J16="","",COUNTIF(Q16:AN16,TRUE())*J16)</f>
        <v/>
      </c>
      <c r="AP16" s="7" t="str">
        <f aca="false">IF(K16="","",K16-AO16)</f>
        <v/>
      </c>
      <c r="AQ16" s="7" t="str">
        <f aca="false">IF(K16="","",K16-F16-IF(N16="",0,N16))</f>
        <v/>
      </c>
    </row>
    <row r="17" customFormat="false" ht="15" hidden="false" customHeight="false" outlineLevel="0" collapsed="false">
      <c r="A17" s="12"/>
      <c r="B17" s="12"/>
      <c r="C17" s="12"/>
      <c r="D17" s="13"/>
      <c r="E17" s="13"/>
      <c r="F17" s="14"/>
      <c r="G17" s="12"/>
      <c r="H17" s="12"/>
      <c r="I17" s="12"/>
      <c r="J17" s="14"/>
      <c r="K17" s="15" t="str">
        <f aca="false">IF(OR(I17="",J17=""),"",I17*J17)</f>
        <v/>
      </c>
      <c r="L17" s="12"/>
      <c r="M17" s="16"/>
      <c r="N17" s="15" t="str">
        <f aca="false">IF(OR(L17="",M17="",K17=""),"",IF(L17="GANANCIA",(K17-F17)*M17,IF(L17="BRUTO",K17*M17,"")))</f>
        <v/>
      </c>
      <c r="O17" s="17" t="str">
        <f aca="false">IF(D17="","",D17+30)</f>
        <v/>
      </c>
      <c r="P17" s="18" t="str">
        <f aca="false">IF(I17="","",IF(COUNTIF(Q17:AN17,TRUE())&gt;=I17,"PAGADO",IF(COUNTIF(Q17:AN17,TRUE())&gt;0,"PARCIAL","VIGENTE")))</f>
        <v/>
      </c>
      <c r="Q17" s="19" t="str">
        <f aca="false">IF(OR(I17="",I17&lt;1,O17=""),"",O17+0)</f>
        <v/>
      </c>
      <c r="R17" s="19" t="str">
        <f aca="false">IF(OR(I17="",I17&lt;2,O17=""),"",O17+30)</f>
        <v/>
      </c>
      <c r="S17" s="19" t="str">
        <f aca="false">IF(OR(I17="",I17&lt;3,O17=""),"",O17+60)</f>
        <v/>
      </c>
      <c r="T17" s="19" t="str">
        <f aca="false">IF(OR(I17="",I17&lt;4,O17=""),"",O17+90)</f>
        <v/>
      </c>
      <c r="U17" s="19" t="str">
        <f aca="false">IF(OR(I17="",I17&lt;5,O17=""),"",O17+120)</f>
        <v/>
      </c>
      <c r="V17" s="19" t="str">
        <f aca="false">IF(OR(I17="",I17&lt;6,O17=""),"",O17+150)</f>
        <v/>
      </c>
      <c r="W17" s="19" t="str">
        <f aca="false">IF(OR(I17="",I17&lt;7,O17=""),"",O17+180)</f>
        <v/>
      </c>
      <c r="X17" s="19" t="str">
        <f aca="false">IF(OR(I17="",I17&lt;8,O17=""),"",O17+210)</f>
        <v/>
      </c>
      <c r="Y17" s="19" t="str">
        <f aca="false">IF(OR(I17="",I17&lt;9,O17=""),"",O17+240)</f>
        <v/>
      </c>
      <c r="Z17" s="19" t="str">
        <f aca="false">IF(OR(I17="",I17&lt;10,O17=""),"",O17+270)</f>
        <v/>
      </c>
      <c r="AA17" s="19" t="str">
        <f aca="false">IF(OR(I17="",I17&lt;11,O17=""),"",O17+300)</f>
        <v/>
      </c>
      <c r="AB17" s="19" t="str">
        <f aca="false">IF(OR(I17="",I17&lt;12,O17=""),"",O17+330)</f>
        <v/>
      </c>
      <c r="AC17" s="19" t="str">
        <f aca="false">IF(OR(I17="",I17&lt;13,O17=""),"",O17+360)</f>
        <v/>
      </c>
      <c r="AD17" s="19" t="str">
        <f aca="false">IF(OR(I17="",I17&lt;14,O17=""),"",O17+390)</f>
        <v/>
      </c>
      <c r="AE17" s="19" t="str">
        <f aca="false">IF(OR(I17="",I17&lt;15,O17=""),"",O17+420)</f>
        <v/>
      </c>
      <c r="AF17" s="19" t="str">
        <f aca="false">IF(OR(I17="",I17&lt;16,O17=""),"",O17+450)</f>
        <v/>
      </c>
      <c r="AG17" s="19" t="str">
        <f aca="false">IF(OR(I17="",I17&lt;17,O17=""),"",O17+480)</f>
        <v/>
      </c>
      <c r="AH17" s="19" t="str">
        <f aca="false">IF(OR(I17="",I17&lt;18,O17=""),"",O17+510)</f>
        <v/>
      </c>
      <c r="AI17" s="19" t="str">
        <f aca="false">IF(OR(I17="",I17&lt;19,O17=""),"",O17+540)</f>
        <v/>
      </c>
      <c r="AJ17" s="19" t="str">
        <f aca="false">IF(OR(I17="",I17&lt;20,O17=""),"",O17+570)</f>
        <v/>
      </c>
      <c r="AK17" s="19" t="str">
        <f aca="false">IF(OR(I17="",I17&lt;21,O17=""),"",O17+600)</f>
        <v/>
      </c>
      <c r="AL17" s="19" t="str">
        <f aca="false">IF(OR(I17="",I17&lt;22,O17=""),"",O17+630)</f>
        <v/>
      </c>
      <c r="AM17" s="19" t="str">
        <f aca="false">IF(OR(I17="",I17&lt;23,O17=""),"",O17+660)</f>
        <v/>
      </c>
      <c r="AN17" s="19" t="str">
        <f aca="false">IF(OR(I17="",I17&lt;24,O17=""),"",O17+690)</f>
        <v/>
      </c>
      <c r="AO17" s="15" t="str">
        <f aca="false">IF(J17="","",COUNTIF(Q17:AN17,TRUE())*J17)</f>
        <v/>
      </c>
      <c r="AP17" s="15" t="str">
        <f aca="false">IF(K17="","",K17-AO17)</f>
        <v/>
      </c>
      <c r="AQ17" s="15" t="str">
        <f aca="false">IF(K17="","",K17-F17-IF(N17="",0,N17))</f>
        <v/>
      </c>
    </row>
    <row r="18" customFormat="false" ht="15" hidden="false" customHeight="false" outlineLevel="0" collapsed="false">
      <c r="A18" s="4"/>
      <c r="B18" s="4"/>
      <c r="C18" s="4"/>
      <c r="D18" s="5"/>
      <c r="E18" s="5"/>
      <c r="F18" s="6"/>
      <c r="G18" s="4"/>
      <c r="H18" s="4"/>
      <c r="I18" s="4"/>
      <c r="J18" s="6"/>
      <c r="K18" s="7" t="str">
        <f aca="false">IF(OR(I18="",J18=""),"",I18*J18)</f>
        <v/>
      </c>
      <c r="L18" s="4"/>
      <c r="M18" s="8"/>
      <c r="N18" s="7" t="str">
        <f aca="false">IF(OR(L18="",M18="",K18=""),"",IF(L18="GANANCIA",(K18-F18)*M18,IF(L18="BRUTO",K18*M18,"")))</f>
        <v/>
      </c>
      <c r="O18" s="9" t="str">
        <f aca="false">IF(D18="","",D18+30)</f>
        <v/>
      </c>
      <c r="P18" s="10" t="str">
        <f aca="false">IF(I18="","",IF(COUNTIF(Q18:AN18,TRUE())&gt;=I18,"PAGADO",IF(COUNTIF(Q18:AN18,TRUE())&gt;0,"PARCIAL","VIGENTE")))</f>
        <v/>
      </c>
      <c r="Q18" s="11" t="str">
        <f aca="false">IF(OR(I18="",I18&lt;1,O18=""),"",O18+0)</f>
        <v/>
      </c>
      <c r="R18" s="11" t="str">
        <f aca="false">IF(OR(I18="",I18&lt;2,O18=""),"",O18+30)</f>
        <v/>
      </c>
      <c r="S18" s="11" t="str">
        <f aca="false">IF(OR(I18="",I18&lt;3,O18=""),"",O18+60)</f>
        <v/>
      </c>
      <c r="T18" s="11" t="str">
        <f aca="false">IF(OR(I18="",I18&lt;4,O18=""),"",O18+90)</f>
        <v/>
      </c>
      <c r="U18" s="11" t="str">
        <f aca="false">IF(OR(I18="",I18&lt;5,O18=""),"",O18+120)</f>
        <v/>
      </c>
      <c r="V18" s="11" t="str">
        <f aca="false">IF(OR(I18="",I18&lt;6,O18=""),"",O18+150)</f>
        <v/>
      </c>
      <c r="W18" s="11" t="str">
        <f aca="false">IF(OR(I18="",I18&lt;7,O18=""),"",O18+180)</f>
        <v/>
      </c>
      <c r="X18" s="11" t="str">
        <f aca="false">IF(OR(I18="",I18&lt;8,O18=""),"",O18+210)</f>
        <v/>
      </c>
      <c r="Y18" s="11" t="str">
        <f aca="false">IF(OR(I18="",I18&lt;9,O18=""),"",O18+240)</f>
        <v/>
      </c>
      <c r="Z18" s="11" t="str">
        <f aca="false">IF(OR(I18="",I18&lt;10,O18=""),"",O18+270)</f>
        <v/>
      </c>
      <c r="AA18" s="11" t="str">
        <f aca="false">IF(OR(I18="",I18&lt;11,O18=""),"",O18+300)</f>
        <v/>
      </c>
      <c r="AB18" s="11" t="str">
        <f aca="false">IF(OR(I18="",I18&lt;12,O18=""),"",O18+330)</f>
        <v/>
      </c>
      <c r="AC18" s="11" t="str">
        <f aca="false">IF(OR(I18="",I18&lt;13,O18=""),"",O18+360)</f>
        <v/>
      </c>
      <c r="AD18" s="11" t="str">
        <f aca="false">IF(OR(I18="",I18&lt;14,O18=""),"",O18+390)</f>
        <v/>
      </c>
      <c r="AE18" s="11" t="str">
        <f aca="false">IF(OR(I18="",I18&lt;15,O18=""),"",O18+420)</f>
        <v/>
      </c>
      <c r="AF18" s="11" t="str">
        <f aca="false">IF(OR(I18="",I18&lt;16,O18=""),"",O18+450)</f>
        <v/>
      </c>
      <c r="AG18" s="11" t="str">
        <f aca="false">IF(OR(I18="",I18&lt;17,O18=""),"",O18+480)</f>
        <v/>
      </c>
      <c r="AH18" s="11" t="str">
        <f aca="false">IF(OR(I18="",I18&lt;18,O18=""),"",O18+510)</f>
        <v/>
      </c>
      <c r="AI18" s="11" t="str">
        <f aca="false">IF(OR(I18="",I18&lt;19,O18=""),"",O18+540)</f>
        <v/>
      </c>
      <c r="AJ18" s="11" t="str">
        <f aca="false">IF(OR(I18="",I18&lt;20,O18=""),"",O18+570)</f>
        <v/>
      </c>
      <c r="AK18" s="11" t="str">
        <f aca="false">IF(OR(I18="",I18&lt;21,O18=""),"",O18+600)</f>
        <v/>
      </c>
      <c r="AL18" s="11" t="str">
        <f aca="false">IF(OR(I18="",I18&lt;22,O18=""),"",O18+630)</f>
        <v/>
      </c>
      <c r="AM18" s="11" t="str">
        <f aca="false">IF(OR(I18="",I18&lt;23,O18=""),"",O18+660)</f>
        <v/>
      </c>
      <c r="AN18" s="11" t="str">
        <f aca="false">IF(OR(I18="",I18&lt;24,O18=""),"",O18+690)</f>
        <v/>
      </c>
      <c r="AO18" s="7" t="str">
        <f aca="false">IF(J18="","",COUNTIF(Q18:AN18,TRUE())*J18)</f>
        <v/>
      </c>
      <c r="AP18" s="7" t="str">
        <f aca="false">IF(K18="","",K18-AO18)</f>
        <v/>
      </c>
      <c r="AQ18" s="7" t="str">
        <f aca="false">IF(K18="","",K18-F18-IF(N18="",0,N18))</f>
        <v/>
      </c>
    </row>
    <row r="19" customFormat="false" ht="15" hidden="false" customHeight="false" outlineLevel="0" collapsed="false">
      <c r="A19" s="12"/>
      <c r="B19" s="12"/>
      <c r="C19" s="12"/>
      <c r="D19" s="13"/>
      <c r="E19" s="13"/>
      <c r="F19" s="14"/>
      <c r="G19" s="12"/>
      <c r="H19" s="12"/>
      <c r="I19" s="12"/>
      <c r="J19" s="14"/>
      <c r="K19" s="15" t="str">
        <f aca="false">IF(OR(I19="",J19=""),"",I19*J19)</f>
        <v/>
      </c>
      <c r="L19" s="12"/>
      <c r="M19" s="16"/>
      <c r="N19" s="15" t="str">
        <f aca="false">IF(OR(L19="",M19="",K19=""),"",IF(L19="GANANCIA",(K19-F19)*M19,IF(L19="BRUTO",K19*M19,"")))</f>
        <v/>
      </c>
      <c r="O19" s="17" t="str">
        <f aca="false">IF(D19="","",D19+30)</f>
        <v/>
      </c>
      <c r="P19" s="18" t="str">
        <f aca="false">IF(I19="","",IF(COUNTIF(Q19:AN19,TRUE())&gt;=I19,"PAGADO",IF(COUNTIF(Q19:AN19,TRUE())&gt;0,"PARCIAL","VIGENTE")))</f>
        <v/>
      </c>
      <c r="Q19" s="19" t="str">
        <f aca="false">IF(OR(I19="",I19&lt;1,O19=""),"",O19+0)</f>
        <v/>
      </c>
      <c r="R19" s="19" t="str">
        <f aca="false">IF(OR(I19="",I19&lt;2,O19=""),"",O19+30)</f>
        <v/>
      </c>
      <c r="S19" s="19" t="str">
        <f aca="false">IF(OR(I19="",I19&lt;3,O19=""),"",O19+60)</f>
        <v/>
      </c>
      <c r="T19" s="19" t="str">
        <f aca="false">IF(OR(I19="",I19&lt;4,O19=""),"",O19+90)</f>
        <v/>
      </c>
      <c r="U19" s="19" t="str">
        <f aca="false">IF(OR(I19="",I19&lt;5,O19=""),"",O19+120)</f>
        <v/>
      </c>
      <c r="V19" s="19" t="str">
        <f aca="false">IF(OR(I19="",I19&lt;6,O19=""),"",O19+150)</f>
        <v/>
      </c>
      <c r="W19" s="19" t="str">
        <f aca="false">IF(OR(I19="",I19&lt;7,O19=""),"",O19+180)</f>
        <v/>
      </c>
      <c r="X19" s="19" t="str">
        <f aca="false">IF(OR(I19="",I19&lt;8,O19=""),"",O19+210)</f>
        <v/>
      </c>
      <c r="Y19" s="19" t="str">
        <f aca="false">IF(OR(I19="",I19&lt;9,O19=""),"",O19+240)</f>
        <v/>
      </c>
      <c r="Z19" s="19" t="str">
        <f aca="false">IF(OR(I19="",I19&lt;10,O19=""),"",O19+270)</f>
        <v/>
      </c>
      <c r="AA19" s="19" t="str">
        <f aca="false">IF(OR(I19="",I19&lt;11,O19=""),"",O19+300)</f>
        <v/>
      </c>
      <c r="AB19" s="19" t="str">
        <f aca="false">IF(OR(I19="",I19&lt;12,O19=""),"",O19+330)</f>
        <v/>
      </c>
      <c r="AC19" s="19" t="str">
        <f aca="false">IF(OR(I19="",I19&lt;13,O19=""),"",O19+360)</f>
        <v/>
      </c>
      <c r="AD19" s="19" t="str">
        <f aca="false">IF(OR(I19="",I19&lt;14,O19=""),"",O19+390)</f>
        <v/>
      </c>
      <c r="AE19" s="19" t="str">
        <f aca="false">IF(OR(I19="",I19&lt;15,O19=""),"",O19+420)</f>
        <v/>
      </c>
      <c r="AF19" s="19" t="str">
        <f aca="false">IF(OR(I19="",I19&lt;16,O19=""),"",O19+450)</f>
        <v/>
      </c>
      <c r="AG19" s="19" t="str">
        <f aca="false">IF(OR(I19="",I19&lt;17,O19=""),"",O19+480)</f>
        <v/>
      </c>
      <c r="AH19" s="19" t="str">
        <f aca="false">IF(OR(I19="",I19&lt;18,O19=""),"",O19+510)</f>
        <v/>
      </c>
      <c r="AI19" s="19" t="str">
        <f aca="false">IF(OR(I19="",I19&lt;19,O19=""),"",O19+540)</f>
        <v/>
      </c>
      <c r="AJ19" s="19" t="str">
        <f aca="false">IF(OR(I19="",I19&lt;20,O19=""),"",O19+570)</f>
        <v/>
      </c>
      <c r="AK19" s="19" t="str">
        <f aca="false">IF(OR(I19="",I19&lt;21,O19=""),"",O19+600)</f>
        <v/>
      </c>
      <c r="AL19" s="19" t="str">
        <f aca="false">IF(OR(I19="",I19&lt;22,O19=""),"",O19+630)</f>
        <v/>
      </c>
      <c r="AM19" s="19" t="str">
        <f aca="false">IF(OR(I19="",I19&lt;23,O19=""),"",O19+660)</f>
        <v/>
      </c>
      <c r="AN19" s="19" t="str">
        <f aca="false">IF(OR(I19="",I19&lt;24,O19=""),"",O19+690)</f>
        <v/>
      </c>
      <c r="AO19" s="15" t="str">
        <f aca="false">IF(J19="","",COUNTIF(Q19:AN19,TRUE())*J19)</f>
        <v/>
      </c>
      <c r="AP19" s="15" t="str">
        <f aca="false">IF(K19="","",K19-AO19)</f>
        <v/>
      </c>
      <c r="AQ19" s="15" t="str">
        <f aca="false">IF(K19="","",K19-F19-IF(N19="",0,N19))</f>
        <v/>
      </c>
    </row>
    <row r="20" customFormat="false" ht="15" hidden="false" customHeight="false" outlineLevel="0" collapsed="false">
      <c r="A20" s="4"/>
      <c r="B20" s="4"/>
      <c r="C20" s="4"/>
      <c r="D20" s="5"/>
      <c r="E20" s="5"/>
      <c r="F20" s="6"/>
      <c r="G20" s="4"/>
      <c r="H20" s="4"/>
      <c r="I20" s="4"/>
      <c r="J20" s="6"/>
      <c r="K20" s="7" t="str">
        <f aca="false">IF(OR(I20="",J20=""),"",I20*J20)</f>
        <v/>
      </c>
      <c r="L20" s="4"/>
      <c r="M20" s="8"/>
      <c r="N20" s="7" t="str">
        <f aca="false">IF(OR(L20="",M20="",K20=""),"",IF(L20="GANANCIA",(K20-F20)*M20,IF(L20="BRUTO",K20*M20,"")))</f>
        <v/>
      </c>
      <c r="O20" s="9" t="str">
        <f aca="false">IF(D20="","",D20+30)</f>
        <v/>
      </c>
      <c r="P20" s="10" t="str">
        <f aca="false">IF(I20="","",IF(COUNTIF(Q20:AN20,TRUE())&gt;=I20,"PAGADO",IF(COUNTIF(Q20:AN20,TRUE())&gt;0,"PARCIAL","VIGENTE")))</f>
        <v/>
      </c>
      <c r="Q20" s="11" t="str">
        <f aca="false">IF(OR(I20="",I20&lt;1,O20=""),"",O20+0)</f>
        <v/>
      </c>
      <c r="R20" s="11" t="str">
        <f aca="false">IF(OR(I20="",I20&lt;2,O20=""),"",O20+30)</f>
        <v/>
      </c>
      <c r="S20" s="11" t="str">
        <f aca="false">IF(OR(I20="",I20&lt;3,O20=""),"",O20+60)</f>
        <v/>
      </c>
      <c r="T20" s="11" t="str">
        <f aca="false">IF(OR(I20="",I20&lt;4,O20=""),"",O20+90)</f>
        <v/>
      </c>
      <c r="U20" s="11" t="str">
        <f aca="false">IF(OR(I20="",I20&lt;5,O20=""),"",O20+120)</f>
        <v/>
      </c>
      <c r="V20" s="11" t="str">
        <f aca="false">IF(OR(I20="",I20&lt;6,O20=""),"",O20+150)</f>
        <v/>
      </c>
      <c r="W20" s="11" t="str">
        <f aca="false">IF(OR(I20="",I20&lt;7,O20=""),"",O20+180)</f>
        <v/>
      </c>
      <c r="X20" s="11" t="str">
        <f aca="false">IF(OR(I20="",I20&lt;8,O20=""),"",O20+210)</f>
        <v/>
      </c>
      <c r="Y20" s="11" t="str">
        <f aca="false">IF(OR(I20="",I20&lt;9,O20=""),"",O20+240)</f>
        <v/>
      </c>
      <c r="Z20" s="11" t="str">
        <f aca="false">IF(OR(I20="",I20&lt;10,O20=""),"",O20+270)</f>
        <v/>
      </c>
      <c r="AA20" s="11" t="str">
        <f aca="false">IF(OR(I20="",I20&lt;11,O20=""),"",O20+300)</f>
        <v/>
      </c>
      <c r="AB20" s="11" t="str">
        <f aca="false">IF(OR(I20="",I20&lt;12,O20=""),"",O20+330)</f>
        <v/>
      </c>
      <c r="AC20" s="11" t="str">
        <f aca="false">IF(OR(I20="",I20&lt;13,O20=""),"",O20+360)</f>
        <v/>
      </c>
      <c r="AD20" s="11" t="str">
        <f aca="false">IF(OR(I20="",I20&lt;14,O20=""),"",O20+390)</f>
        <v/>
      </c>
      <c r="AE20" s="11" t="str">
        <f aca="false">IF(OR(I20="",I20&lt;15,O20=""),"",O20+420)</f>
        <v/>
      </c>
      <c r="AF20" s="11" t="str">
        <f aca="false">IF(OR(I20="",I20&lt;16,O20=""),"",O20+450)</f>
        <v/>
      </c>
      <c r="AG20" s="11" t="str">
        <f aca="false">IF(OR(I20="",I20&lt;17,O20=""),"",O20+480)</f>
        <v/>
      </c>
      <c r="AH20" s="11" t="str">
        <f aca="false">IF(OR(I20="",I20&lt;18,O20=""),"",O20+510)</f>
        <v/>
      </c>
      <c r="AI20" s="11" t="str">
        <f aca="false">IF(OR(I20="",I20&lt;19,O20=""),"",O20+540)</f>
        <v/>
      </c>
      <c r="AJ20" s="11" t="str">
        <f aca="false">IF(OR(I20="",I20&lt;20,O20=""),"",O20+570)</f>
        <v/>
      </c>
      <c r="AK20" s="11" t="str">
        <f aca="false">IF(OR(I20="",I20&lt;21,O20=""),"",O20+600)</f>
        <v/>
      </c>
      <c r="AL20" s="11" t="str">
        <f aca="false">IF(OR(I20="",I20&lt;22,O20=""),"",O20+630)</f>
        <v/>
      </c>
      <c r="AM20" s="11" t="str">
        <f aca="false">IF(OR(I20="",I20&lt;23,O20=""),"",O20+660)</f>
        <v/>
      </c>
      <c r="AN20" s="11" t="str">
        <f aca="false">IF(OR(I20="",I20&lt;24,O20=""),"",O20+690)</f>
        <v/>
      </c>
      <c r="AO20" s="7" t="str">
        <f aca="false">IF(J20="","",COUNTIF(Q20:AN20,TRUE())*J20)</f>
        <v/>
      </c>
      <c r="AP20" s="7" t="str">
        <f aca="false">IF(K20="","",K20-AO20)</f>
        <v/>
      </c>
      <c r="AQ20" s="7" t="str">
        <f aca="false">IF(K20="","",K20-F20-IF(N20="",0,N20))</f>
        <v/>
      </c>
    </row>
    <row r="21" customFormat="false" ht="15" hidden="false" customHeight="false" outlineLevel="0" collapsed="false">
      <c r="A21" s="12"/>
      <c r="B21" s="12"/>
      <c r="C21" s="12"/>
      <c r="D21" s="13"/>
      <c r="E21" s="13"/>
      <c r="F21" s="14"/>
      <c r="G21" s="12"/>
      <c r="H21" s="12"/>
      <c r="I21" s="12"/>
      <c r="J21" s="14"/>
      <c r="K21" s="15" t="str">
        <f aca="false">IF(OR(I21="",J21=""),"",I21*J21)</f>
        <v/>
      </c>
      <c r="L21" s="12"/>
      <c r="M21" s="16"/>
      <c r="N21" s="15" t="str">
        <f aca="false">IF(OR(L21="",M21="",K21=""),"",IF(L21="GANANCIA",(K21-F21)*M21,IF(L21="BRUTO",K21*M21,"")))</f>
        <v/>
      </c>
      <c r="O21" s="17" t="str">
        <f aca="false">IF(D21="","",D21+30)</f>
        <v/>
      </c>
      <c r="P21" s="18" t="str">
        <f aca="false">IF(I21="","",IF(COUNTIF(Q21:AN21,TRUE())&gt;=I21,"PAGADO",IF(COUNTIF(Q21:AN21,TRUE())&gt;0,"PARCIAL","VIGENTE")))</f>
        <v/>
      </c>
      <c r="Q21" s="19" t="str">
        <f aca="false">IF(OR(I21="",I21&lt;1,O21=""),"",O21+0)</f>
        <v/>
      </c>
      <c r="R21" s="19" t="str">
        <f aca="false">IF(OR(I21="",I21&lt;2,O21=""),"",O21+30)</f>
        <v/>
      </c>
      <c r="S21" s="19" t="str">
        <f aca="false">IF(OR(I21="",I21&lt;3,O21=""),"",O21+60)</f>
        <v/>
      </c>
      <c r="T21" s="19" t="str">
        <f aca="false">IF(OR(I21="",I21&lt;4,O21=""),"",O21+90)</f>
        <v/>
      </c>
      <c r="U21" s="19" t="str">
        <f aca="false">IF(OR(I21="",I21&lt;5,O21=""),"",O21+120)</f>
        <v/>
      </c>
      <c r="V21" s="19" t="str">
        <f aca="false">IF(OR(I21="",I21&lt;6,O21=""),"",O21+150)</f>
        <v/>
      </c>
      <c r="W21" s="19" t="str">
        <f aca="false">IF(OR(I21="",I21&lt;7,O21=""),"",O21+180)</f>
        <v/>
      </c>
      <c r="X21" s="19" t="str">
        <f aca="false">IF(OR(I21="",I21&lt;8,O21=""),"",O21+210)</f>
        <v/>
      </c>
      <c r="Y21" s="19" t="str">
        <f aca="false">IF(OR(I21="",I21&lt;9,O21=""),"",O21+240)</f>
        <v/>
      </c>
      <c r="Z21" s="19" t="str">
        <f aca="false">IF(OR(I21="",I21&lt;10,O21=""),"",O21+270)</f>
        <v/>
      </c>
      <c r="AA21" s="19" t="str">
        <f aca="false">IF(OR(I21="",I21&lt;11,O21=""),"",O21+300)</f>
        <v/>
      </c>
      <c r="AB21" s="19" t="str">
        <f aca="false">IF(OR(I21="",I21&lt;12,O21=""),"",O21+330)</f>
        <v/>
      </c>
      <c r="AC21" s="19" t="str">
        <f aca="false">IF(OR(I21="",I21&lt;13,O21=""),"",O21+360)</f>
        <v/>
      </c>
      <c r="AD21" s="19" t="str">
        <f aca="false">IF(OR(I21="",I21&lt;14,O21=""),"",O21+390)</f>
        <v/>
      </c>
      <c r="AE21" s="19" t="str">
        <f aca="false">IF(OR(I21="",I21&lt;15,O21=""),"",O21+420)</f>
        <v/>
      </c>
      <c r="AF21" s="19" t="str">
        <f aca="false">IF(OR(I21="",I21&lt;16,O21=""),"",O21+450)</f>
        <v/>
      </c>
      <c r="AG21" s="19" t="str">
        <f aca="false">IF(OR(I21="",I21&lt;17,O21=""),"",O21+480)</f>
        <v/>
      </c>
      <c r="AH21" s="19" t="str">
        <f aca="false">IF(OR(I21="",I21&lt;18,O21=""),"",O21+510)</f>
        <v/>
      </c>
      <c r="AI21" s="19" t="str">
        <f aca="false">IF(OR(I21="",I21&lt;19,O21=""),"",O21+540)</f>
        <v/>
      </c>
      <c r="AJ21" s="19" t="str">
        <f aca="false">IF(OR(I21="",I21&lt;20,O21=""),"",O21+570)</f>
        <v/>
      </c>
      <c r="AK21" s="19" t="str">
        <f aca="false">IF(OR(I21="",I21&lt;21,O21=""),"",O21+600)</f>
        <v/>
      </c>
      <c r="AL21" s="19" t="str">
        <f aca="false">IF(OR(I21="",I21&lt;22,O21=""),"",O21+630)</f>
        <v/>
      </c>
      <c r="AM21" s="19" t="str">
        <f aca="false">IF(OR(I21="",I21&lt;23,O21=""),"",O21+660)</f>
        <v/>
      </c>
      <c r="AN21" s="19" t="str">
        <f aca="false">IF(OR(I21="",I21&lt;24,O21=""),"",O21+690)</f>
        <v/>
      </c>
      <c r="AO21" s="15" t="str">
        <f aca="false">IF(J21="","",COUNTIF(Q21:AN21,TRUE())*J21)</f>
        <v/>
      </c>
      <c r="AP21" s="15" t="str">
        <f aca="false">IF(K21="","",K21-AO21)</f>
        <v/>
      </c>
      <c r="AQ21" s="15" t="str">
        <f aca="false">IF(K21="","",K21-F21-IF(N21="",0,N21))</f>
        <v/>
      </c>
    </row>
    <row r="22" customFormat="false" ht="15" hidden="false" customHeight="false" outlineLevel="0" collapsed="false">
      <c r="A22" s="4"/>
      <c r="B22" s="4"/>
      <c r="C22" s="4"/>
      <c r="D22" s="5"/>
      <c r="E22" s="5"/>
      <c r="F22" s="6"/>
      <c r="G22" s="4"/>
      <c r="H22" s="4"/>
      <c r="I22" s="4"/>
      <c r="J22" s="6"/>
      <c r="K22" s="7" t="str">
        <f aca="false">IF(OR(I22="",J22=""),"",I22*J22)</f>
        <v/>
      </c>
      <c r="L22" s="4"/>
      <c r="M22" s="8"/>
      <c r="N22" s="7" t="str">
        <f aca="false">IF(OR(L22="",M22="",K22=""),"",IF(L22="GANANCIA",(K22-F22)*M22,IF(L22="BRUTO",K22*M22,"")))</f>
        <v/>
      </c>
      <c r="O22" s="9" t="str">
        <f aca="false">IF(D22="","",D22+30)</f>
        <v/>
      </c>
      <c r="P22" s="10" t="str">
        <f aca="false">IF(I22="","",IF(COUNTIF(Q22:AN22,TRUE())&gt;=I22,"PAGADO",IF(COUNTIF(Q22:AN22,TRUE())&gt;0,"PARCIAL","VIGENTE")))</f>
        <v/>
      </c>
      <c r="Q22" s="11" t="str">
        <f aca="false">IF(OR(I22="",I22&lt;1,O22=""),"",O22+0)</f>
        <v/>
      </c>
      <c r="R22" s="11" t="str">
        <f aca="false">IF(OR(I22="",I22&lt;2,O22=""),"",O22+30)</f>
        <v/>
      </c>
      <c r="S22" s="11" t="str">
        <f aca="false">IF(OR(I22="",I22&lt;3,O22=""),"",O22+60)</f>
        <v/>
      </c>
      <c r="T22" s="11" t="str">
        <f aca="false">IF(OR(I22="",I22&lt;4,O22=""),"",O22+90)</f>
        <v/>
      </c>
      <c r="U22" s="11" t="str">
        <f aca="false">IF(OR(I22="",I22&lt;5,O22=""),"",O22+120)</f>
        <v/>
      </c>
      <c r="V22" s="11" t="str">
        <f aca="false">IF(OR(I22="",I22&lt;6,O22=""),"",O22+150)</f>
        <v/>
      </c>
      <c r="W22" s="11" t="str">
        <f aca="false">IF(OR(I22="",I22&lt;7,O22=""),"",O22+180)</f>
        <v/>
      </c>
      <c r="X22" s="11" t="str">
        <f aca="false">IF(OR(I22="",I22&lt;8,O22=""),"",O22+210)</f>
        <v/>
      </c>
      <c r="Y22" s="11" t="str">
        <f aca="false">IF(OR(I22="",I22&lt;9,O22=""),"",O22+240)</f>
        <v/>
      </c>
      <c r="Z22" s="11" t="str">
        <f aca="false">IF(OR(I22="",I22&lt;10,O22=""),"",O22+270)</f>
        <v/>
      </c>
      <c r="AA22" s="11" t="str">
        <f aca="false">IF(OR(I22="",I22&lt;11,O22=""),"",O22+300)</f>
        <v/>
      </c>
      <c r="AB22" s="11" t="str">
        <f aca="false">IF(OR(I22="",I22&lt;12,O22=""),"",O22+330)</f>
        <v/>
      </c>
      <c r="AC22" s="11" t="str">
        <f aca="false">IF(OR(I22="",I22&lt;13,O22=""),"",O22+360)</f>
        <v/>
      </c>
      <c r="AD22" s="11" t="str">
        <f aca="false">IF(OR(I22="",I22&lt;14,O22=""),"",O22+390)</f>
        <v/>
      </c>
      <c r="AE22" s="11" t="str">
        <f aca="false">IF(OR(I22="",I22&lt;15,O22=""),"",O22+420)</f>
        <v/>
      </c>
      <c r="AF22" s="11" t="str">
        <f aca="false">IF(OR(I22="",I22&lt;16,O22=""),"",O22+450)</f>
        <v/>
      </c>
      <c r="AG22" s="11" t="str">
        <f aca="false">IF(OR(I22="",I22&lt;17,O22=""),"",O22+480)</f>
        <v/>
      </c>
      <c r="AH22" s="11" t="str">
        <f aca="false">IF(OR(I22="",I22&lt;18,O22=""),"",O22+510)</f>
        <v/>
      </c>
      <c r="AI22" s="11" t="str">
        <f aca="false">IF(OR(I22="",I22&lt;19,O22=""),"",O22+540)</f>
        <v/>
      </c>
      <c r="AJ22" s="11" t="str">
        <f aca="false">IF(OR(I22="",I22&lt;20,O22=""),"",O22+570)</f>
        <v/>
      </c>
      <c r="AK22" s="11" t="str">
        <f aca="false">IF(OR(I22="",I22&lt;21,O22=""),"",O22+600)</f>
        <v/>
      </c>
      <c r="AL22" s="11" t="str">
        <f aca="false">IF(OR(I22="",I22&lt;22,O22=""),"",O22+630)</f>
        <v/>
      </c>
      <c r="AM22" s="11" t="str">
        <f aca="false">IF(OR(I22="",I22&lt;23,O22=""),"",O22+660)</f>
        <v/>
      </c>
      <c r="AN22" s="11" t="str">
        <f aca="false">IF(OR(I22="",I22&lt;24,O22=""),"",O22+690)</f>
        <v/>
      </c>
      <c r="AO22" s="7" t="str">
        <f aca="false">IF(J22="","",COUNTIF(Q22:AN22,TRUE())*J22)</f>
        <v/>
      </c>
      <c r="AP22" s="7" t="str">
        <f aca="false">IF(K22="","",K22-AO22)</f>
        <v/>
      </c>
      <c r="AQ22" s="7" t="str">
        <f aca="false">IF(K22="","",K22-F22-IF(N22="",0,N22))</f>
        <v/>
      </c>
    </row>
    <row r="23" customFormat="false" ht="15" hidden="false" customHeight="false" outlineLevel="0" collapsed="false">
      <c r="A23" s="12"/>
      <c r="B23" s="12"/>
      <c r="C23" s="12"/>
      <c r="D23" s="13"/>
      <c r="E23" s="13"/>
      <c r="F23" s="14"/>
      <c r="G23" s="12"/>
      <c r="H23" s="12"/>
      <c r="I23" s="12"/>
      <c r="J23" s="14"/>
      <c r="K23" s="15" t="str">
        <f aca="false">IF(OR(I23="",J23=""),"",I23*J23)</f>
        <v/>
      </c>
      <c r="L23" s="12"/>
      <c r="M23" s="16"/>
      <c r="N23" s="15" t="str">
        <f aca="false">IF(OR(L23="",M23="",K23=""),"",IF(L23="GANANCIA",(K23-F23)*M23,IF(L23="BRUTO",K23*M23,"")))</f>
        <v/>
      </c>
      <c r="O23" s="17" t="str">
        <f aca="false">IF(D23="","",D23+30)</f>
        <v/>
      </c>
      <c r="P23" s="18" t="str">
        <f aca="false">IF(I23="","",IF(COUNTIF(Q23:AN23,TRUE())&gt;=I23,"PAGADO",IF(COUNTIF(Q23:AN23,TRUE())&gt;0,"PARCIAL","VIGENTE")))</f>
        <v/>
      </c>
      <c r="Q23" s="19" t="str">
        <f aca="false">IF(OR(I23="",I23&lt;1,O23=""),"",O23+0)</f>
        <v/>
      </c>
      <c r="R23" s="19" t="str">
        <f aca="false">IF(OR(I23="",I23&lt;2,O23=""),"",O23+30)</f>
        <v/>
      </c>
      <c r="S23" s="19" t="str">
        <f aca="false">IF(OR(I23="",I23&lt;3,O23=""),"",O23+60)</f>
        <v/>
      </c>
      <c r="T23" s="19" t="str">
        <f aca="false">IF(OR(I23="",I23&lt;4,O23=""),"",O23+90)</f>
        <v/>
      </c>
      <c r="U23" s="19" t="str">
        <f aca="false">IF(OR(I23="",I23&lt;5,O23=""),"",O23+120)</f>
        <v/>
      </c>
      <c r="V23" s="19" t="str">
        <f aca="false">IF(OR(I23="",I23&lt;6,O23=""),"",O23+150)</f>
        <v/>
      </c>
      <c r="W23" s="19" t="str">
        <f aca="false">IF(OR(I23="",I23&lt;7,O23=""),"",O23+180)</f>
        <v/>
      </c>
      <c r="X23" s="19" t="str">
        <f aca="false">IF(OR(I23="",I23&lt;8,O23=""),"",O23+210)</f>
        <v/>
      </c>
      <c r="Y23" s="19" t="str">
        <f aca="false">IF(OR(I23="",I23&lt;9,O23=""),"",O23+240)</f>
        <v/>
      </c>
      <c r="Z23" s="19" t="str">
        <f aca="false">IF(OR(I23="",I23&lt;10,O23=""),"",O23+270)</f>
        <v/>
      </c>
      <c r="AA23" s="19" t="str">
        <f aca="false">IF(OR(I23="",I23&lt;11,O23=""),"",O23+300)</f>
        <v/>
      </c>
      <c r="AB23" s="19" t="str">
        <f aca="false">IF(OR(I23="",I23&lt;12,O23=""),"",O23+330)</f>
        <v/>
      </c>
      <c r="AC23" s="19" t="str">
        <f aca="false">IF(OR(I23="",I23&lt;13,O23=""),"",O23+360)</f>
        <v/>
      </c>
      <c r="AD23" s="19" t="str">
        <f aca="false">IF(OR(I23="",I23&lt;14,O23=""),"",O23+390)</f>
        <v/>
      </c>
      <c r="AE23" s="19" t="str">
        <f aca="false">IF(OR(I23="",I23&lt;15,O23=""),"",O23+420)</f>
        <v/>
      </c>
      <c r="AF23" s="19" t="str">
        <f aca="false">IF(OR(I23="",I23&lt;16,O23=""),"",O23+450)</f>
        <v/>
      </c>
      <c r="AG23" s="19" t="str">
        <f aca="false">IF(OR(I23="",I23&lt;17,O23=""),"",O23+480)</f>
        <v/>
      </c>
      <c r="AH23" s="19" t="str">
        <f aca="false">IF(OR(I23="",I23&lt;18,O23=""),"",O23+510)</f>
        <v/>
      </c>
      <c r="AI23" s="19" t="str">
        <f aca="false">IF(OR(I23="",I23&lt;19,O23=""),"",O23+540)</f>
        <v/>
      </c>
      <c r="AJ23" s="19" t="str">
        <f aca="false">IF(OR(I23="",I23&lt;20,O23=""),"",O23+570)</f>
        <v/>
      </c>
      <c r="AK23" s="19" t="str">
        <f aca="false">IF(OR(I23="",I23&lt;21,O23=""),"",O23+600)</f>
        <v/>
      </c>
      <c r="AL23" s="19" t="str">
        <f aca="false">IF(OR(I23="",I23&lt;22,O23=""),"",O23+630)</f>
        <v/>
      </c>
      <c r="AM23" s="19" t="str">
        <f aca="false">IF(OR(I23="",I23&lt;23,O23=""),"",O23+660)</f>
        <v/>
      </c>
      <c r="AN23" s="19" t="str">
        <f aca="false">IF(OR(I23="",I23&lt;24,O23=""),"",O23+690)</f>
        <v/>
      </c>
      <c r="AO23" s="15" t="str">
        <f aca="false">IF(J23="","",COUNTIF(Q23:AN23,TRUE())*J23)</f>
        <v/>
      </c>
      <c r="AP23" s="15" t="str">
        <f aca="false">IF(K23="","",K23-AO23)</f>
        <v/>
      </c>
      <c r="AQ23" s="15" t="str">
        <f aca="false">IF(K23="","",K23-F23-IF(N23="",0,N23))</f>
        <v/>
      </c>
    </row>
    <row r="24" customFormat="false" ht="15" hidden="false" customHeight="false" outlineLevel="0" collapsed="false">
      <c r="A24" s="4"/>
      <c r="B24" s="4"/>
      <c r="C24" s="4"/>
      <c r="D24" s="5"/>
      <c r="E24" s="5"/>
      <c r="F24" s="6"/>
      <c r="G24" s="4"/>
      <c r="H24" s="4"/>
      <c r="I24" s="4"/>
      <c r="J24" s="6"/>
      <c r="K24" s="7" t="str">
        <f aca="false">IF(OR(I24="",J24=""),"",I24*J24)</f>
        <v/>
      </c>
      <c r="L24" s="4"/>
      <c r="M24" s="8"/>
      <c r="N24" s="7" t="str">
        <f aca="false">IF(OR(L24="",M24="",K24=""),"",IF(L24="GANANCIA",(K24-F24)*M24,IF(L24="BRUTO",K24*M24,"")))</f>
        <v/>
      </c>
      <c r="O24" s="9" t="str">
        <f aca="false">IF(D24="","",D24+30)</f>
        <v/>
      </c>
      <c r="P24" s="10" t="str">
        <f aca="false">IF(I24="","",IF(COUNTIF(Q24:AN24,TRUE())&gt;=I24,"PAGADO",IF(COUNTIF(Q24:AN24,TRUE())&gt;0,"PARCIAL","VIGENTE")))</f>
        <v/>
      </c>
      <c r="Q24" s="11" t="str">
        <f aca="false">IF(OR(I24="",I24&lt;1,O24=""),"",O24+0)</f>
        <v/>
      </c>
      <c r="R24" s="11" t="str">
        <f aca="false">IF(OR(I24="",I24&lt;2,O24=""),"",O24+30)</f>
        <v/>
      </c>
      <c r="S24" s="11" t="str">
        <f aca="false">IF(OR(I24="",I24&lt;3,O24=""),"",O24+60)</f>
        <v/>
      </c>
      <c r="T24" s="11" t="str">
        <f aca="false">IF(OR(I24="",I24&lt;4,O24=""),"",O24+90)</f>
        <v/>
      </c>
      <c r="U24" s="11" t="str">
        <f aca="false">IF(OR(I24="",I24&lt;5,O24=""),"",O24+120)</f>
        <v/>
      </c>
      <c r="V24" s="11" t="str">
        <f aca="false">IF(OR(I24="",I24&lt;6,O24=""),"",O24+150)</f>
        <v/>
      </c>
      <c r="W24" s="11" t="str">
        <f aca="false">IF(OR(I24="",I24&lt;7,O24=""),"",O24+180)</f>
        <v/>
      </c>
      <c r="X24" s="11" t="str">
        <f aca="false">IF(OR(I24="",I24&lt;8,O24=""),"",O24+210)</f>
        <v/>
      </c>
      <c r="Y24" s="11" t="str">
        <f aca="false">IF(OR(I24="",I24&lt;9,O24=""),"",O24+240)</f>
        <v/>
      </c>
      <c r="Z24" s="11" t="str">
        <f aca="false">IF(OR(I24="",I24&lt;10,O24=""),"",O24+270)</f>
        <v/>
      </c>
      <c r="AA24" s="11" t="str">
        <f aca="false">IF(OR(I24="",I24&lt;11,O24=""),"",O24+300)</f>
        <v/>
      </c>
      <c r="AB24" s="11" t="str">
        <f aca="false">IF(OR(I24="",I24&lt;12,O24=""),"",O24+330)</f>
        <v/>
      </c>
      <c r="AC24" s="11" t="str">
        <f aca="false">IF(OR(I24="",I24&lt;13,O24=""),"",O24+360)</f>
        <v/>
      </c>
      <c r="AD24" s="11" t="str">
        <f aca="false">IF(OR(I24="",I24&lt;14,O24=""),"",O24+390)</f>
        <v/>
      </c>
      <c r="AE24" s="11" t="str">
        <f aca="false">IF(OR(I24="",I24&lt;15,O24=""),"",O24+420)</f>
        <v/>
      </c>
      <c r="AF24" s="11" t="str">
        <f aca="false">IF(OR(I24="",I24&lt;16,O24=""),"",O24+450)</f>
        <v/>
      </c>
      <c r="AG24" s="11" t="str">
        <f aca="false">IF(OR(I24="",I24&lt;17,O24=""),"",O24+480)</f>
        <v/>
      </c>
      <c r="AH24" s="11" t="str">
        <f aca="false">IF(OR(I24="",I24&lt;18,O24=""),"",O24+510)</f>
        <v/>
      </c>
      <c r="AI24" s="11" t="str">
        <f aca="false">IF(OR(I24="",I24&lt;19,O24=""),"",O24+540)</f>
        <v/>
      </c>
      <c r="AJ24" s="11" t="str">
        <f aca="false">IF(OR(I24="",I24&lt;20,O24=""),"",O24+570)</f>
        <v/>
      </c>
      <c r="AK24" s="11" t="str">
        <f aca="false">IF(OR(I24="",I24&lt;21,O24=""),"",O24+600)</f>
        <v/>
      </c>
      <c r="AL24" s="11" t="str">
        <f aca="false">IF(OR(I24="",I24&lt;22,O24=""),"",O24+630)</f>
        <v/>
      </c>
      <c r="AM24" s="11" t="str">
        <f aca="false">IF(OR(I24="",I24&lt;23,O24=""),"",O24+660)</f>
        <v/>
      </c>
      <c r="AN24" s="11" t="str">
        <f aca="false">IF(OR(I24="",I24&lt;24,O24=""),"",O24+690)</f>
        <v/>
      </c>
      <c r="AO24" s="7" t="str">
        <f aca="false">IF(J24="","",COUNTIF(Q24:AN24,TRUE())*J24)</f>
        <v/>
      </c>
      <c r="AP24" s="7" t="str">
        <f aca="false">IF(K24="","",K24-AO24)</f>
        <v/>
      </c>
      <c r="AQ24" s="7" t="str">
        <f aca="false">IF(K24="","",K24-F24-IF(N24="",0,N24))</f>
        <v/>
      </c>
    </row>
    <row r="25" customFormat="false" ht="15" hidden="false" customHeight="false" outlineLevel="0" collapsed="false">
      <c r="A25" s="12"/>
      <c r="B25" s="12"/>
      <c r="C25" s="12"/>
      <c r="D25" s="13"/>
      <c r="E25" s="13"/>
      <c r="F25" s="14"/>
      <c r="G25" s="12"/>
      <c r="H25" s="12"/>
      <c r="I25" s="12"/>
      <c r="J25" s="14"/>
      <c r="K25" s="15" t="str">
        <f aca="false">IF(OR(I25="",J25=""),"",I25*J25)</f>
        <v/>
      </c>
      <c r="L25" s="12"/>
      <c r="M25" s="16"/>
      <c r="N25" s="15" t="str">
        <f aca="false">IF(OR(L25="",M25="",K25=""),"",IF(L25="GANANCIA",(K25-F25)*M25,IF(L25="BRUTO",K25*M25,"")))</f>
        <v/>
      </c>
      <c r="O25" s="17" t="str">
        <f aca="false">IF(D25="","",D25+30)</f>
        <v/>
      </c>
      <c r="P25" s="18" t="str">
        <f aca="false">IF(I25="","",IF(COUNTIF(Q25:AN25,TRUE())&gt;=I25,"PAGADO",IF(COUNTIF(Q25:AN25,TRUE())&gt;0,"PARCIAL","VIGENTE")))</f>
        <v/>
      </c>
      <c r="Q25" s="19" t="str">
        <f aca="false">IF(OR(I25="",I25&lt;1,O25=""),"",O25+0)</f>
        <v/>
      </c>
      <c r="R25" s="19" t="str">
        <f aca="false">IF(OR(I25="",I25&lt;2,O25=""),"",O25+30)</f>
        <v/>
      </c>
      <c r="S25" s="19" t="str">
        <f aca="false">IF(OR(I25="",I25&lt;3,O25=""),"",O25+60)</f>
        <v/>
      </c>
      <c r="T25" s="19" t="str">
        <f aca="false">IF(OR(I25="",I25&lt;4,O25=""),"",O25+90)</f>
        <v/>
      </c>
      <c r="U25" s="19" t="str">
        <f aca="false">IF(OR(I25="",I25&lt;5,O25=""),"",O25+120)</f>
        <v/>
      </c>
      <c r="V25" s="19" t="str">
        <f aca="false">IF(OR(I25="",I25&lt;6,O25=""),"",O25+150)</f>
        <v/>
      </c>
      <c r="W25" s="19" t="str">
        <f aca="false">IF(OR(I25="",I25&lt;7,O25=""),"",O25+180)</f>
        <v/>
      </c>
      <c r="X25" s="19" t="str">
        <f aca="false">IF(OR(I25="",I25&lt;8,O25=""),"",O25+210)</f>
        <v/>
      </c>
      <c r="Y25" s="19" t="str">
        <f aca="false">IF(OR(I25="",I25&lt;9,O25=""),"",O25+240)</f>
        <v/>
      </c>
      <c r="Z25" s="19" t="str">
        <f aca="false">IF(OR(I25="",I25&lt;10,O25=""),"",O25+270)</f>
        <v/>
      </c>
      <c r="AA25" s="19" t="str">
        <f aca="false">IF(OR(I25="",I25&lt;11,O25=""),"",O25+300)</f>
        <v/>
      </c>
      <c r="AB25" s="19" t="str">
        <f aca="false">IF(OR(I25="",I25&lt;12,O25=""),"",O25+330)</f>
        <v/>
      </c>
      <c r="AC25" s="19" t="str">
        <f aca="false">IF(OR(I25="",I25&lt;13,O25=""),"",O25+360)</f>
        <v/>
      </c>
      <c r="AD25" s="19" t="str">
        <f aca="false">IF(OR(I25="",I25&lt;14,O25=""),"",O25+390)</f>
        <v/>
      </c>
      <c r="AE25" s="19" t="str">
        <f aca="false">IF(OR(I25="",I25&lt;15,O25=""),"",O25+420)</f>
        <v/>
      </c>
      <c r="AF25" s="19" t="str">
        <f aca="false">IF(OR(I25="",I25&lt;16,O25=""),"",O25+450)</f>
        <v/>
      </c>
      <c r="AG25" s="19" t="str">
        <f aca="false">IF(OR(I25="",I25&lt;17,O25=""),"",O25+480)</f>
        <v/>
      </c>
      <c r="AH25" s="19" t="str">
        <f aca="false">IF(OR(I25="",I25&lt;18,O25=""),"",O25+510)</f>
        <v/>
      </c>
      <c r="AI25" s="19" t="str">
        <f aca="false">IF(OR(I25="",I25&lt;19,O25=""),"",O25+540)</f>
        <v/>
      </c>
      <c r="AJ25" s="19" t="str">
        <f aca="false">IF(OR(I25="",I25&lt;20,O25=""),"",O25+570)</f>
        <v/>
      </c>
      <c r="AK25" s="19" t="str">
        <f aca="false">IF(OR(I25="",I25&lt;21,O25=""),"",O25+600)</f>
        <v/>
      </c>
      <c r="AL25" s="19" t="str">
        <f aca="false">IF(OR(I25="",I25&lt;22,O25=""),"",O25+630)</f>
        <v/>
      </c>
      <c r="AM25" s="19" t="str">
        <f aca="false">IF(OR(I25="",I25&lt;23,O25=""),"",O25+660)</f>
        <v/>
      </c>
      <c r="AN25" s="19" t="str">
        <f aca="false">IF(OR(I25="",I25&lt;24,O25=""),"",O25+690)</f>
        <v/>
      </c>
      <c r="AO25" s="15" t="str">
        <f aca="false">IF(J25="","",COUNTIF(Q25:AN25,TRUE())*J25)</f>
        <v/>
      </c>
      <c r="AP25" s="15" t="str">
        <f aca="false">IF(K25="","",K25-AO25)</f>
        <v/>
      </c>
      <c r="AQ25" s="15" t="str">
        <f aca="false">IF(K25="","",K25-F25-IF(N25="",0,N25))</f>
        <v/>
      </c>
    </row>
    <row r="26" customFormat="false" ht="15" hidden="false" customHeight="false" outlineLevel="0" collapsed="false">
      <c r="A26" s="4"/>
      <c r="B26" s="4"/>
      <c r="C26" s="4"/>
      <c r="D26" s="5"/>
      <c r="E26" s="5"/>
      <c r="F26" s="6"/>
      <c r="G26" s="4"/>
      <c r="H26" s="4"/>
      <c r="I26" s="4"/>
      <c r="J26" s="6"/>
      <c r="K26" s="7" t="str">
        <f aca="false">IF(OR(I26="",J26=""),"",I26*J26)</f>
        <v/>
      </c>
      <c r="L26" s="4"/>
      <c r="M26" s="8"/>
      <c r="N26" s="7" t="str">
        <f aca="false">IF(OR(L26="",M26="",K26=""),"",IF(L26="GANANCIA",(K26-F26)*M26,IF(L26="BRUTO",K26*M26,"")))</f>
        <v/>
      </c>
      <c r="O26" s="9" t="str">
        <f aca="false">IF(D26="","",D26+30)</f>
        <v/>
      </c>
      <c r="P26" s="10" t="str">
        <f aca="false">IF(I26="","",IF(COUNTIF(Q26:AN26,TRUE())&gt;=I26,"PAGADO",IF(COUNTIF(Q26:AN26,TRUE())&gt;0,"PARCIAL","VIGENTE")))</f>
        <v/>
      </c>
      <c r="Q26" s="11" t="str">
        <f aca="false">IF(OR(I26="",I26&lt;1,O26=""),"",O26+0)</f>
        <v/>
      </c>
      <c r="R26" s="11" t="str">
        <f aca="false">IF(OR(I26="",I26&lt;2,O26=""),"",O26+30)</f>
        <v/>
      </c>
      <c r="S26" s="11" t="str">
        <f aca="false">IF(OR(I26="",I26&lt;3,O26=""),"",O26+60)</f>
        <v/>
      </c>
      <c r="T26" s="11" t="str">
        <f aca="false">IF(OR(I26="",I26&lt;4,O26=""),"",O26+90)</f>
        <v/>
      </c>
      <c r="U26" s="11" t="str">
        <f aca="false">IF(OR(I26="",I26&lt;5,O26=""),"",O26+120)</f>
        <v/>
      </c>
      <c r="V26" s="11" t="str">
        <f aca="false">IF(OR(I26="",I26&lt;6,O26=""),"",O26+150)</f>
        <v/>
      </c>
      <c r="W26" s="11" t="str">
        <f aca="false">IF(OR(I26="",I26&lt;7,O26=""),"",O26+180)</f>
        <v/>
      </c>
      <c r="X26" s="11" t="str">
        <f aca="false">IF(OR(I26="",I26&lt;8,O26=""),"",O26+210)</f>
        <v/>
      </c>
      <c r="Y26" s="11" t="str">
        <f aca="false">IF(OR(I26="",I26&lt;9,O26=""),"",O26+240)</f>
        <v/>
      </c>
      <c r="Z26" s="11" t="str">
        <f aca="false">IF(OR(I26="",I26&lt;10,O26=""),"",O26+270)</f>
        <v/>
      </c>
      <c r="AA26" s="11" t="str">
        <f aca="false">IF(OR(I26="",I26&lt;11,O26=""),"",O26+300)</f>
        <v/>
      </c>
      <c r="AB26" s="11" t="str">
        <f aca="false">IF(OR(I26="",I26&lt;12,O26=""),"",O26+330)</f>
        <v/>
      </c>
      <c r="AC26" s="11" t="str">
        <f aca="false">IF(OR(I26="",I26&lt;13,O26=""),"",O26+360)</f>
        <v/>
      </c>
      <c r="AD26" s="11" t="str">
        <f aca="false">IF(OR(I26="",I26&lt;14,O26=""),"",O26+390)</f>
        <v/>
      </c>
      <c r="AE26" s="11" t="str">
        <f aca="false">IF(OR(I26="",I26&lt;15,O26=""),"",O26+420)</f>
        <v/>
      </c>
      <c r="AF26" s="11" t="str">
        <f aca="false">IF(OR(I26="",I26&lt;16,O26=""),"",O26+450)</f>
        <v/>
      </c>
      <c r="AG26" s="11" t="str">
        <f aca="false">IF(OR(I26="",I26&lt;17,O26=""),"",O26+480)</f>
        <v/>
      </c>
      <c r="AH26" s="11" t="str">
        <f aca="false">IF(OR(I26="",I26&lt;18,O26=""),"",O26+510)</f>
        <v/>
      </c>
      <c r="AI26" s="11" t="str">
        <f aca="false">IF(OR(I26="",I26&lt;19,O26=""),"",O26+540)</f>
        <v/>
      </c>
      <c r="AJ26" s="11" t="str">
        <f aca="false">IF(OR(I26="",I26&lt;20,O26=""),"",O26+570)</f>
        <v/>
      </c>
      <c r="AK26" s="11" t="str">
        <f aca="false">IF(OR(I26="",I26&lt;21,O26=""),"",O26+600)</f>
        <v/>
      </c>
      <c r="AL26" s="11" t="str">
        <f aca="false">IF(OR(I26="",I26&lt;22,O26=""),"",O26+630)</f>
        <v/>
      </c>
      <c r="AM26" s="11" t="str">
        <f aca="false">IF(OR(I26="",I26&lt;23,O26=""),"",O26+660)</f>
        <v/>
      </c>
      <c r="AN26" s="11" t="str">
        <f aca="false">IF(OR(I26="",I26&lt;24,O26=""),"",O26+690)</f>
        <v/>
      </c>
      <c r="AO26" s="7" t="str">
        <f aca="false">IF(J26="","",COUNTIF(Q26:AN26,TRUE())*J26)</f>
        <v/>
      </c>
      <c r="AP26" s="7" t="str">
        <f aca="false">IF(K26="","",K26-AO26)</f>
        <v/>
      </c>
      <c r="AQ26" s="7" t="str">
        <f aca="false">IF(K26="","",K26-F26-IF(N26="",0,N26))</f>
        <v/>
      </c>
    </row>
    <row r="27" customFormat="false" ht="15" hidden="false" customHeight="false" outlineLevel="0" collapsed="false">
      <c r="A27" s="12"/>
      <c r="B27" s="12"/>
      <c r="C27" s="12"/>
      <c r="D27" s="13"/>
      <c r="E27" s="13"/>
      <c r="F27" s="14"/>
      <c r="G27" s="12"/>
      <c r="H27" s="12"/>
      <c r="I27" s="12"/>
      <c r="J27" s="14"/>
      <c r="K27" s="15" t="str">
        <f aca="false">IF(OR(I27="",J27=""),"",I27*J27)</f>
        <v/>
      </c>
      <c r="L27" s="12"/>
      <c r="M27" s="16"/>
      <c r="N27" s="15" t="str">
        <f aca="false">IF(OR(L27="",M27="",K27=""),"",IF(L27="GANANCIA",(K27-F27)*M27,IF(L27="BRUTO",K27*M27,"")))</f>
        <v/>
      </c>
      <c r="O27" s="17" t="str">
        <f aca="false">IF(D27="","",D27+30)</f>
        <v/>
      </c>
      <c r="P27" s="18" t="str">
        <f aca="false">IF(I27="","",IF(COUNTIF(Q27:AN27,TRUE())&gt;=I27,"PAGADO",IF(COUNTIF(Q27:AN27,TRUE())&gt;0,"PARCIAL","VIGENTE")))</f>
        <v/>
      </c>
      <c r="Q27" s="19" t="str">
        <f aca="false">IF(OR(I27="",I27&lt;1,O27=""),"",O27+0)</f>
        <v/>
      </c>
      <c r="R27" s="19" t="str">
        <f aca="false">IF(OR(I27="",I27&lt;2,O27=""),"",O27+30)</f>
        <v/>
      </c>
      <c r="S27" s="19" t="str">
        <f aca="false">IF(OR(I27="",I27&lt;3,O27=""),"",O27+60)</f>
        <v/>
      </c>
      <c r="T27" s="19" t="str">
        <f aca="false">IF(OR(I27="",I27&lt;4,O27=""),"",O27+90)</f>
        <v/>
      </c>
      <c r="U27" s="19" t="str">
        <f aca="false">IF(OR(I27="",I27&lt;5,O27=""),"",O27+120)</f>
        <v/>
      </c>
      <c r="V27" s="19" t="str">
        <f aca="false">IF(OR(I27="",I27&lt;6,O27=""),"",O27+150)</f>
        <v/>
      </c>
      <c r="W27" s="19" t="str">
        <f aca="false">IF(OR(I27="",I27&lt;7,O27=""),"",O27+180)</f>
        <v/>
      </c>
      <c r="X27" s="19" t="str">
        <f aca="false">IF(OR(I27="",I27&lt;8,O27=""),"",O27+210)</f>
        <v/>
      </c>
      <c r="Y27" s="19" t="str">
        <f aca="false">IF(OR(I27="",I27&lt;9,O27=""),"",O27+240)</f>
        <v/>
      </c>
      <c r="Z27" s="19" t="str">
        <f aca="false">IF(OR(I27="",I27&lt;10,O27=""),"",O27+270)</f>
        <v/>
      </c>
      <c r="AA27" s="19" t="str">
        <f aca="false">IF(OR(I27="",I27&lt;11,O27=""),"",O27+300)</f>
        <v/>
      </c>
      <c r="AB27" s="19" t="str">
        <f aca="false">IF(OR(I27="",I27&lt;12,O27=""),"",O27+330)</f>
        <v/>
      </c>
      <c r="AC27" s="19" t="str">
        <f aca="false">IF(OR(I27="",I27&lt;13,O27=""),"",O27+360)</f>
        <v/>
      </c>
      <c r="AD27" s="19" t="str">
        <f aca="false">IF(OR(I27="",I27&lt;14,O27=""),"",O27+390)</f>
        <v/>
      </c>
      <c r="AE27" s="19" t="str">
        <f aca="false">IF(OR(I27="",I27&lt;15,O27=""),"",O27+420)</f>
        <v/>
      </c>
      <c r="AF27" s="19" t="str">
        <f aca="false">IF(OR(I27="",I27&lt;16,O27=""),"",O27+450)</f>
        <v/>
      </c>
      <c r="AG27" s="19" t="str">
        <f aca="false">IF(OR(I27="",I27&lt;17,O27=""),"",O27+480)</f>
        <v/>
      </c>
      <c r="AH27" s="19" t="str">
        <f aca="false">IF(OR(I27="",I27&lt;18,O27=""),"",O27+510)</f>
        <v/>
      </c>
      <c r="AI27" s="19" t="str">
        <f aca="false">IF(OR(I27="",I27&lt;19,O27=""),"",O27+540)</f>
        <v/>
      </c>
      <c r="AJ27" s="19" t="str">
        <f aca="false">IF(OR(I27="",I27&lt;20,O27=""),"",O27+570)</f>
        <v/>
      </c>
      <c r="AK27" s="19" t="str">
        <f aca="false">IF(OR(I27="",I27&lt;21,O27=""),"",O27+600)</f>
        <v/>
      </c>
      <c r="AL27" s="19" t="str">
        <f aca="false">IF(OR(I27="",I27&lt;22,O27=""),"",O27+630)</f>
        <v/>
      </c>
      <c r="AM27" s="19" t="str">
        <f aca="false">IF(OR(I27="",I27&lt;23,O27=""),"",O27+660)</f>
        <v/>
      </c>
      <c r="AN27" s="19" t="str">
        <f aca="false">IF(OR(I27="",I27&lt;24,O27=""),"",O27+690)</f>
        <v/>
      </c>
      <c r="AO27" s="15" t="str">
        <f aca="false">IF(J27="","",COUNTIF(Q27:AN27,TRUE())*J27)</f>
        <v/>
      </c>
      <c r="AP27" s="15" t="str">
        <f aca="false">IF(K27="","",K27-AO27)</f>
        <v/>
      </c>
      <c r="AQ27" s="15" t="str">
        <f aca="false">IF(K27="","",K27-F27-IF(N27="",0,N27))</f>
        <v/>
      </c>
    </row>
    <row r="28" customFormat="false" ht="15" hidden="false" customHeight="false" outlineLevel="0" collapsed="false">
      <c r="A28" s="4"/>
      <c r="B28" s="4"/>
      <c r="C28" s="4"/>
      <c r="D28" s="5"/>
      <c r="E28" s="5"/>
      <c r="F28" s="6"/>
      <c r="G28" s="4"/>
      <c r="H28" s="4"/>
      <c r="I28" s="4"/>
      <c r="J28" s="6"/>
      <c r="K28" s="7" t="str">
        <f aca="false">IF(OR(I28="",J28=""),"",I28*J28)</f>
        <v/>
      </c>
      <c r="L28" s="4"/>
      <c r="M28" s="8"/>
      <c r="N28" s="7" t="str">
        <f aca="false">IF(OR(L28="",M28="",K28=""),"",IF(L28="GANANCIA",(K28-F28)*M28,IF(L28="BRUTO",K28*M28,"")))</f>
        <v/>
      </c>
      <c r="O28" s="9" t="str">
        <f aca="false">IF(D28="","",D28+30)</f>
        <v/>
      </c>
      <c r="P28" s="10" t="str">
        <f aca="false">IF(I28="","",IF(COUNTIF(Q28:AN28,TRUE())&gt;=I28,"PAGADO",IF(COUNTIF(Q28:AN28,TRUE())&gt;0,"PARCIAL","VIGENTE")))</f>
        <v/>
      </c>
      <c r="Q28" s="11" t="str">
        <f aca="false">IF(OR(I28="",I28&lt;1,O28=""),"",O28+0)</f>
        <v/>
      </c>
      <c r="R28" s="11" t="str">
        <f aca="false">IF(OR(I28="",I28&lt;2,O28=""),"",O28+30)</f>
        <v/>
      </c>
      <c r="S28" s="11" t="str">
        <f aca="false">IF(OR(I28="",I28&lt;3,O28=""),"",O28+60)</f>
        <v/>
      </c>
      <c r="T28" s="11" t="str">
        <f aca="false">IF(OR(I28="",I28&lt;4,O28=""),"",O28+90)</f>
        <v/>
      </c>
      <c r="U28" s="11" t="str">
        <f aca="false">IF(OR(I28="",I28&lt;5,O28=""),"",O28+120)</f>
        <v/>
      </c>
      <c r="V28" s="11" t="str">
        <f aca="false">IF(OR(I28="",I28&lt;6,O28=""),"",O28+150)</f>
        <v/>
      </c>
      <c r="W28" s="11" t="str">
        <f aca="false">IF(OR(I28="",I28&lt;7,O28=""),"",O28+180)</f>
        <v/>
      </c>
      <c r="X28" s="11" t="str">
        <f aca="false">IF(OR(I28="",I28&lt;8,O28=""),"",O28+210)</f>
        <v/>
      </c>
      <c r="Y28" s="11" t="str">
        <f aca="false">IF(OR(I28="",I28&lt;9,O28=""),"",O28+240)</f>
        <v/>
      </c>
      <c r="Z28" s="11" t="str">
        <f aca="false">IF(OR(I28="",I28&lt;10,O28=""),"",O28+270)</f>
        <v/>
      </c>
      <c r="AA28" s="11" t="str">
        <f aca="false">IF(OR(I28="",I28&lt;11,O28=""),"",O28+300)</f>
        <v/>
      </c>
      <c r="AB28" s="11" t="str">
        <f aca="false">IF(OR(I28="",I28&lt;12,O28=""),"",O28+330)</f>
        <v/>
      </c>
      <c r="AC28" s="11" t="str">
        <f aca="false">IF(OR(I28="",I28&lt;13,O28=""),"",O28+360)</f>
        <v/>
      </c>
      <c r="AD28" s="11" t="str">
        <f aca="false">IF(OR(I28="",I28&lt;14,O28=""),"",O28+390)</f>
        <v/>
      </c>
      <c r="AE28" s="11" t="str">
        <f aca="false">IF(OR(I28="",I28&lt;15,O28=""),"",O28+420)</f>
        <v/>
      </c>
      <c r="AF28" s="11" t="str">
        <f aca="false">IF(OR(I28="",I28&lt;16,O28=""),"",O28+450)</f>
        <v/>
      </c>
      <c r="AG28" s="11" t="str">
        <f aca="false">IF(OR(I28="",I28&lt;17,O28=""),"",O28+480)</f>
        <v/>
      </c>
      <c r="AH28" s="11" t="str">
        <f aca="false">IF(OR(I28="",I28&lt;18,O28=""),"",O28+510)</f>
        <v/>
      </c>
      <c r="AI28" s="11" t="str">
        <f aca="false">IF(OR(I28="",I28&lt;19,O28=""),"",O28+540)</f>
        <v/>
      </c>
      <c r="AJ28" s="11" t="str">
        <f aca="false">IF(OR(I28="",I28&lt;20,O28=""),"",O28+570)</f>
        <v/>
      </c>
      <c r="AK28" s="11" t="str">
        <f aca="false">IF(OR(I28="",I28&lt;21,O28=""),"",O28+600)</f>
        <v/>
      </c>
      <c r="AL28" s="11" t="str">
        <f aca="false">IF(OR(I28="",I28&lt;22,O28=""),"",O28+630)</f>
        <v/>
      </c>
      <c r="AM28" s="11" t="str">
        <f aca="false">IF(OR(I28="",I28&lt;23,O28=""),"",O28+660)</f>
        <v/>
      </c>
      <c r="AN28" s="11" t="str">
        <f aca="false">IF(OR(I28="",I28&lt;24,O28=""),"",O28+690)</f>
        <v/>
      </c>
      <c r="AO28" s="7" t="str">
        <f aca="false">IF(J28="","",COUNTIF(Q28:AN28,TRUE())*J28)</f>
        <v/>
      </c>
      <c r="AP28" s="7" t="str">
        <f aca="false">IF(K28="","",K28-AO28)</f>
        <v/>
      </c>
      <c r="AQ28" s="7" t="str">
        <f aca="false">IF(K28="","",K28-F28-IF(N28="",0,N28))</f>
        <v/>
      </c>
    </row>
    <row r="29" customFormat="false" ht="15" hidden="false" customHeight="false" outlineLevel="0" collapsed="false">
      <c r="A29" s="12"/>
      <c r="B29" s="12"/>
      <c r="C29" s="12"/>
      <c r="D29" s="13"/>
      <c r="E29" s="13"/>
      <c r="F29" s="14"/>
      <c r="G29" s="12"/>
      <c r="H29" s="12"/>
      <c r="I29" s="12"/>
      <c r="J29" s="14"/>
      <c r="K29" s="15" t="str">
        <f aca="false">IF(OR(I29="",J29=""),"",I29*J29)</f>
        <v/>
      </c>
      <c r="L29" s="12"/>
      <c r="M29" s="16"/>
      <c r="N29" s="15" t="str">
        <f aca="false">IF(OR(L29="",M29="",K29=""),"",IF(L29="GANANCIA",(K29-F29)*M29,IF(L29="BRUTO",K29*M29,"")))</f>
        <v/>
      </c>
      <c r="O29" s="17" t="str">
        <f aca="false">IF(D29="","",D29+30)</f>
        <v/>
      </c>
      <c r="P29" s="18" t="str">
        <f aca="false">IF(I29="","",IF(COUNTIF(Q29:AN29,TRUE())&gt;=I29,"PAGADO",IF(COUNTIF(Q29:AN29,TRUE())&gt;0,"PARCIAL","VIGENTE")))</f>
        <v/>
      </c>
      <c r="Q29" s="19" t="str">
        <f aca="false">IF(OR(I29="",I29&lt;1,O29=""),"",O29+0)</f>
        <v/>
      </c>
      <c r="R29" s="19" t="str">
        <f aca="false">IF(OR(I29="",I29&lt;2,O29=""),"",O29+30)</f>
        <v/>
      </c>
      <c r="S29" s="19" t="str">
        <f aca="false">IF(OR(I29="",I29&lt;3,O29=""),"",O29+60)</f>
        <v/>
      </c>
      <c r="T29" s="19" t="str">
        <f aca="false">IF(OR(I29="",I29&lt;4,O29=""),"",O29+90)</f>
        <v/>
      </c>
      <c r="U29" s="19" t="str">
        <f aca="false">IF(OR(I29="",I29&lt;5,O29=""),"",O29+120)</f>
        <v/>
      </c>
      <c r="V29" s="19" t="str">
        <f aca="false">IF(OR(I29="",I29&lt;6,O29=""),"",O29+150)</f>
        <v/>
      </c>
      <c r="W29" s="19" t="str">
        <f aca="false">IF(OR(I29="",I29&lt;7,O29=""),"",O29+180)</f>
        <v/>
      </c>
      <c r="X29" s="19" t="str">
        <f aca="false">IF(OR(I29="",I29&lt;8,O29=""),"",O29+210)</f>
        <v/>
      </c>
      <c r="Y29" s="19" t="str">
        <f aca="false">IF(OR(I29="",I29&lt;9,O29=""),"",O29+240)</f>
        <v/>
      </c>
      <c r="Z29" s="19" t="str">
        <f aca="false">IF(OR(I29="",I29&lt;10,O29=""),"",O29+270)</f>
        <v/>
      </c>
      <c r="AA29" s="19" t="str">
        <f aca="false">IF(OR(I29="",I29&lt;11,O29=""),"",O29+300)</f>
        <v/>
      </c>
      <c r="AB29" s="19" t="str">
        <f aca="false">IF(OR(I29="",I29&lt;12,O29=""),"",O29+330)</f>
        <v/>
      </c>
      <c r="AC29" s="19" t="str">
        <f aca="false">IF(OR(I29="",I29&lt;13,O29=""),"",O29+360)</f>
        <v/>
      </c>
      <c r="AD29" s="19" t="str">
        <f aca="false">IF(OR(I29="",I29&lt;14,O29=""),"",O29+390)</f>
        <v/>
      </c>
      <c r="AE29" s="19" t="str">
        <f aca="false">IF(OR(I29="",I29&lt;15,O29=""),"",O29+420)</f>
        <v/>
      </c>
      <c r="AF29" s="19" t="str">
        <f aca="false">IF(OR(I29="",I29&lt;16,O29=""),"",O29+450)</f>
        <v/>
      </c>
      <c r="AG29" s="19" t="str">
        <f aca="false">IF(OR(I29="",I29&lt;17,O29=""),"",O29+480)</f>
        <v/>
      </c>
      <c r="AH29" s="19" t="str">
        <f aca="false">IF(OR(I29="",I29&lt;18,O29=""),"",O29+510)</f>
        <v/>
      </c>
      <c r="AI29" s="19" t="str">
        <f aca="false">IF(OR(I29="",I29&lt;19,O29=""),"",O29+540)</f>
        <v/>
      </c>
      <c r="AJ29" s="19" t="str">
        <f aca="false">IF(OR(I29="",I29&lt;20,O29=""),"",O29+570)</f>
        <v/>
      </c>
      <c r="AK29" s="19" t="str">
        <f aca="false">IF(OR(I29="",I29&lt;21,O29=""),"",O29+600)</f>
        <v/>
      </c>
      <c r="AL29" s="19" t="str">
        <f aca="false">IF(OR(I29="",I29&lt;22,O29=""),"",O29+630)</f>
        <v/>
      </c>
      <c r="AM29" s="19" t="str">
        <f aca="false">IF(OR(I29="",I29&lt;23,O29=""),"",O29+660)</f>
        <v/>
      </c>
      <c r="AN29" s="19" t="str">
        <f aca="false">IF(OR(I29="",I29&lt;24,O29=""),"",O29+690)</f>
        <v/>
      </c>
      <c r="AO29" s="15" t="str">
        <f aca="false">IF(J29="","",COUNTIF(Q29:AN29,TRUE())*J29)</f>
        <v/>
      </c>
      <c r="AP29" s="15" t="str">
        <f aca="false">IF(K29="","",K29-AO29)</f>
        <v/>
      </c>
      <c r="AQ29" s="15" t="str">
        <f aca="false">IF(K29="","",K29-F29-IF(N29="",0,N29))</f>
        <v/>
      </c>
    </row>
    <row r="30" customFormat="false" ht="15" hidden="false" customHeight="false" outlineLevel="0" collapsed="false">
      <c r="A30" s="4"/>
      <c r="B30" s="4"/>
      <c r="C30" s="4"/>
      <c r="D30" s="5"/>
      <c r="E30" s="5"/>
      <c r="F30" s="6"/>
      <c r="G30" s="4"/>
      <c r="H30" s="4"/>
      <c r="I30" s="4"/>
      <c r="J30" s="6"/>
      <c r="K30" s="7" t="str">
        <f aca="false">IF(OR(I30="",J30=""),"",I30*J30)</f>
        <v/>
      </c>
      <c r="L30" s="4"/>
      <c r="M30" s="8"/>
      <c r="N30" s="7" t="str">
        <f aca="false">IF(OR(L30="",M30="",K30=""),"",IF(L30="GANANCIA",(K30-F30)*M30,IF(L30="BRUTO",K30*M30,"")))</f>
        <v/>
      </c>
      <c r="O30" s="9" t="str">
        <f aca="false">IF(D30="","",D30+30)</f>
        <v/>
      </c>
      <c r="P30" s="10" t="str">
        <f aca="false">IF(I30="","",IF(COUNTIF(Q30:AN30,TRUE())&gt;=I30,"PAGADO",IF(COUNTIF(Q30:AN30,TRUE())&gt;0,"PARCIAL","VIGENTE")))</f>
        <v/>
      </c>
      <c r="Q30" s="11" t="str">
        <f aca="false">IF(OR(I30="",I30&lt;1,O30=""),"",O30+0)</f>
        <v/>
      </c>
      <c r="R30" s="11" t="str">
        <f aca="false">IF(OR(I30="",I30&lt;2,O30=""),"",O30+30)</f>
        <v/>
      </c>
      <c r="S30" s="11" t="str">
        <f aca="false">IF(OR(I30="",I30&lt;3,O30=""),"",O30+60)</f>
        <v/>
      </c>
      <c r="T30" s="11" t="str">
        <f aca="false">IF(OR(I30="",I30&lt;4,O30=""),"",O30+90)</f>
        <v/>
      </c>
      <c r="U30" s="11" t="str">
        <f aca="false">IF(OR(I30="",I30&lt;5,O30=""),"",O30+120)</f>
        <v/>
      </c>
      <c r="V30" s="11" t="str">
        <f aca="false">IF(OR(I30="",I30&lt;6,O30=""),"",O30+150)</f>
        <v/>
      </c>
      <c r="W30" s="11" t="str">
        <f aca="false">IF(OR(I30="",I30&lt;7,O30=""),"",O30+180)</f>
        <v/>
      </c>
      <c r="X30" s="11" t="str">
        <f aca="false">IF(OR(I30="",I30&lt;8,O30=""),"",O30+210)</f>
        <v/>
      </c>
      <c r="Y30" s="11" t="str">
        <f aca="false">IF(OR(I30="",I30&lt;9,O30=""),"",O30+240)</f>
        <v/>
      </c>
      <c r="Z30" s="11" t="str">
        <f aca="false">IF(OR(I30="",I30&lt;10,O30=""),"",O30+270)</f>
        <v/>
      </c>
      <c r="AA30" s="11" t="str">
        <f aca="false">IF(OR(I30="",I30&lt;11,O30=""),"",O30+300)</f>
        <v/>
      </c>
      <c r="AB30" s="11" t="str">
        <f aca="false">IF(OR(I30="",I30&lt;12,O30=""),"",O30+330)</f>
        <v/>
      </c>
      <c r="AC30" s="11" t="str">
        <f aca="false">IF(OR(I30="",I30&lt;13,O30=""),"",O30+360)</f>
        <v/>
      </c>
      <c r="AD30" s="11" t="str">
        <f aca="false">IF(OR(I30="",I30&lt;14,O30=""),"",O30+390)</f>
        <v/>
      </c>
      <c r="AE30" s="11" t="str">
        <f aca="false">IF(OR(I30="",I30&lt;15,O30=""),"",O30+420)</f>
        <v/>
      </c>
      <c r="AF30" s="11" t="str">
        <f aca="false">IF(OR(I30="",I30&lt;16,O30=""),"",O30+450)</f>
        <v/>
      </c>
      <c r="AG30" s="11" t="str">
        <f aca="false">IF(OR(I30="",I30&lt;17,O30=""),"",O30+480)</f>
        <v/>
      </c>
      <c r="AH30" s="11" t="str">
        <f aca="false">IF(OR(I30="",I30&lt;18,O30=""),"",O30+510)</f>
        <v/>
      </c>
      <c r="AI30" s="11" t="str">
        <f aca="false">IF(OR(I30="",I30&lt;19,O30=""),"",O30+540)</f>
        <v/>
      </c>
      <c r="AJ30" s="11" t="str">
        <f aca="false">IF(OR(I30="",I30&lt;20,O30=""),"",O30+570)</f>
        <v/>
      </c>
      <c r="AK30" s="11" t="str">
        <f aca="false">IF(OR(I30="",I30&lt;21,O30=""),"",O30+600)</f>
        <v/>
      </c>
      <c r="AL30" s="11" t="str">
        <f aca="false">IF(OR(I30="",I30&lt;22,O30=""),"",O30+630)</f>
        <v/>
      </c>
      <c r="AM30" s="11" t="str">
        <f aca="false">IF(OR(I30="",I30&lt;23,O30=""),"",O30+660)</f>
        <v/>
      </c>
      <c r="AN30" s="11" t="str">
        <f aca="false">IF(OR(I30="",I30&lt;24,O30=""),"",O30+690)</f>
        <v/>
      </c>
      <c r="AO30" s="7" t="str">
        <f aca="false">IF(J30="","",COUNTIF(Q30:AN30,TRUE())*J30)</f>
        <v/>
      </c>
      <c r="AP30" s="7" t="str">
        <f aca="false">IF(K30="","",K30-AO30)</f>
        <v/>
      </c>
      <c r="AQ30" s="7" t="str">
        <f aca="false">IF(K30="","",K30-F30-IF(N30="",0,N30))</f>
        <v/>
      </c>
    </row>
    <row r="31" customFormat="false" ht="15" hidden="false" customHeight="false" outlineLevel="0" collapsed="false">
      <c r="A31" s="12"/>
      <c r="B31" s="12"/>
      <c r="C31" s="12"/>
      <c r="D31" s="13"/>
      <c r="E31" s="13"/>
      <c r="F31" s="14"/>
      <c r="G31" s="12"/>
      <c r="H31" s="12"/>
      <c r="I31" s="12"/>
      <c r="J31" s="14"/>
      <c r="K31" s="15" t="str">
        <f aca="false">IF(OR(I31="",J31=""),"",I31*J31)</f>
        <v/>
      </c>
      <c r="L31" s="12"/>
      <c r="M31" s="16"/>
      <c r="N31" s="15" t="str">
        <f aca="false">IF(OR(L31="",M31="",K31=""),"",IF(L31="GANANCIA",(K31-F31)*M31,IF(L31="BRUTO",K31*M31,"")))</f>
        <v/>
      </c>
      <c r="O31" s="17" t="str">
        <f aca="false">IF(D31="","",D31+30)</f>
        <v/>
      </c>
      <c r="P31" s="18" t="str">
        <f aca="false">IF(I31="","",IF(COUNTIF(Q31:AN31,TRUE())&gt;=I31,"PAGADO",IF(COUNTIF(Q31:AN31,TRUE())&gt;0,"PARCIAL","VIGENTE")))</f>
        <v/>
      </c>
      <c r="Q31" s="19" t="str">
        <f aca="false">IF(OR(I31="",I31&lt;1,O31=""),"",O31+0)</f>
        <v/>
      </c>
      <c r="R31" s="19" t="str">
        <f aca="false">IF(OR(I31="",I31&lt;2,O31=""),"",O31+30)</f>
        <v/>
      </c>
      <c r="S31" s="19" t="str">
        <f aca="false">IF(OR(I31="",I31&lt;3,O31=""),"",O31+60)</f>
        <v/>
      </c>
      <c r="T31" s="19" t="str">
        <f aca="false">IF(OR(I31="",I31&lt;4,O31=""),"",O31+90)</f>
        <v/>
      </c>
      <c r="U31" s="19" t="str">
        <f aca="false">IF(OR(I31="",I31&lt;5,O31=""),"",O31+120)</f>
        <v/>
      </c>
      <c r="V31" s="19" t="str">
        <f aca="false">IF(OR(I31="",I31&lt;6,O31=""),"",O31+150)</f>
        <v/>
      </c>
      <c r="W31" s="19" t="str">
        <f aca="false">IF(OR(I31="",I31&lt;7,O31=""),"",O31+180)</f>
        <v/>
      </c>
      <c r="X31" s="19" t="str">
        <f aca="false">IF(OR(I31="",I31&lt;8,O31=""),"",O31+210)</f>
        <v/>
      </c>
      <c r="Y31" s="19" t="str">
        <f aca="false">IF(OR(I31="",I31&lt;9,O31=""),"",O31+240)</f>
        <v/>
      </c>
      <c r="Z31" s="19" t="str">
        <f aca="false">IF(OR(I31="",I31&lt;10,O31=""),"",O31+270)</f>
        <v/>
      </c>
      <c r="AA31" s="19" t="str">
        <f aca="false">IF(OR(I31="",I31&lt;11,O31=""),"",O31+300)</f>
        <v/>
      </c>
      <c r="AB31" s="19" t="str">
        <f aca="false">IF(OR(I31="",I31&lt;12,O31=""),"",O31+330)</f>
        <v/>
      </c>
      <c r="AC31" s="19" t="str">
        <f aca="false">IF(OR(I31="",I31&lt;13,O31=""),"",O31+360)</f>
        <v/>
      </c>
      <c r="AD31" s="19" t="str">
        <f aca="false">IF(OR(I31="",I31&lt;14,O31=""),"",O31+390)</f>
        <v/>
      </c>
      <c r="AE31" s="19" t="str">
        <f aca="false">IF(OR(I31="",I31&lt;15,O31=""),"",O31+420)</f>
        <v/>
      </c>
      <c r="AF31" s="19" t="str">
        <f aca="false">IF(OR(I31="",I31&lt;16,O31=""),"",O31+450)</f>
        <v/>
      </c>
      <c r="AG31" s="19" t="str">
        <f aca="false">IF(OR(I31="",I31&lt;17,O31=""),"",O31+480)</f>
        <v/>
      </c>
      <c r="AH31" s="19" t="str">
        <f aca="false">IF(OR(I31="",I31&lt;18,O31=""),"",O31+510)</f>
        <v/>
      </c>
      <c r="AI31" s="19" t="str">
        <f aca="false">IF(OR(I31="",I31&lt;19,O31=""),"",O31+540)</f>
        <v/>
      </c>
      <c r="AJ31" s="19" t="str">
        <f aca="false">IF(OR(I31="",I31&lt;20,O31=""),"",O31+570)</f>
        <v/>
      </c>
      <c r="AK31" s="19" t="str">
        <f aca="false">IF(OR(I31="",I31&lt;21,O31=""),"",O31+600)</f>
        <v/>
      </c>
      <c r="AL31" s="19" t="str">
        <f aca="false">IF(OR(I31="",I31&lt;22,O31=""),"",O31+630)</f>
        <v/>
      </c>
      <c r="AM31" s="19" t="str">
        <f aca="false">IF(OR(I31="",I31&lt;23,O31=""),"",O31+660)</f>
        <v/>
      </c>
      <c r="AN31" s="19" t="str">
        <f aca="false">IF(OR(I31="",I31&lt;24,O31=""),"",O31+690)</f>
        <v/>
      </c>
      <c r="AO31" s="15" t="str">
        <f aca="false">IF(J31="","",COUNTIF(Q31:AN31,TRUE())*J31)</f>
        <v/>
      </c>
      <c r="AP31" s="15" t="str">
        <f aca="false">IF(K31="","",K31-AO31)</f>
        <v/>
      </c>
      <c r="AQ31" s="15" t="str">
        <f aca="false">IF(K31="","",K31-F31-IF(N31="",0,N31))</f>
        <v/>
      </c>
    </row>
    <row r="32" customFormat="false" ht="15" hidden="false" customHeight="false" outlineLevel="0" collapsed="false">
      <c r="A32" s="4"/>
      <c r="B32" s="4"/>
      <c r="C32" s="4"/>
      <c r="D32" s="5"/>
      <c r="E32" s="5"/>
      <c r="F32" s="6"/>
      <c r="G32" s="4"/>
      <c r="H32" s="4"/>
      <c r="I32" s="4"/>
      <c r="J32" s="6"/>
      <c r="K32" s="7" t="str">
        <f aca="false">IF(OR(I32="",J32=""),"",I32*J32)</f>
        <v/>
      </c>
      <c r="L32" s="4"/>
      <c r="M32" s="8"/>
      <c r="N32" s="7" t="str">
        <f aca="false">IF(OR(L32="",M32="",K32=""),"",IF(L32="GANANCIA",(K32-F32)*M32,IF(L32="BRUTO",K32*M32,"")))</f>
        <v/>
      </c>
      <c r="O32" s="9" t="str">
        <f aca="false">IF(D32="","",D32+30)</f>
        <v/>
      </c>
      <c r="P32" s="10" t="str">
        <f aca="false">IF(I32="","",IF(COUNTIF(Q32:AN32,TRUE())&gt;=I32,"PAGADO",IF(COUNTIF(Q32:AN32,TRUE())&gt;0,"PARCIAL","VIGENTE")))</f>
        <v/>
      </c>
      <c r="Q32" s="11" t="str">
        <f aca="false">IF(OR(I32="",I32&lt;1,O32=""),"",O32+0)</f>
        <v/>
      </c>
      <c r="R32" s="11" t="str">
        <f aca="false">IF(OR(I32="",I32&lt;2,O32=""),"",O32+30)</f>
        <v/>
      </c>
      <c r="S32" s="11" t="str">
        <f aca="false">IF(OR(I32="",I32&lt;3,O32=""),"",O32+60)</f>
        <v/>
      </c>
      <c r="T32" s="11" t="str">
        <f aca="false">IF(OR(I32="",I32&lt;4,O32=""),"",O32+90)</f>
        <v/>
      </c>
      <c r="U32" s="11" t="str">
        <f aca="false">IF(OR(I32="",I32&lt;5,O32=""),"",O32+120)</f>
        <v/>
      </c>
      <c r="V32" s="11" t="str">
        <f aca="false">IF(OR(I32="",I32&lt;6,O32=""),"",O32+150)</f>
        <v/>
      </c>
      <c r="W32" s="11" t="str">
        <f aca="false">IF(OR(I32="",I32&lt;7,O32=""),"",O32+180)</f>
        <v/>
      </c>
      <c r="X32" s="11" t="str">
        <f aca="false">IF(OR(I32="",I32&lt;8,O32=""),"",O32+210)</f>
        <v/>
      </c>
      <c r="Y32" s="11" t="str">
        <f aca="false">IF(OR(I32="",I32&lt;9,O32=""),"",O32+240)</f>
        <v/>
      </c>
      <c r="Z32" s="11" t="str">
        <f aca="false">IF(OR(I32="",I32&lt;10,O32=""),"",O32+270)</f>
        <v/>
      </c>
      <c r="AA32" s="11" t="str">
        <f aca="false">IF(OR(I32="",I32&lt;11,O32=""),"",O32+300)</f>
        <v/>
      </c>
      <c r="AB32" s="11" t="str">
        <f aca="false">IF(OR(I32="",I32&lt;12,O32=""),"",O32+330)</f>
        <v/>
      </c>
      <c r="AC32" s="11" t="str">
        <f aca="false">IF(OR(I32="",I32&lt;13,O32=""),"",O32+360)</f>
        <v/>
      </c>
      <c r="AD32" s="11" t="str">
        <f aca="false">IF(OR(I32="",I32&lt;14,O32=""),"",O32+390)</f>
        <v/>
      </c>
      <c r="AE32" s="11" t="str">
        <f aca="false">IF(OR(I32="",I32&lt;15,O32=""),"",O32+420)</f>
        <v/>
      </c>
      <c r="AF32" s="11" t="str">
        <f aca="false">IF(OR(I32="",I32&lt;16,O32=""),"",O32+450)</f>
        <v/>
      </c>
      <c r="AG32" s="11" t="str">
        <f aca="false">IF(OR(I32="",I32&lt;17,O32=""),"",O32+480)</f>
        <v/>
      </c>
      <c r="AH32" s="11" t="str">
        <f aca="false">IF(OR(I32="",I32&lt;18,O32=""),"",O32+510)</f>
        <v/>
      </c>
      <c r="AI32" s="11" t="str">
        <f aca="false">IF(OR(I32="",I32&lt;19,O32=""),"",O32+540)</f>
        <v/>
      </c>
      <c r="AJ32" s="11" t="str">
        <f aca="false">IF(OR(I32="",I32&lt;20,O32=""),"",O32+570)</f>
        <v/>
      </c>
      <c r="AK32" s="11" t="str">
        <f aca="false">IF(OR(I32="",I32&lt;21,O32=""),"",O32+600)</f>
        <v/>
      </c>
      <c r="AL32" s="11" t="str">
        <f aca="false">IF(OR(I32="",I32&lt;22,O32=""),"",O32+630)</f>
        <v/>
      </c>
      <c r="AM32" s="11" t="str">
        <f aca="false">IF(OR(I32="",I32&lt;23,O32=""),"",O32+660)</f>
        <v/>
      </c>
      <c r="AN32" s="11" t="str">
        <f aca="false">IF(OR(I32="",I32&lt;24,O32=""),"",O32+690)</f>
        <v/>
      </c>
      <c r="AO32" s="7" t="str">
        <f aca="false">IF(J32="","",COUNTIF(Q32:AN32,TRUE())*J32)</f>
        <v/>
      </c>
      <c r="AP32" s="7" t="str">
        <f aca="false">IF(K32="","",K32-AO32)</f>
        <v/>
      </c>
      <c r="AQ32" s="7" t="str">
        <f aca="false">IF(K32="","",K32-F32-IF(N32="",0,N32))</f>
        <v/>
      </c>
    </row>
    <row r="33" customFormat="false" ht="15" hidden="false" customHeight="false" outlineLevel="0" collapsed="false">
      <c r="A33" s="12"/>
      <c r="B33" s="12"/>
      <c r="C33" s="12"/>
      <c r="D33" s="13"/>
      <c r="E33" s="13"/>
      <c r="F33" s="14"/>
      <c r="G33" s="12"/>
      <c r="H33" s="12"/>
      <c r="I33" s="12"/>
      <c r="J33" s="14"/>
      <c r="K33" s="15" t="str">
        <f aca="false">IF(OR(I33="",J33=""),"",I33*J33)</f>
        <v/>
      </c>
      <c r="L33" s="12"/>
      <c r="M33" s="16"/>
      <c r="N33" s="15" t="str">
        <f aca="false">IF(OR(L33="",M33="",K33=""),"",IF(L33="GANANCIA",(K33-F33)*M33,IF(L33="BRUTO",K33*M33,"")))</f>
        <v/>
      </c>
      <c r="O33" s="17" t="str">
        <f aca="false">IF(D33="","",D33+30)</f>
        <v/>
      </c>
      <c r="P33" s="18" t="str">
        <f aca="false">IF(I33="","",IF(COUNTIF(Q33:AN33,TRUE())&gt;=I33,"PAGADO",IF(COUNTIF(Q33:AN33,TRUE())&gt;0,"PARCIAL","VIGENTE")))</f>
        <v/>
      </c>
      <c r="Q33" s="19" t="str">
        <f aca="false">IF(OR(I33="",I33&lt;1,O33=""),"",O33+0)</f>
        <v/>
      </c>
      <c r="R33" s="19" t="str">
        <f aca="false">IF(OR(I33="",I33&lt;2,O33=""),"",O33+30)</f>
        <v/>
      </c>
      <c r="S33" s="19" t="str">
        <f aca="false">IF(OR(I33="",I33&lt;3,O33=""),"",O33+60)</f>
        <v/>
      </c>
      <c r="T33" s="19" t="str">
        <f aca="false">IF(OR(I33="",I33&lt;4,O33=""),"",O33+90)</f>
        <v/>
      </c>
      <c r="U33" s="19" t="str">
        <f aca="false">IF(OR(I33="",I33&lt;5,O33=""),"",O33+120)</f>
        <v/>
      </c>
      <c r="V33" s="19" t="str">
        <f aca="false">IF(OR(I33="",I33&lt;6,O33=""),"",O33+150)</f>
        <v/>
      </c>
      <c r="W33" s="19" t="str">
        <f aca="false">IF(OR(I33="",I33&lt;7,O33=""),"",O33+180)</f>
        <v/>
      </c>
      <c r="X33" s="19" t="str">
        <f aca="false">IF(OR(I33="",I33&lt;8,O33=""),"",O33+210)</f>
        <v/>
      </c>
      <c r="Y33" s="19" t="str">
        <f aca="false">IF(OR(I33="",I33&lt;9,O33=""),"",O33+240)</f>
        <v/>
      </c>
      <c r="Z33" s="19" t="str">
        <f aca="false">IF(OR(I33="",I33&lt;10,O33=""),"",O33+270)</f>
        <v/>
      </c>
      <c r="AA33" s="19" t="str">
        <f aca="false">IF(OR(I33="",I33&lt;11,O33=""),"",O33+300)</f>
        <v/>
      </c>
      <c r="AB33" s="19" t="str">
        <f aca="false">IF(OR(I33="",I33&lt;12,O33=""),"",O33+330)</f>
        <v/>
      </c>
      <c r="AC33" s="19" t="str">
        <f aca="false">IF(OR(I33="",I33&lt;13,O33=""),"",O33+360)</f>
        <v/>
      </c>
      <c r="AD33" s="19" t="str">
        <f aca="false">IF(OR(I33="",I33&lt;14,O33=""),"",O33+390)</f>
        <v/>
      </c>
      <c r="AE33" s="19" t="str">
        <f aca="false">IF(OR(I33="",I33&lt;15,O33=""),"",O33+420)</f>
        <v/>
      </c>
      <c r="AF33" s="19" t="str">
        <f aca="false">IF(OR(I33="",I33&lt;16,O33=""),"",O33+450)</f>
        <v/>
      </c>
      <c r="AG33" s="19" t="str">
        <f aca="false">IF(OR(I33="",I33&lt;17,O33=""),"",O33+480)</f>
        <v/>
      </c>
      <c r="AH33" s="19" t="str">
        <f aca="false">IF(OR(I33="",I33&lt;18,O33=""),"",O33+510)</f>
        <v/>
      </c>
      <c r="AI33" s="19" t="str">
        <f aca="false">IF(OR(I33="",I33&lt;19,O33=""),"",O33+540)</f>
        <v/>
      </c>
      <c r="AJ33" s="19" t="str">
        <f aca="false">IF(OR(I33="",I33&lt;20,O33=""),"",O33+570)</f>
        <v/>
      </c>
      <c r="AK33" s="19" t="str">
        <f aca="false">IF(OR(I33="",I33&lt;21,O33=""),"",O33+600)</f>
        <v/>
      </c>
      <c r="AL33" s="19" t="str">
        <f aca="false">IF(OR(I33="",I33&lt;22,O33=""),"",O33+630)</f>
        <v/>
      </c>
      <c r="AM33" s="19" t="str">
        <f aca="false">IF(OR(I33="",I33&lt;23,O33=""),"",O33+660)</f>
        <v/>
      </c>
      <c r="AN33" s="19" t="str">
        <f aca="false">IF(OR(I33="",I33&lt;24,O33=""),"",O33+690)</f>
        <v/>
      </c>
      <c r="AO33" s="15" t="str">
        <f aca="false">IF(J33="","",COUNTIF(Q33:AN33,TRUE())*J33)</f>
        <v/>
      </c>
      <c r="AP33" s="15" t="str">
        <f aca="false">IF(K33="","",K33-AO33)</f>
        <v/>
      </c>
      <c r="AQ33" s="15" t="str">
        <f aca="false">IF(K33="","",K33-F33-IF(N33="",0,N33))</f>
        <v/>
      </c>
    </row>
    <row r="34" customFormat="false" ht="15" hidden="false" customHeight="false" outlineLevel="0" collapsed="false">
      <c r="A34" s="4"/>
      <c r="B34" s="4"/>
      <c r="C34" s="4"/>
      <c r="D34" s="5"/>
      <c r="E34" s="5"/>
      <c r="F34" s="6"/>
      <c r="G34" s="4"/>
      <c r="H34" s="4"/>
      <c r="I34" s="4"/>
      <c r="J34" s="6"/>
      <c r="K34" s="7" t="str">
        <f aca="false">IF(OR(I34="",J34=""),"",I34*J34)</f>
        <v/>
      </c>
      <c r="L34" s="4"/>
      <c r="M34" s="8"/>
      <c r="N34" s="7" t="str">
        <f aca="false">IF(OR(L34="",M34="",K34=""),"",IF(L34="GANANCIA",(K34-F34)*M34,IF(L34="BRUTO",K34*M34,"")))</f>
        <v/>
      </c>
      <c r="O34" s="9" t="str">
        <f aca="false">IF(D34="","",D34+30)</f>
        <v/>
      </c>
      <c r="P34" s="10" t="str">
        <f aca="false">IF(I34="","",IF(COUNTIF(Q34:AN34,TRUE())&gt;=I34,"PAGADO",IF(COUNTIF(Q34:AN34,TRUE())&gt;0,"PARCIAL","VIGENTE")))</f>
        <v/>
      </c>
      <c r="Q34" s="11" t="str">
        <f aca="false">IF(OR(I34="",I34&lt;1,O34=""),"",O34+0)</f>
        <v/>
      </c>
      <c r="R34" s="11" t="str">
        <f aca="false">IF(OR(I34="",I34&lt;2,O34=""),"",O34+30)</f>
        <v/>
      </c>
      <c r="S34" s="11" t="str">
        <f aca="false">IF(OR(I34="",I34&lt;3,O34=""),"",O34+60)</f>
        <v/>
      </c>
      <c r="T34" s="11" t="str">
        <f aca="false">IF(OR(I34="",I34&lt;4,O34=""),"",O34+90)</f>
        <v/>
      </c>
      <c r="U34" s="11" t="str">
        <f aca="false">IF(OR(I34="",I34&lt;5,O34=""),"",O34+120)</f>
        <v/>
      </c>
      <c r="V34" s="11" t="str">
        <f aca="false">IF(OR(I34="",I34&lt;6,O34=""),"",O34+150)</f>
        <v/>
      </c>
      <c r="W34" s="11" t="str">
        <f aca="false">IF(OR(I34="",I34&lt;7,O34=""),"",O34+180)</f>
        <v/>
      </c>
      <c r="X34" s="11" t="str">
        <f aca="false">IF(OR(I34="",I34&lt;8,O34=""),"",O34+210)</f>
        <v/>
      </c>
      <c r="Y34" s="11" t="str">
        <f aca="false">IF(OR(I34="",I34&lt;9,O34=""),"",O34+240)</f>
        <v/>
      </c>
      <c r="Z34" s="11" t="str">
        <f aca="false">IF(OR(I34="",I34&lt;10,O34=""),"",O34+270)</f>
        <v/>
      </c>
      <c r="AA34" s="11" t="str">
        <f aca="false">IF(OR(I34="",I34&lt;11,O34=""),"",O34+300)</f>
        <v/>
      </c>
      <c r="AB34" s="11" t="str">
        <f aca="false">IF(OR(I34="",I34&lt;12,O34=""),"",O34+330)</f>
        <v/>
      </c>
      <c r="AC34" s="11" t="str">
        <f aca="false">IF(OR(I34="",I34&lt;13,O34=""),"",O34+360)</f>
        <v/>
      </c>
      <c r="AD34" s="11" t="str">
        <f aca="false">IF(OR(I34="",I34&lt;14,O34=""),"",O34+390)</f>
        <v/>
      </c>
      <c r="AE34" s="11" t="str">
        <f aca="false">IF(OR(I34="",I34&lt;15,O34=""),"",O34+420)</f>
        <v/>
      </c>
      <c r="AF34" s="11" t="str">
        <f aca="false">IF(OR(I34="",I34&lt;16,O34=""),"",O34+450)</f>
        <v/>
      </c>
      <c r="AG34" s="11" t="str">
        <f aca="false">IF(OR(I34="",I34&lt;17,O34=""),"",O34+480)</f>
        <v/>
      </c>
      <c r="AH34" s="11" t="str">
        <f aca="false">IF(OR(I34="",I34&lt;18,O34=""),"",O34+510)</f>
        <v/>
      </c>
      <c r="AI34" s="11" t="str">
        <f aca="false">IF(OR(I34="",I34&lt;19,O34=""),"",O34+540)</f>
        <v/>
      </c>
      <c r="AJ34" s="11" t="str">
        <f aca="false">IF(OR(I34="",I34&lt;20,O34=""),"",O34+570)</f>
        <v/>
      </c>
      <c r="AK34" s="11" t="str">
        <f aca="false">IF(OR(I34="",I34&lt;21,O34=""),"",O34+600)</f>
        <v/>
      </c>
      <c r="AL34" s="11" t="str">
        <f aca="false">IF(OR(I34="",I34&lt;22,O34=""),"",O34+630)</f>
        <v/>
      </c>
      <c r="AM34" s="11" t="str">
        <f aca="false">IF(OR(I34="",I34&lt;23,O34=""),"",O34+660)</f>
        <v/>
      </c>
      <c r="AN34" s="11" t="str">
        <f aca="false">IF(OR(I34="",I34&lt;24,O34=""),"",O34+690)</f>
        <v/>
      </c>
      <c r="AO34" s="7" t="str">
        <f aca="false">IF(J34="","",COUNTIF(Q34:AN34,TRUE())*J34)</f>
        <v/>
      </c>
      <c r="AP34" s="7" t="str">
        <f aca="false">IF(K34="","",K34-AO34)</f>
        <v/>
      </c>
      <c r="AQ34" s="7" t="str">
        <f aca="false">IF(K34="","",K34-F34-IF(N34="",0,N34))</f>
        <v/>
      </c>
    </row>
    <row r="35" customFormat="false" ht="15" hidden="false" customHeight="false" outlineLevel="0" collapsed="false">
      <c r="A35" s="12"/>
      <c r="B35" s="12"/>
      <c r="C35" s="12"/>
      <c r="D35" s="13"/>
      <c r="E35" s="13"/>
      <c r="F35" s="14"/>
      <c r="G35" s="12"/>
      <c r="H35" s="12"/>
      <c r="I35" s="12"/>
      <c r="J35" s="14"/>
      <c r="K35" s="15" t="str">
        <f aca="false">IF(OR(I35="",J35=""),"",I35*J35)</f>
        <v/>
      </c>
      <c r="L35" s="12"/>
      <c r="M35" s="16"/>
      <c r="N35" s="15" t="str">
        <f aca="false">IF(OR(L35="",M35="",K35=""),"",IF(L35="GANANCIA",(K35-F35)*M35,IF(L35="BRUTO",K35*M35,"")))</f>
        <v/>
      </c>
      <c r="O35" s="17" t="str">
        <f aca="false">IF(D35="","",D35+30)</f>
        <v/>
      </c>
      <c r="P35" s="18" t="str">
        <f aca="false">IF(I35="","",IF(COUNTIF(Q35:AN35,TRUE())&gt;=I35,"PAGADO",IF(COUNTIF(Q35:AN35,TRUE())&gt;0,"PARCIAL","VIGENTE")))</f>
        <v/>
      </c>
      <c r="Q35" s="19" t="str">
        <f aca="false">IF(OR(I35="",I35&lt;1,O35=""),"",O35+0)</f>
        <v/>
      </c>
      <c r="R35" s="19" t="str">
        <f aca="false">IF(OR(I35="",I35&lt;2,O35=""),"",O35+30)</f>
        <v/>
      </c>
      <c r="S35" s="19" t="str">
        <f aca="false">IF(OR(I35="",I35&lt;3,O35=""),"",O35+60)</f>
        <v/>
      </c>
      <c r="T35" s="19" t="str">
        <f aca="false">IF(OR(I35="",I35&lt;4,O35=""),"",O35+90)</f>
        <v/>
      </c>
      <c r="U35" s="19" t="str">
        <f aca="false">IF(OR(I35="",I35&lt;5,O35=""),"",O35+120)</f>
        <v/>
      </c>
      <c r="V35" s="19" t="str">
        <f aca="false">IF(OR(I35="",I35&lt;6,O35=""),"",O35+150)</f>
        <v/>
      </c>
      <c r="W35" s="19" t="str">
        <f aca="false">IF(OR(I35="",I35&lt;7,O35=""),"",O35+180)</f>
        <v/>
      </c>
      <c r="X35" s="19" t="str">
        <f aca="false">IF(OR(I35="",I35&lt;8,O35=""),"",O35+210)</f>
        <v/>
      </c>
      <c r="Y35" s="19" t="str">
        <f aca="false">IF(OR(I35="",I35&lt;9,O35=""),"",O35+240)</f>
        <v/>
      </c>
      <c r="Z35" s="19" t="str">
        <f aca="false">IF(OR(I35="",I35&lt;10,O35=""),"",O35+270)</f>
        <v/>
      </c>
      <c r="AA35" s="19" t="str">
        <f aca="false">IF(OR(I35="",I35&lt;11,O35=""),"",O35+300)</f>
        <v/>
      </c>
      <c r="AB35" s="19" t="str">
        <f aca="false">IF(OR(I35="",I35&lt;12,O35=""),"",O35+330)</f>
        <v/>
      </c>
      <c r="AC35" s="19" t="str">
        <f aca="false">IF(OR(I35="",I35&lt;13,O35=""),"",O35+360)</f>
        <v/>
      </c>
      <c r="AD35" s="19" t="str">
        <f aca="false">IF(OR(I35="",I35&lt;14,O35=""),"",O35+390)</f>
        <v/>
      </c>
      <c r="AE35" s="19" t="str">
        <f aca="false">IF(OR(I35="",I35&lt;15,O35=""),"",O35+420)</f>
        <v/>
      </c>
      <c r="AF35" s="19" t="str">
        <f aca="false">IF(OR(I35="",I35&lt;16,O35=""),"",O35+450)</f>
        <v/>
      </c>
      <c r="AG35" s="19" t="str">
        <f aca="false">IF(OR(I35="",I35&lt;17,O35=""),"",O35+480)</f>
        <v/>
      </c>
      <c r="AH35" s="19" t="str">
        <f aca="false">IF(OR(I35="",I35&lt;18,O35=""),"",O35+510)</f>
        <v/>
      </c>
      <c r="AI35" s="19" t="str">
        <f aca="false">IF(OR(I35="",I35&lt;19,O35=""),"",O35+540)</f>
        <v/>
      </c>
      <c r="AJ35" s="19" t="str">
        <f aca="false">IF(OR(I35="",I35&lt;20,O35=""),"",O35+570)</f>
        <v/>
      </c>
      <c r="AK35" s="19" t="str">
        <f aca="false">IF(OR(I35="",I35&lt;21,O35=""),"",O35+600)</f>
        <v/>
      </c>
      <c r="AL35" s="19" t="str">
        <f aca="false">IF(OR(I35="",I35&lt;22,O35=""),"",O35+630)</f>
        <v/>
      </c>
      <c r="AM35" s="19" t="str">
        <f aca="false">IF(OR(I35="",I35&lt;23,O35=""),"",O35+660)</f>
        <v/>
      </c>
      <c r="AN35" s="19" t="str">
        <f aca="false">IF(OR(I35="",I35&lt;24,O35=""),"",O35+690)</f>
        <v/>
      </c>
      <c r="AO35" s="15" t="str">
        <f aca="false">IF(J35="","",COUNTIF(Q35:AN35,TRUE())*J35)</f>
        <v/>
      </c>
      <c r="AP35" s="15" t="str">
        <f aca="false">IF(K35="","",K35-AO35)</f>
        <v/>
      </c>
      <c r="AQ35" s="15" t="str">
        <f aca="false">IF(K35="","",K35-F35-IF(N35="",0,N35))</f>
        <v/>
      </c>
    </row>
    <row r="36" customFormat="false" ht="15" hidden="false" customHeight="false" outlineLevel="0" collapsed="false">
      <c r="A36" s="4"/>
      <c r="B36" s="4"/>
      <c r="C36" s="4"/>
      <c r="D36" s="5"/>
      <c r="E36" s="5"/>
      <c r="F36" s="6"/>
      <c r="G36" s="4"/>
      <c r="H36" s="4"/>
      <c r="I36" s="4"/>
      <c r="J36" s="6"/>
      <c r="K36" s="7" t="str">
        <f aca="false">IF(OR(I36="",J36=""),"",I36*J36)</f>
        <v/>
      </c>
      <c r="L36" s="4"/>
      <c r="M36" s="8"/>
      <c r="N36" s="7" t="str">
        <f aca="false">IF(OR(L36="",M36="",K36=""),"",IF(L36="GANANCIA",(K36-F36)*M36,IF(L36="BRUTO",K36*M36,"")))</f>
        <v/>
      </c>
      <c r="O36" s="9" t="str">
        <f aca="false">IF(D36="","",D36+30)</f>
        <v/>
      </c>
      <c r="P36" s="10" t="str">
        <f aca="false">IF(I36="","",IF(COUNTIF(Q36:AN36,TRUE())&gt;=I36,"PAGADO",IF(COUNTIF(Q36:AN36,TRUE())&gt;0,"PARCIAL","VIGENTE")))</f>
        <v/>
      </c>
      <c r="Q36" s="11" t="str">
        <f aca="false">IF(OR(I36="",I36&lt;1,O36=""),"",O36+0)</f>
        <v/>
      </c>
      <c r="R36" s="11" t="str">
        <f aca="false">IF(OR(I36="",I36&lt;2,O36=""),"",O36+30)</f>
        <v/>
      </c>
      <c r="S36" s="11" t="str">
        <f aca="false">IF(OR(I36="",I36&lt;3,O36=""),"",O36+60)</f>
        <v/>
      </c>
      <c r="T36" s="11" t="str">
        <f aca="false">IF(OR(I36="",I36&lt;4,O36=""),"",O36+90)</f>
        <v/>
      </c>
      <c r="U36" s="11" t="str">
        <f aca="false">IF(OR(I36="",I36&lt;5,O36=""),"",O36+120)</f>
        <v/>
      </c>
      <c r="V36" s="11" t="str">
        <f aca="false">IF(OR(I36="",I36&lt;6,O36=""),"",O36+150)</f>
        <v/>
      </c>
      <c r="W36" s="11" t="str">
        <f aca="false">IF(OR(I36="",I36&lt;7,O36=""),"",O36+180)</f>
        <v/>
      </c>
      <c r="X36" s="11" t="str">
        <f aca="false">IF(OR(I36="",I36&lt;8,O36=""),"",O36+210)</f>
        <v/>
      </c>
      <c r="Y36" s="11" t="str">
        <f aca="false">IF(OR(I36="",I36&lt;9,O36=""),"",O36+240)</f>
        <v/>
      </c>
      <c r="Z36" s="11" t="str">
        <f aca="false">IF(OR(I36="",I36&lt;10,O36=""),"",O36+270)</f>
        <v/>
      </c>
      <c r="AA36" s="11" t="str">
        <f aca="false">IF(OR(I36="",I36&lt;11,O36=""),"",O36+300)</f>
        <v/>
      </c>
      <c r="AB36" s="11" t="str">
        <f aca="false">IF(OR(I36="",I36&lt;12,O36=""),"",O36+330)</f>
        <v/>
      </c>
      <c r="AC36" s="11" t="str">
        <f aca="false">IF(OR(I36="",I36&lt;13,O36=""),"",O36+360)</f>
        <v/>
      </c>
      <c r="AD36" s="11" t="str">
        <f aca="false">IF(OR(I36="",I36&lt;14,O36=""),"",O36+390)</f>
        <v/>
      </c>
      <c r="AE36" s="11" t="str">
        <f aca="false">IF(OR(I36="",I36&lt;15,O36=""),"",O36+420)</f>
        <v/>
      </c>
      <c r="AF36" s="11" t="str">
        <f aca="false">IF(OR(I36="",I36&lt;16,O36=""),"",O36+450)</f>
        <v/>
      </c>
      <c r="AG36" s="11" t="str">
        <f aca="false">IF(OR(I36="",I36&lt;17,O36=""),"",O36+480)</f>
        <v/>
      </c>
      <c r="AH36" s="11" t="str">
        <f aca="false">IF(OR(I36="",I36&lt;18,O36=""),"",O36+510)</f>
        <v/>
      </c>
      <c r="AI36" s="11" t="str">
        <f aca="false">IF(OR(I36="",I36&lt;19,O36=""),"",O36+540)</f>
        <v/>
      </c>
      <c r="AJ36" s="11" t="str">
        <f aca="false">IF(OR(I36="",I36&lt;20,O36=""),"",O36+570)</f>
        <v/>
      </c>
      <c r="AK36" s="11" t="str">
        <f aca="false">IF(OR(I36="",I36&lt;21,O36=""),"",O36+600)</f>
        <v/>
      </c>
      <c r="AL36" s="11" t="str">
        <f aca="false">IF(OR(I36="",I36&lt;22,O36=""),"",O36+630)</f>
        <v/>
      </c>
      <c r="AM36" s="11" t="str">
        <f aca="false">IF(OR(I36="",I36&lt;23,O36=""),"",O36+660)</f>
        <v/>
      </c>
      <c r="AN36" s="11" t="str">
        <f aca="false">IF(OR(I36="",I36&lt;24,O36=""),"",O36+690)</f>
        <v/>
      </c>
      <c r="AO36" s="7" t="str">
        <f aca="false">IF(J36="","",COUNTIF(Q36:AN36,TRUE())*J36)</f>
        <v/>
      </c>
      <c r="AP36" s="7" t="str">
        <f aca="false">IF(K36="","",K36-AO36)</f>
        <v/>
      </c>
      <c r="AQ36" s="7" t="str">
        <f aca="false">IF(K36="","",K36-F36-IF(N36="",0,N36))</f>
        <v/>
      </c>
    </row>
    <row r="37" customFormat="false" ht="15" hidden="false" customHeight="false" outlineLevel="0" collapsed="false">
      <c r="A37" s="12"/>
      <c r="B37" s="12"/>
      <c r="C37" s="12"/>
      <c r="D37" s="13"/>
      <c r="E37" s="13"/>
      <c r="F37" s="14"/>
      <c r="G37" s="12"/>
      <c r="H37" s="12"/>
      <c r="I37" s="12"/>
      <c r="J37" s="14"/>
      <c r="K37" s="15" t="str">
        <f aca="false">IF(OR(I37="",J37=""),"",I37*J37)</f>
        <v/>
      </c>
      <c r="L37" s="12"/>
      <c r="M37" s="16"/>
      <c r="N37" s="15" t="str">
        <f aca="false">IF(OR(L37="",M37="",K37=""),"",IF(L37="GANANCIA",(K37-F37)*M37,IF(L37="BRUTO",K37*M37,"")))</f>
        <v/>
      </c>
      <c r="O37" s="17" t="str">
        <f aca="false">IF(D37="","",D37+30)</f>
        <v/>
      </c>
      <c r="P37" s="18" t="str">
        <f aca="false">IF(I37="","",IF(COUNTIF(Q37:AN37,TRUE())&gt;=I37,"PAGADO",IF(COUNTIF(Q37:AN37,TRUE())&gt;0,"PARCIAL","VIGENTE")))</f>
        <v/>
      </c>
      <c r="Q37" s="19" t="str">
        <f aca="false">IF(OR(I37="",I37&lt;1,O37=""),"",O37+0)</f>
        <v/>
      </c>
      <c r="R37" s="19" t="str">
        <f aca="false">IF(OR(I37="",I37&lt;2,O37=""),"",O37+30)</f>
        <v/>
      </c>
      <c r="S37" s="19" t="str">
        <f aca="false">IF(OR(I37="",I37&lt;3,O37=""),"",O37+60)</f>
        <v/>
      </c>
      <c r="T37" s="19" t="str">
        <f aca="false">IF(OR(I37="",I37&lt;4,O37=""),"",O37+90)</f>
        <v/>
      </c>
      <c r="U37" s="19" t="str">
        <f aca="false">IF(OR(I37="",I37&lt;5,O37=""),"",O37+120)</f>
        <v/>
      </c>
      <c r="V37" s="19" t="str">
        <f aca="false">IF(OR(I37="",I37&lt;6,O37=""),"",O37+150)</f>
        <v/>
      </c>
      <c r="W37" s="19" t="str">
        <f aca="false">IF(OR(I37="",I37&lt;7,O37=""),"",O37+180)</f>
        <v/>
      </c>
      <c r="X37" s="19" t="str">
        <f aca="false">IF(OR(I37="",I37&lt;8,O37=""),"",O37+210)</f>
        <v/>
      </c>
      <c r="Y37" s="19" t="str">
        <f aca="false">IF(OR(I37="",I37&lt;9,O37=""),"",O37+240)</f>
        <v/>
      </c>
      <c r="Z37" s="19" t="str">
        <f aca="false">IF(OR(I37="",I37&lt;10,O37=""),"",O37+270)</f>
        <v/>
      </c>
      <c r="AA37" s="19" t="str">
        <f aca="false">IF(OR(I37="",I37&lt;11,O37=""),"",O37+300)</f>
        <v/>
      </c>
      <c r="AB37" s="19" t="str">
        <f aca="false">IF(OR(I37="",I37&lt;12,O37=""),"",O37+330)</f>
        <v/>
      </c>
      <c r="AC37" s="19" t="str">
        <f aca="false">IF(OR(I37="",I37&lt;13,O37=""),"",O37+360)</f>
        <v/>
      </c>
      <c r="AD37" s="19" t="str">
        <f aca="false">IF(OR(I37="",I37&lt;14,O37=""),"",O37+390)</f>
        <v/>
      </c>
      <c r="AE37" s="19" t="str">
        <f aca="false">IF(OR(I37="",I37&lt;15,O37=""),"",O37+420)</f>
        <v/>
      </c>
      <c r="AF37" s="19" t="str">
        <f aca="false">IF(OR(I37="",I37&lt;16,O37=""),"",O37+450)</f>
        <v/>
      </c>
      <c r="AG37" s="19" t="str">
        <f aca="false">IF(OR(I37="",I37&lt;17,O37=""),"",O37+480)</f>
        <v/>
      </c>
      <c r="AH37" s="19" t="str">
        <f aca="false">IF(OR(I37="",I37&lt;18,O37=""),"",O37+510)</f>
        <v/>
      </c>
      <c r="AI37" s="19" t="str">
        <f aca="false">IF(OR(I37="",I37&lt;19,O37=""),"",O37+540)</f>
        <v/>
      </c>
      <c r="AJ37" s="19" t="str">
        <f aca="false">IF(OR(I37="",I37&lt;20,O37=""),"",O37+570)</f>
        <v/>
      </c>
      <c r="AK37" s="19" t="str">
        <f aca="false">IF(OR(I37="",I37&lt;21,O37=""),"",O37+600)</f>
        <v/>
      </c>
      <c r="AL37" s="19" t="str">
        <f aca="false">IF(OR(I37="",I37&lt;22,O37=""),"",O37+630)</f>
        <v/>
      </c>
      <c r="AM37" s="19" t="str">
        <f aca="false">IF(OR(I37="",I37&lt;23,O37=""),"",O37+660)</f>
        <v/>
      </c>
      <c r="AN37" s="19" t="str">
        <f aca="false">IF(OR(I37="",I37&lt;24,O37=""),"",O37+690)</f>
        <v/>
      </c>
      <c r="AO37" s="15" t="str">
        <f aca="false">IF(J37="","",COUNTIF(Q37:AN37,TRUE())*J37)</f>
        <v/>
      </c>
      <c r="AP37" s="15" t="str">
        <f aca="false">IF(K37="","",K37-AO37)</f>
        <v/>
      </c>
      <c r="AQ37" s="15" t="str">
        <f aca="false">IF(K37="","",K37-F37-IF(N37="",0,N37))</f>
        <v/>
      </c>
    </row>
    <row r="38" customFormat="false" ht="15" hidden="false" customHeight="false" outlineLevel="0" collapsed="false">
      <c r="A38" s="4"/>
      <c r="B38" s="4"/>
      <c r="C38" s="4"/>
      <c r="D38" s="5"/>
      <c r="E38" s="5"/>
      <c r="F38" s="6"/>
      <c r="G38" s="4"/>
      <c r="H38" s="4"/>
      <c r="I38" s="4"/>
      <c r="J38" s="6"/>
      <c r="K38" s="7" t="str">
        <f aca="false">IF(OR(I38="",J38=""),"",I38*J38)</f>
        <v/>
      </c>
      <c r="L38" s="4"/>
      <c r="M38" s="8"/>
      <c r="N38" s="7" t="str">
        <f aca="false">IF(OR(L38="",M38="",K38=""),"",IF(L38="GANANCIA",(K38-F38)*M38,IF(L38="BRUTO",K38*M38,"")))</f>
        <v/>
      </c>
      <c r="O38" s="9" t="str">
        <f aca="false">IF(D38="","",D38+30)</f>
        <v/>
      </c>
      <c r="P38" s="10" t="str">
        <f aca="false">IF(I38="","",IF(COUNTIF(Q38:AN38,TRUE())&gt;=I38,"PAGADO",IF(COUNTIF(Q38:AN38,TRUE())&gt;0,"PARCIAL","VIGENTE")))</f>
        <v/>
      </c>
      <c r="Q38" s="11" t="str">
        <f aca="false">IF(OR(I38="",I38&lt;1,O38=""),"",O38+0)</f>
        <v/>
      </c>
      <c r="R38" s="11" t="str">
        <f aca="false">IF(OR(I38="",I38&lt;2,O38=""),"",O38+30)</f>
        <v/>
      </c>
      <c r="S38" s="11" t="str">
        <f aca="false">IF(OR(I38="",I38&lt;3,O38=""),"",O38+60)</f>
        <v/>
      </c>
      <c r="T38" s="11" t="str">
        <f aca="false">IF(OR(I38="",I38&lt;4,O38=""),"",O38+90)</f>
        <v/>
      </c>
      <c r="U38" s="11" t="str">
        <f aca="false">IF(OR(I38="",I38&lt;5,O38=""),"",O38+120)</f>
        <v/>
      </c>
      <c r="V38" s="11" t="str">
        <f aca="false">IF(OR(I38="",I38&lt;6,O38=""),"",O38+150)</f>
        <v/>
      </c>
      <c r="W38" s="11" t="str">
        <f aca="false">IF(OR(I38="",I38&lt;7,O38=""),"",O38+180)</f>
        <v/>
      </c>
      <c r="X38" s="11" t="str">
        <f aca="false">IF(OR(I38="",I38&lt;8,O38=""),"",O38+210)</f>
        <v/>
      </c>
      <c r="Y38" s="11" t="str">
        <f aca="false">IF(OR(I38="",I38&lt;9,O38=""),"",O38+240)</f>
        <v/>
      </c>
      <c r="Z38" s="11" t="str">
        <f aca="false">IF(OR(I38="",I38&lt;10,O38=""),"",O38+270)</f>
        <v/>
      </c>
      <c r="AA38" s="11" t="str">
        <f aca="false">IF(OR(I38="",I38&lt;11,O38=""),"",O38+300)</f>
        <v/>
      </c>
      <c r="AB38" s="11" t="str">
        <f aca="false">IF(OR(I38="",I38&lt;12,O38=""),"",O38+330)</f>
        <v/>
      </c>
      <c r="AC38" s="11" t="str">
        <f aca="false">IF(OR(I38="",I38&lt;13,O38=""),"",O38+360)</f>
        <v/>
      </c>
      <c r="AD38" s="11" t="str">
        <f aca="false">IF(OR(I38="",I38&lt;14,O38=""),"",O38+390)</f>
        <v/>
      </c>
      <c r="AE38" s="11" t="str">
        <f aca="false">IF(OR(I38="",I38&lt;15,O38=""),"",O38+420)</f>
        <v/>
      </c>
      <c r="AF38" s="11" t="str">
        <f aca="false">IF(OR(I38="",I38&lt;16,O38=""),"",O38+450)</f>
        <v/>
      </c>
      <c r="AG38" s="11" t="str">
        <f aca="false">IF(OR(I38="",I38&lt;17,O38=""),"",O38+480)</f>
        <v/>
      </c>
      <c r="AH38" s="11" t="str">
        <f aca="false">IF(OR(I38="",I38&lt;18,O38=""),"",O38+510)</f>
        <v/>
      </c>
      <c r="AI38" s="11" t="str">
        <f aca="false">IF(OR(I38="",I38&lt;19,O38=""),"",O38+540)</f>
        <v/>
      </c>
      <c r="AJ38" s="11" t="str">
        <f aca="false">IF(OR(I38="",I38&lt;20,O38=""),"",O38+570)</f>
        <v/>
      </c>
      <c r="AK38" s="11" t="str">
        <f aca="false">IF(OR(I38="",I38&lt;21,O38=""),"",O38+600)</f>
        <v/>
      </c>
      <c r="AL38" s="11" t="str">
        <f aca="false">IF(OR(I38="",I38&lt;22,O38=""),"",O38+630)</f>
        <v/>
      </c>
      <c r="AM38" s="11" t="str">
        <f aca="false">IF(OR(I38="",I38&lt;23,O38=""),"",O38+660)</f>
        <v/>
      </c>
      <c r="AN38" s="11" t="str">
        <f aca="false">IF(OR(I38="",I38&lt;24,O38=""),"",O38+690)</f>
        <v/>
      </c>
      <c r="AO38" s="7" t="str">
        <f aca="false">IF(J38="","",COUNTIF(Q38:AN38,TRUE())*J38)</f>
        <v/>
      </c>
      <c r="AP38" s="7" t="str">
        <f aca="false">IF(K38="","",K38-AO38)</f>
        <v/>
      </c>
      <c r="AQ38" s="7" t="str">
        <f aca="false">IF(K38="","",K38-F38-IF(N38="",0,N38))</f>
        <v/>
      </c>
    </row>
    <row r="39" customFormat="false" ht="15" hidden="false" customHeight="false" outlineLevel="0" collapsed="false">
      <c r="A39" s="12"/>
      <c r="B39" s="12"/>
      <c r="C39" s="12"/>
      <c r="D39" s="13"/>
      <c r="E39" s="13"/>
      <c r="F39" s="14"/>
      <c r="G39" s="12"/>
      <c r="H39" s="12"/>
      <c r="I39" s="12"/>
      <c r="J39" s="14"/>
      <c r="K39" s="15" t="str">
        <f aca="false">IF(OR(I39="",J39=""),"",I39*J39)</f>
        <v/>
      </c>
      <c r="L39" s="12"/>
      <c r="M39" s="16"/>
      <c r="N39" s="15" t="str">
        <f aca="false">IF(OR(L39="",M39="",K39=""),"",IF(L39="GANANCIA",(K39-F39)*M39,IF(L39="BRUTO",K39*M39,"")))</f>
        <v/>
      </c>
      <c r="O39" s="17" t="str">
        <f aca="false">IF(D39="","",D39+30)</f>
        <v/>
      </c>
      <c r="P39" s="18" t="str">
        <f aca="false">IF(I39="","",IF(COUNTIF(Q39:AN39,TRUE())&gt;=I39,"PAGADO",IF(COUNTIF(Q39:AN39,TRUE())&gt;0,"PARCIAL","VIGENTE")))</f>
        <v/>
      </c>
      <c r="Q39" s="19" t="str">
        <f aca="false">IF(OR(I39="",I39&lt;1,O39=""),"",O39+0)</f>
        <v/>
      </c>
      <c r="R39" s="19" t="str">
        <f aca="false">IF(OR(I39="",I39&lt;2,O39=""),"",O39+30)</f>
        <v/>
      </c>
      <c r="S39" s="19" t="str">
        <f aca="false">IF(OR(I39="",I39&lt;3,O39=""),"",O39+60)</f>
        <v/>
      </c>
      <c r="T39" s="19" t="str">
        <f aca="false">IF(OR(I39="",I39&lt;4,O39=""),"",O39+90)</f>
        <v/>
      </c>
      <c r="U39" s="19" t="str">
        <f aca="false">IF(OR(I39="",I39&lt;5,O39=""),"",O39+120)</f>
        <v/>
      </c>
      <c r="V39" s="19" t="str">
        <f aca="false">IF(OR(I39="",I39&lt;6,O39=""),"",O39+150)</f>
        <v/>
      </c>
      <c r="W39" s="19" t="str">
        <f aca="false">IF(OR(I39="",I39&lt;7,O39=""),"",O39+180)</f>
        <v/>
      </c>
      <c r="X39" s="19" t="str">
        <f aca="false">IF(OR(I39="",I39&lt;8,O39=""),"",O39+210)</f>
        <v/>
      </c>
      <c r="Y39" s="19" t="str">
        <f aca="false">IF(OR(I39="",I39&lt;9,O39=""),"",O39+240)</f>
        <v/>
      </c>
      <c r="Z39" s="19" t="str">
        <f aca="false">IF(OR(I39="",I39&lt;10,O39=""),"",O39+270)</f>
        <v/>
      </c>
      <c r="AA39" s="19" t="str">
        <f aca="false">IF(OR(I39="",I39&lt;11,O39=""),"",O39+300)</f>
        <v/>
      </c>
      <c r="AB39" s="19" t="str">
        <f aca="false">IF(OR(I39="",I39&lt;12,O39=""),"",O39+330)</f>
        <v/>
      </c>
      <c r="AC39" s="19" t="str">
        <f aca="false">IF(OR(I39="",I39&lt;13,O39=""),"",O39+360)</f>
        <v/>
      </c>
      <c r="AD39" s="19" t="str">
        <f aca="false">IF(OR(I39="",I39&lt;14,O39=""),"",O39+390)</f>
        <v/>
      </c>
      <c r="AE39" s="19" t="str">
        <f aca="false">IF(OR(I39="",I39&lt;15,O39=""),"",O39+420)</f>
        <v/>
      </c>
      <c r="AF39" s="19" t="str">
        <f aca="false">IF(OR(I39="",I39&lt;16,O39=""),"",O39+450)</f>
        <v/>
      </c>
      <c r="AG39" s="19" t="str">
        <f aca="false">IF(OR(I39="",I39&lt;17,O39=""),"",O39+480)</f>
        <v/>
      </c>
      <c r="AH39" s="19" t="str">
        <f aca="false">IF(OR(I39="",I39&lt;18,O39=""),"",O39+510)</f>
        <v/>
      </c>
      <c r="AI39" s="19" t="str">
        <f aca="false">IF(OR(I39="",I39&lt;19,O39=""),"",O39+540)</f>
        <v/>
      </c>
      <c r="AJ39" s="19" t="str">
        <f aca="false">IF(OR(I39="",I39&lt;20,O39=""),"",O39+570)</f>
        <v/>
      </c>
      <c r="AK39" s="19" t="str">
        <f aca="false">IF(OR(I39="",I39&lt;21,O39=""),"",O39+600)</f>
        <v/>
      </c>
      <c r="AL39" s="19" t="str">
        <f aca="false">IF(OR(I39="",I39&lt;22,O39=""),"",O39+630)</f>
        <v/>
      </c>
      <c r="AM39" s="19" t="str">
        <f aca="false">IF(OR(I39="",I39&lt;23,O39=""),"",O39+660)</f>
        <v/>
      </c>
      <c r="AN39" s="19" t="str">
        <f aca="false">IF(OR(I39="",I39&lt;24,O39=""),"",O39+690)</f>
        <v/>
      </c>
      <c r="AO39" s="15" t="str">
        <f aca="false">IF(J39="","",COUNTIF(Q39:AN39,TRUE())*J39)</f>
        <v/>
      </c>
      <c r="AP39" s="15" t="str">
        <f aca="false">IF(K39="","",K39-AO39)</f>
        <v/>
      </c>
      <c r="AQ39" s="15" t="str">
        <f aca="false">IF(K39="","",K39-F39-IF(N39="",0,N39))</f>
        <v/>
      </c>
    </row>
    <row r="40" customFormat="false" ht="15" hidden="false" customHeight="false" outlineLevel="0" collapsed="false">
      <c r="A40" s="4"/>
      <c r="B40" s="4"/>
      <c r="C40" s="4"/>
      <c r="D40" s="5"/>
      <c r="E40" s="5"/>
      <c r="F40" s="6"/>
      <c r="G40" s="4"/>
      <c r="H40" s="4"/>
      <c r="I40" s="4"/>
      <c r="J40" s="6"/>
      <c r="K40" s="7" t="str">
        <f aca="false">IF(OR(I40="",J40=""),"",I40*J40)</f>
        <v/>
      </c>
      <c r="L40" s="4"/>
      <c r="M40" s="8"/>
      <c r="N40" s="7" t="str">
        <f aca="false">IF(OR(L40="",M40="",K40=""),"",IF(L40="GANANCIA",(K40-F40)*M40,IF(L40="BRUTO",K40*M40,"")))</f>
        <v/>
      </c>
      <c r="O40" s="9" t="str">
        <f aca="false">IF(D40="","",D40+30)</f>
        <v/>
      </c>
      <c r="P40" s="10" t="str">
        <f aca="false">IF(I40="","",IF(COUNTIF(Q40:AN40,TRUE())&gt;=I40,"PAGADO",IF(COUNTIF(Q40:AN40,TRUE())&gt;0,"PARCIAL","VIGENTE")))</f>
        <v/>
      </c>
      <c r="Q40" s="11" t="str">
        <f aca="false">IF(OR(I40="",I40&lt;1,O40=""),"",O40+0)</f>
        <v/>
      </c>
      <c r="R40" s="11" t="str">
        <f aca="false">IF(OR(I40="",I40&lt;2,O40=""),"",O40+30)</f>
        <v/>
      </c>
      <c r="S40" s="11" t="str">
        <f aca="false">IF(OR(I40="",I40&lt;3,O40=""),"",O40+60)</f>
        <v/>
      </c>
      <c r="T40" s="11" t="str">
        <f aca="false">IF(OR(I40="",I40&lt;4,O40=""),"",O40+90)</f>
        <v/>
      </c>
      <c r="U40" s="11" t="str">
        <f aca="false">IF(OR(I40="",I40&lt;5,O40=""),"",O40+120)</f>
        <v/>
      </c>
      <c r="V40" s="11" t="str">
        <f aca="false">IF(OR(I40="",I40&lt;6,O40=""),"",O40+150)</f>
        <v/>
      </c>
      <c r="W40" s="11" t="str">
        <f aca="false">IF(OR(I40="",I40&lt;7,O40=""),"",O40+180)</f>
        <v/>
      </c>
      <c r="X40" s="11" t="str">
        <f aca="false">IF(OR(I40="",I40&lt;8,O40=""),"",O40+210)</f>
        <v/>
      </c>
      <c r="Y40" s="11" t="str">
        <f aca="false">IF(OR(I40="",I40&lt;9,O40=""),"",O40+240)</f>
        <v/>
      </c>
      <c r="Z40" s="11" t="str">
        <f aca="false">IF(OR(I40="",I40&lt;10,O40=""),"",O40+270)</f>
        <v/>
      </c>
      <c r="AA40" s="11" t="str">
        <f aca="false">IF(OR(I40="",I40&lt;11,O40=""),"",O40+300)</f>
        <v/>
      </c>
      <c r="AB40" s="11" t="str">
        <f aca="false">IF(OR(I40="",I40&lt;12,O40=""),"",O40+330)</f>
        <v/>
      </c>
      <c r="AC40" s="11" t="str">
        <f aca="false">IF(OR(I40="",I40&lt;13,O40=""),"",O40+360)</f>
        <v/>
      </c>
      <c r="AD40" s="11" t="str">
        <f aca="false">IF(OR(I40="",I40&lt;14,O40=""),"",O40+390)</f>
        <v/>
      </c>
      <c r="AE40" s="11" t="str">
        <f aca="false">IF(OR(I40="",I40&lt;15,O40=""),"",O40+420)</f>
        <v/>
      </c>
      <c r="AF40" s="11" t="str">
        <f aca="false">IF(OR(I40="",I40&lt;16,O40=""),"",O40+450)</f>
        <v/>
      </c>
      <c r="AG40" s="11" t="str">
        <f aca="false">IF(OR(I40="",I40&lt;17,O40=""),"",O40+480)</f>
        <v/>
      </c>
      <c r="AH40" s="11" t="str">
        <f aca="false">IF(OR(I40="",I40&lt;18,O40=""),"",O40+510)</f>
        <v/>
      </c>
      <c r="AI40" s="11" t="str">
        <f aca="false">IF(OR(I40="",I40&lt;19,O40=""),"",O40+540)</f>
        <v/>
      </c>
      <c r="AJ40" s="11" t="str">
        <f aca="false">IF(OR(I40="",I40&lt;20,O40=""),"",O40+570)</f>
        <v/>
      </c>
      <c r="AK40" s="11" t="str">
        <f aca="false">IF(OR(I40="",I40&lt;21,O40=""),"",O40+600)</f>
        <v/>
      </c>
      <c r="AL40" s="11" t="str">
        <f aca="false">IF(OR(I40="",I40&lt;22,O40=""),"",O40+630)</f>
        <v/>
      </c>
      <c r="AM40" s="11" t="str">
        <f aca="false">IF(OR(I40="",I40&lt;23,O40=""),"",O40+660)</f>
        <v/>
      </c>
      <c r="AN40" s="11" t="str">
        <f aca="false">IF(OR(I40="",I40&lt;24,O40=""),"",O40+690)</f>
        <v/>
      </c>
      <c r="AO40" s="7" t="str">
        <f aca="false">IF(J40="","",COUNTIF(Q40:AN40,TRUE())*J40)</f>
        <v/>
      </c>
      <c r="AP40" s="7" t="str">
        <f aca="false">IF(K40="","",K40-AO40)</f>
        <v/>
      </c>
      <c r="AQ40" s="7" t="str">
        <f aca="false">IF(K40="","",K40-F40-IF(N40="",0,N40))</f>
        <v/>
      </c>
    </row>
    <row r="41" customFormat="false" ht="15" hidden="false" customHeight="false" outlineLevel="0" collapsed="false">
      <c r="A41" s="12"/>
      <c r="B41" s="12"/>
      <c r="C41" s="12"/>
      <c r="D41" s="13"/>
      <c r="E41" s="13"/>
      <c r="F41" s="14"/>
      <c r="G41" s="12"/>
      <c r="H41" s="12"/>
      <c r="I41" s="12"/>
      <c r="J41" s="14"/>
      <c r="K41" s="15" t="str">
        <f aca="false">IF(OR(I41="",J41=""),"",I41*J41)</f>
        <v/>
      </c>
      <c r="L41" s="12"/>
      <c r="M41" s="16"/>
      <c r="N41" s="15" t="str">
        <f aca="false">IF(OR(L41="",M41="",K41=""),"",IF(L41="GANANCIA",(K41-F41)*M41,IF(L41="BRUTO",K41*M41,"")))</f>
        <v/>
      </c>
      <c r="O41" s="17" t="str">
        <f aca="false">IF(D41="","",D41+30)</f>
        <v/>
      </c>
      <c r="P41" s="18" t="str">
        <f aca="false">IF(I41="","",IF(COUNTIF(Q41:AN41,TRUE())&gt;=I41,"PAGADO",IF(COUNTIF(Q41:AN41,TRUE())&gt;0,"PARCIAL","VIGENTE")))</f>
        <v/>
      </c>
      <c r="Q41" s="19" t="str">
        <f aca="false">IF(OR(I41="",I41&lt;1,O41=""),"",O41+0)</f>
        <v/>
      </c>
      <c r="R41" s="19" t="str">
        <f aca="false">IF(OR(I41="",I41&lt;2,O41=""),"",O41+30)</f>
        <v/>
      </c>
      <c r="S41" s="19" t="str">
        <f aca="false">IF(OR(I41="",I41&lt;3,O41=""),"",O41+60)</f>
        <v/>
      </c>
      <c r="T41" s="19" t="str">
        <f aca="false">IF(OR(I41="",I41&lt;4,O41=""),"",O41+90)</f>
        <v/>
      </c>
      <c r="U41" s="19" t="str">
        <f aca="false">IF(OR(I41="",I41&lt;5,O41=""),"",O41+120)</f>
        <v/>
      </c>
      <c r="V41" s="19" t="str">
        <f aca="false">IF(OR(I41="",I41&lt;6,O41=""),"",O41+150)</f>
        <v/>
      </c>
      <c r="W41" s="19" t="str">
        <f aca="false">IF(OR(I41="",I41&lt;7,O41=""),"",O41+180)</f>
        <v/>
      </c>
      <c r="X41" s="19" t="str">
        <f aca="false">IF(OR(I41="",I41&lt;8,O41=""),"",O41+210)</f>
        <v/>
      </c>
      <c r="Y41" s="19" t="str">
        <f aca="false">IF(OR(I41="",I41&lt;9,O41=""),"",O41+240)</f>
        <v/>
      </c>
      <c r="Z41" s="19" t="str">
        <f aca="false">IF(OR(I41="",I41&lt;10,O41=""),"",O41+270)</f>
        <v/>
      </c>
      <c r="AA41" s="19" t="str">
        <f aca="false">IF(OR(I41="",I41&lt;11,O41=""),"",O41+300)</f>
        <v/>
      </c>
      <c r="AB41" s="19" t="str">
        <f aca="false">IF(OR(I41="",I41&lt;12,O41=""),"",O41+330)</f>
        <v/>
      </c>
      <c r="AC41" s="19" t="str">
        <f aca="false">IF(OR(I41="",I41&lt;13,O41=""),"",O41+360)</f>
        <v/>
      </c>
      <c r="AD41" s="19" t="str">
        <f aca="false">IF(OR(I41="",I41&lt;14,O41=""),"",O41+390)</f>
        <v/>
      </c>
      <c r="AE41" s="19" t="str">
        <f aca="false">IF(OR(I41="",I41&lt;15,O41=""),"",O41+420)</f>
        <v/>
      </c>
      <c r="AF41" s="19" t="str">
        <f aca="false">IF(OR(I41="",I41&lt;16,O41=""),"",O41+450)</f>
        <v/>
      </c>
      <c r="AG41" s="19" t="str">
        <f aca="false">IF(OR(I41="",I41&lt;17,O41=""),"",O41+480)</f>
        <v/>
      </c>
      <c r="AH41" s="19" t="str">
        <f aca="false">IF(OR(I41="",I41&lt;18,O41=""),"",O41+510)</f>
        <v/>
      </c>
      <c r="AI41" s="19" t="str">
        <f aca="false">IF(OR(I41="",I41&lt;19,O41=""),"",O41+540)</f>
        <v/>
      </c>
      <c r="AJ41" s="19" t="str">
        <f aca="false">IF(OR(I41="",I41&lt;20,O41=""),"",O41+570)</f>
        <v/>
      </c>
      <c r="AK41" s="19" t="str">
        <f aca="false">IF(OR(I41="",I41&lt;21,O41=""),"",O41+600)</f>
        <v/>
      </c>
      <c r="AL41" s="19" t="str">
        <f aca="false">IF(OR(I41="",I41&lt;22,O41=""),"",O41+630)</f>
        <v/>
      </c>
      <c r="AM41" s="19" t="str">
        <f aca="false">IF(OR(I41="",I41&lt;23,O41=""),"",O41+660)</f>
        <v/>
      </c>
      <c r="AN41" s="19" t="str">
        <f aca="false">IF(OR(I41="",I41&lt;24,O41=""),"",O41+690)</f>
        <v/>
      </c>
      <c r="AO41" s="15" t="str">
        <f aca="false">IF(J41="","",COUNTIF(Q41:AN41,TRUE())*J41)</f>
        <v/>
      </c>
      <c r="AP41" s="15" t="str">
        <f aca="false">IF(K41="","",K41-AO41)</f>
        <v/>
      </c>
      <c r="AQ41" s="15" t="str">
        <f aca="false">IF(K41="","",K41-F41-IF(N41="",0,N41))</f>
        <v/>
      </c>
    </row>
    <row r="42" customFormat="false" ht="15" hidden="false" customHeight="false" outlineLevel="0" collapsed="false">
      <c r="A42" s="4"/>
      <c r="B42" s="4"/>
      <c r="C42" s="4"/>
      <c r="D42" s="5"/>
      <c r="E42" s="5"/>
      <c r="F42" s="6"/>
      <c r="G42" s="4"/>
      <c r="H42" s="4"/>
      <c r="I42" s="4"/>
      <c r="J42" s="6"/>
      <c r="K42" s="7" t="str">
        <f aca="false">IF(OR(I42="",J42=""),"",I42*J42)</f>
        <v/>
      </c>
      <c r="L42" s="4"/>
      <c r="M42" s="8"/>
      <c r="N42" s="7" t="str">
        <f aca="false">IF(OR(L42="",M42="",K42=""),"",IF(L42="GANANCIA",(K42-F42)*M42,IF(L42="BRUTO",K42*M42,"")))</f>
        <v/>
      </c>
      <c r="O42" s="9" t="str">
        <f aca="false">IF(D42="","",D42+30)</f>
        <v/>
      </c>
      <c r="P42" s="10" t="str">
        <f aca="false">IF(I42="","",IF(COUNTIF(Q42:AN42,TRUE())&gt;=I42,"PAGADO",IF(COUNTIF(Q42:AN42,TRUE())&gt;0,"PARCIAL","VIGENTE")))</f>
        <v/>
      </c>
      <c r="Q42" s="11" t="str">
        <f aca="false">IF(OR(I42="",I42&lt;1,O42=""),"",O42+0)</f>
        <v/>
      </c>
      <c r="R42" s="11" t="str">
        <f aca="false">IF(OR(I42="",I42&lt;2,O42=""),"",O42+30)</f>
        <v/>
      </c>
      <c r="S42" s="11" t="str">
        <f aca="false">IF(OR(I42="",I42&lt;3,O42=""),"",O42+60)</f>
        <v/>
      </c>
      <c r="T42" s="11" t="str">
        <f aca="false">IF(OR(I42="",I42&lt;4,O42=""),"",O42+90)</f>
        <v/>
      </c>
      <c r="U42" s="11" t="str">
        <f aca="false">IF(OR(I42="",I42&lt;5,O42=""),"",O42+120)</f>
        <v/>
      </c>
      <c r="V42" s="11" t="str">
        <f aca="false">IF(OR(I42="",I42&lt;6,O42=""),"",O42+150)</f>
        <v/>
      </c>
      <c r="W42" s="11" t="str">
        <f aca="false">IF(OR(I42="",I42&lt;7,O42=""),"",O42+180)</f>
        <v/>
      </c>
      <c r="X42" s="11" t="str">
        <f aca="false">IF(OR(I42="",I42&lt;8,O42=""),"",O42+210)</f>
        <v/>
      </c>
      <c r="Y42" s="11" t="str">
        <f aca="false">IF(OR(I42="",I42&lt;9,O42=""),"",O42+240)</f>
        <v/>
      </c>
      <c r="Z42" s="11" t="str">
        <f aca="false">IF(OR(I42="",I42&lt;10,O42=""),"",O42+270)</f>
        <v/>
      </c>
      <c r="AA42" s="11" t="str">
        <f aca="false">IF(OR(I42="",I42&lt;11,O42=""),"",O42+300)</f>
        <v/>
      </c>
      <c r="AB42" s="11" t="str">
        <f aca="false">IF(OR(I42="",I42&lt;12,O42=""),"",O42+330)</f>
        <v/>
      </c>
      <c r="AC42" s="11" t="str">
        <f aca="false">IF(OR(I42="",I42&lt;13,O42=""),"",O42+360)</f>
        <v/>
      </c>
      <c r="AD42" s="11" t="str">
        <f aca="false">IF(OR(I42="",I42&lt;14,O42=""),"",O42+390)</f>
        <v/>
      </c>
      <c r="AE42" s="11" t="str">
        <f aca="false">IF(OR(I42="",I42&lt;15,O42=""),"",O42+420)</f>
        <v/>
      </c>
      <c r="AF42" s="11" t="str">
        <f aca="false">IF(OR(I42="",I42&lt;16,O42=""),"",O42+450)</f>
        <v/>
      </c>
      <c r="AG42" s="11" t="str">
        <f aca="false">IF(OR(I42="",I42&lt;17,O42=""),"",O42+480)</f>
        <v/>
      </c>
      <c r="AH42" s="11" t="str">
        <f aca="false">IF(OR(I42="",I42&lt;18,O42=""),"",O42+510)</f>
        <v/>
      </c>
      <c r="AI42" s="11" t="str">
        <f aca="false">IF(OR(I42="",I42&lt;19,O42=""),"",O42+540)</f>
        <v/>
      </c>
      <c r="AJ42" s="11" t="str">
        <f aca="false">IF(OR(I42="",I42&lt;20,O42=""),"",O42+570)</f>
        <v/>
      </c>
      <c r="AK42" s="11" t="str">
        <f aca="false">IF(OR(I42="",I42&lt;21,O42=""),"",O42+600)</f>
        <v/>
      </c>
      <c r="AL42" s="11" t="str">
        <f aca="false">IF(OR(I42="",I42&lt;22,O42=""),"",O42+630)</f>
        <v/>
      </c>
      <c r="AM42" s="11" t="str">
        <f aca="false">IF(OR(I42="",I42&lt;23,O42=""),"",O42+660)</f>
        <v/>
      </c>
      <c r="AN42" s="11" t="str">
        <f aca="false">IF(OR(I42="",I42&lt;24,O42=""),"",O42+690)</f>
        <v/>
      </c>
      <c r="AO42" s="7" t="str">
        <f aca="false">IF(J42="","",COUNTIF(Q42:AN42,TRUE())*J42)</f>
        <v/>
      </c>
      <c r="AP42" s="7" t="str">
        <f aca="false">IF(K42="","",K42-AO42)</f>
        <v/>
      </c>
      <c r="AQ42" s="7" t="str">
        <f aca="false">IF(K42="","",K42-F42-IF(N42="",0,N42))</f>
        <v/>
      </c>
    </row>
    <row r="43" customFormat="false" ht="15" hidden="false" customHeight="false" outlineLevel="0" collapsed="false">
      <c r="A43" s="12"/>
      <c r="B43" s="12"/>
      <c r="C43" s="12"/>
      <c r="D43" s="13"/>
      <c r="E43" s="13"/>
      <c r="F43" s="14"/>
      <c r="G43" s="12"/>
      <c r="H43" s="12"/>
      <c r="I43" s="12"/>
      <c r="J43" s="14"/>
      <c r="K43" s="15" t="str">
        <f aca="false">IF(OR(I43="",J43=""),"",I43*J43)</f>
        <v/>
      </c>
      <c r="L43" s="12"/>
      <c r="M43" s="16"/>
      <c r="N43" s="15" t="str">
        <f aca="false">IF(OR(L43="",M43="",K43=""),"",IF(L43="GANANCIA",(K43-F43)*M43,IF(L43="BRUTO",K43*M43,"")))</f>
        <v/>
      </c>
      <c r="O43" s="17" t="str">
        <f aca="false">IF(D43="","",D43+30)</f>
        <v/>
      </c>
      <c r="P43" s="18" t="str">
        <f aca="false">IF(I43="","",IF(COUNTIF(Q43:AN43,TRUE())&gt;=I43,"PAGADO",IF(COUNTIF(Q43:AN43,TRUE())&gt;0,"PARCIAL","VIGENTE")))</f>
        <v/>
      </c>
      <c r="Q43" s="19" t="str">
        <f aca="false">IF(OR(I43="",I43&lt;1,O43=""),"",O43+0)</f>
        <v/>
      </c>
      <c r="R43" s="19" t="str">
        <f aca="false">IF(OR(I43="",I43&lt;2,O43=""),"",O43+30)</f>
        <v/>
      </c>
      <c r="S43" s="19" t="str">
        <f aca="false">IF(OR(I43="",I43&lt;3,O43=""),"",O43+60)</f>
        <v/>
      </c>
      <c r="T43" s="19" t="str">
        <f aca="false">IF(OR(I43="",I43&lt;4,O43=""),"",O43+90)</f>
        <v/>
      </c>
      <c r="U43" s="19" t="str">
        <f aca="false">IF(OR(I43="",I43&lt;5,O43=""),"",O43+120)</f>
        <v/>
      </c>
      <c r="V43" s="19" t="str">
        <f aca="false">IF(OR(I43="",I43&lt;6,O43=""),"",O43+150)</f>
        <v/>
      </c>
      <c r="W43" s="19" t="str">
        <f aca="false">IF(OR(I43="",I43&lt;7,O43=""),"",O43+180)</f>
        <v/>
      </c>
      <c r="X43" s="19" t="str">
        <f aca="false">IF(OR(I43="",I43&lt;8,O43=""),"",O43+210)</f>
        <v/>
      </c>
      <c r="Y43" s="19" t="str">
        <f aca="false">IF(OR(I43="",I43&lt;9,O43=""),"",O43+240)</f>
        <v/>
      </c>
      <c r="Z43" s="19" t="str">
        <f aca="false">IF(OR(I43="",I43&lt;10,O43=""),"",O43+270)</f>
        <v/>
      </c>
      <c r="AA43" s="19" t="str">
        <f aca="false">IF(OR(I43="",I43&lt;11,O43=""),"",O43+300)</f>
        <v/>
      </c>
      <c r="AB43" s="19" t="str">
        <f aca="false">IF(OR(I43="",I43&lt;12,O43=""),"",O43+330)</f>
        <v/>
      </c>
      <c r="AC43" s="19" t="str">
        <f aca="false">IF(OR(I43="",I43&lt;13,O43=""),"",O43+360)</f>
        <v/>
      </c>
      <c r="AD43" s="19" t="str">
        <f aca="false">IF(OR(I43="",I43&lt;14,O43=""),"",O43+390)</f>
        <v/>
      </c>
      <c r="AE43" s="19" t="str">
        <f aca="false">IF(OR(I43="",I43&lt;15,O43=""),"",O43+420)</f>
        <v/>
      </c>
      <c r="AF43" s="19" t="str">
        <f aca="false">IF(OR(I43="",I43&lt;16,O43=""),"",O43+450)</f>
        <v/>
      </c>
      <c r="AG43" s="19" t="str">
        <f aca="false">IF(OR(I43="",I43&lt;17,O43=""),"",O43+480)</f>
        <v/>
      </c>
      <c r="AH43" s="19" t="str">
        <f aca="false">IF(OR(I43="",I43&lt;18,O43=""),"",O43+510)</f>
        <v/>
      </c>
      <c r="AI43" s="19" t="str">
        <f aca="false">IF(OR(I43="",I43&lt;19,O43=""),"",O43+540)</f>
        <v/>
      </c>
      <c r="AJ43" s="19" t="str">
        <f aca="false">IF(OR(I43="",I43&lt;20,O43=""),"",O43+570)</f>
        <v/>
      </c>
      <c r="AK43" s="19" t="str">
        <f aca="false">IF(OR(I43="",I43&lt;21,O43=""),"",O43+600)</f>
        <v/>
      </c>
      <c r="AL43" s="19" t="str">
        <f aca="false">IF(OR(I43="",I43&lt;22,O43=""),"",O43+630)</f>
        <v/>
      </c>
      <c r="AM43" s="19" t="str">
        <f aca="false">IF(OR(I43="",I43&lt;23,O43=""),"",O43+660)</f>
        <v/>
      </c>
      <c r="AN43" s="19" t="str">
        <f aca="false">IF(OR(I43="",I43&lt;24,O43=""),"",O43+690)</f>
        <v/>
      </c>
      <c r="AO43" s="15" t="str">
        <f aca="false">IF(J43="","",COUNTIF(Q43:AN43,TRUE())*J43)</f>
        <v/>
      </c>
      <c r="AP43" s="15" t="str">
        <f aca="false">IF(K43="","",K43-AO43)</f>
        <v/>
      </c>
      <c r="AQ43" s="15" t="str">
        <f aca="false">IF(K43="","",K43-F43-IF(N43="",0,N43))</f>
        <v/>
      </c>
    </row>
    <row r="44" customFormat="false" ht="15" hidden="false" customHeight="false" outlineLevel="0" collapsed="false">
      <c r="A44" s="4"/>
      <c r="B44" s="4"/>
      <c r="C44" s="4"/>
      <c r="D44" s="5"/>
      <c r="E44" s="5"/>
      <c r="F44" s="6"/>
      <c r="G44" s="4"/>
      <c r="H44" s="4"/>
      <c r="I44" s="4"/>
      <c r="J44" s="6"/>
      <c r="K44" s="7" t="str">
        <f aca="false">IF(OR(I44="",J44=""),"",I44*J44)</f>
        <v/>
      </c>
      <c r="L44" s="4"/>
      <c r="M44" s="8"/>
      <c r="N44" s="7" t="str">
        <f aca="false">IF(OR(L44="",M44="",K44=""),"",IF(L44="GANANCIA",(K44-F44)*M44,IF(L44="BRUTO",K44*M44,"")))</f>
        <v/>
      </c>
      <c r="O44" s="9" t="str">
        <f aca="false">IF(D44="","",D44+30)</f>
        <v/>
      </c>
      <c r="P44" s="10" t="str">
        <f aca="false">IF(I44="","",IF(COUNTIF(Q44:AN44,TRUE())&gt;=I44,"PAGADO",IF(COUNTIF(Q44:AN44,TRUE())&gt;0,"PARCIAL","VIGENTE")))</f>
        <v/>
      </c>
      <c r="Q44" s="11" t="str">
        <f aca="false">IF(OR(I44="",I44&lt;1,O44=""),"",O44+0)</f>
        <v/>
      </c>
      <c r="R44" s="11" t="str">
        <f aca="false">IF(OR(I44="",I44&lt;2,O44=""),"",O44+30)</f>
        <v/>
      </c>
      <c r="S44" s="11" t="str">
        <f aca="false">IF(OR(I44="",I44&lt;3,O44=""),"",O44+60)</f>
        <v/>
      </c>
      <c r="T44" s="11" t="str">
        <f aca="false">IF(OR(I44="",I44&lt;4,O44=""),"",O44+90)</f>
        <v/>
      </c>
      <c r="U44" s="11" t="str">
        <f aca="false">IF(OR(I44="",I44&lt;5,O44=""),"",O44+120)</f>
        <v/>
      </c>
      <c r="V44" s="11" t="str">
        <f aca="false">IF(OR(I44="",I44&lt;6,O44=""),"",O44+150)</f>
        <v/>
      </c>
      <c r="W44" s="11" t="str">
        <f aca="false">IF(OR(I44="",I44&lt;7,O44=""),"",O44+180)</f>
        <v/>
      </c>
      <c r="X44" s="11" t="str">
        <f aca="false">IF(OR(I44="",I44&lt;8,O44=""),"",O44+210)</f>
        <v/>
      </c>
      <c r="Y44" s="11" t="str">
        <f aca="false">IF(OR(I44="",I44&lt;9,O44=""),"",O44+240)</f>
        <v/>
      </c>
      <c r="Z44" s="11" t="str">
        <f aca="false">IF(OR(I44="",I44&lt;10,O44=""),"",O44+270)</f>
        <v/>
      </c>
      <c r="AA44" s="11" t="str">
        <f aca="false">IF(OR(I44="",I44&lt;11,O44=""),"",O44+300)</f>
        <v/>
      </c>
      <c r="AB44" s="11" t="str">
        <f aca="false">IF(OR(I44="",I44&lt;12,O44=""),"",O44+330)</f>
        <v/>
      </c>
      <c r="AC44" s="11" t="str">
        <f aca="false">IF(OR(I44="",I44&lt;13,O44=""),"",O44+360)</f>
        <v/>
      </c>
      <c r="AD44" s="11" t="str">
        <f aca="false">IF(OR(I44="",I44&lt;14,O44=""),"",O44+390)</f>
        <v/>
      </c>
      <c r="AE44" s="11" t="str">
        <f aca="false">IF(OR(I44="",I44&lt;15,O44=""),"",O44+420)</f>
        <v/>
      </c>
      <c r="AF44" s="11" t="str">
        <f aca="false">IF(OR(I44="",I44&lt;16,O44=""),"",O44+450)</f>
        <v/>
      </c>
      <c r="AG44" s="11" t="str">
        <f aca="false">IF(OR(I44="",I44&lt;17,O44=""),"",O44+480)</f>
        <v/>
      </c>
      <c r="AH44" s="11" t="str">
        <f aca="false">IF(OR(I44="",I44&lt;18,O44=""),"",O44+510)</f>
        <v/>
      </c>
      <c r="AI44" s="11" t="str">
        <f aca="false">IF(OR(I44="",I44&lt;19,O44=""),"",O44+540)</f>
        <v/>
      </c>
      <c r="AJ44" s="11" t="str">
        <f aca="false">IF(OR(I44="",I44&lt;20,O44=""),"",O44+570)</f>
        <v/>
      </c>
      <c r="AK44" s="11" t="str">
        <f aca="false">IF(OR(I44="",I44&lt;21,O44=""),"",O44+600)</f>
        <v/>
      </c>
      <c r="AL44" s="11" t="str">
        <f aca="false">IF(OR(I44="",I44&lt;22,O44=""),"",O44+630)</f>
        <v/>
      </c>
      <c r="AM44" s="11" t="str">
        <f aca="false">IF(OR(I44="",I44&lt;23,O44=""),"",O44+660)</f>
        <v/>
      </c>
      <c r="AN44" s="11" t="str">
        <f aca="false">IF(OR(I44="",I44&lt;24,O44=""),"",O44+690)</f>
        <v/>
      </c>
      <c r="AO44" s="7" t="str">
        <f aca="false">IF(J44="","",COUNTIF(Q44:AN44,TRUE())*J44)</f>
        <v/>
      </c>
      <c r="AP44" s="7" t="str">
        <f aca="false">IF(K44="","",K44-AO44)</f>
        <v/>
      </c>
      <c r="AQ44" s="7" t="str">
        <f aca="false">IF(K44="","",K44-F44-IF(N44="",0,N44))</f>
        <v/>
      </c>
    </row>
    <row r="45" customFormat="false" ht="15" hidden="false" customHeight="false" outlineLevel="0" collapsed="false">
      <c r="A45" s="12"/>
      <c r="B45" s="12"/>
      <c r="C45" s="12"/>
      <c r="D45" s="13"/>
      <c r="E45" s="13"/>
      <c r="F45" s="14"/>
      <c r="G45" s="12"/>
      <c r="H45" s="12"/>
      <c r="I45" s="12"/>
      <c r="J45" s="14"/>
      <c r="K45" s="15" t="str">
        <f aca="false">IF(OR(I45="",J45=""),"",I45*J45)</f>
        <v/>
      </c>
      <c r="L45" s="12"/>
      <c r="M45" s="16"/>
      <c r="N45" s="15" t="str">
        <f aca="false">IF(OR(L45="",M45="",K45=""),"",IF(L45="GANANCIA",(K45-F45)*M45,IF(L45="BRUTO",K45*M45,"")))</f>
        <v/>
      </c>
      <c r="O45" s="17" t="str">
        <f aca="false">IF(D45="","",D45+30)</f>
        <v/>
      </c>
      <c r="P45" s="18" t="str">
        <f aca="false">IF(I45="","",IF(COUNTIF(Q45:AN45,TRUE())&gt;=I45,"PAGADO",IF(COUNTIF(Q45:AN45,TRUE())&gt;0,"PARCIAL","VIGENTE")))</f>
        <v/>
      </c>
      <c r="Q45" s="19" t="str">
        <f aca="false">IF(OR(I45="",I45&lt;1,O45=""),"",O45+0)</f>
        <v/>
      </c>
      <c r="R45" s="19" t="str">
        <f aca="false">IF(OR(I45="",I45&lt;2,O45=""),"",O45+30)</f>
        <v/>
      </c>
      <c r="S45" s="19" t="str">
        <f aca="false">IF(OR(I45="",I45&lt;3,O45=""),"",O45+60)</f>
        <v/>
      </c>
      <c r="T45" s="19" t="str">
        <f aca="false">IF(OR(I45="",I45&lt;4,O45=""),"",O45+90)</f>
        <v/>
      </c>
      <c r="U45" s="19" t="str">
        <f aca="false">IF(OR(I45="",I45&lt;5,O45=""),"",O45+120)</f>
        <v/>
      </c>
      <c r="V45" s="19" t="str">
        <f aca="false">IF(OR(I45="",I45&lt;6,O45=""),"",O45+150)</f>
        <v/>
      </c>
      <c r="W45" s="19" t="str">
        <f aca="false">IF(OR(I45="",I45&lt;7,O45=""),"",O45+180)</f>
        <v/>
      </c>
      <c r="X45" s="19" t="str">
        <f aca="false">IF(OR(I45="",I45&lt;8,O45=""),"",O45+210)</f>
        <v/>
      </c>
      <c r="Y45" s="19" t="str">
        <f aca="false">IF(OR(I45="",I45&lt;9,O45=""),"",O45+240)</f>
        <v/>
      </c>
      <c r="Z45" s="19" t="str">
        <f aca="false">IF(OR(I45="",I45&lt;10,O45=""),"",O45+270)</f>
        <v/>
      </c>
      <c r="AA45" s="19" t="str">
        <f aca="false">IF(OR(I45="",I45&lt;11,O45=""),"",O45+300)</f>
        <v/>
      </c>
      <c r="AB45" s="19" t="str">
        <f aca="false">IF(OR(I45="",I45&lt;12,O45=""),"",O45+330)</f>
        <v/>
      </c>
      <c r="AC45" s="19" t="str">
        <f aca="false">IF(OR(I45="",I45&lt;13,O45=""),"",O45+360)</f>
        <v/>
      </c>
      <c r="AD45" s="19" t="str">
        <f aca="false">IF(OR(I45="",I45&lt;14,O45=""),"",O45+390)</f>
        <v/>
      </c>
      <c r="AE45" s="19" t="str">
        <f aca="false">IF(OR(I45="",I45&lt;15,O45=""),"",O45+420)</f>
        <v/>
      </c>
      <c r="AF45" s="19" t="str">
        <f aca="false">IF(OR(I45="",I45&lt;16,O45=""),"",O45+450)</f>
        <v/>
      </c>
      <c r="AG45" s="19" t="str">
        <f aca="false">IF(OR(I45="",I45&lt;17,O45=""),"",O45+480)</f>
        <v/>
      </c>
      <c r="AH45" s="19" t="str">
        <f aca="false">IF(OR(I45="",I45&lt;18,O45=""),"",O45+510)</f>
        <v/>
      </c>
      <c r="AI45" s="19" t="str">
        <f aca="false">IF(OR(I45="",I45&lt;19,O45=""),"",O45+540)</f>
        <v/>
      </c>
      <c r="AJ45" s="19" t="str">
        <f aca="false">IF(OR(I45="",I45&lt;20,O45=""),"",O45+570)</f>
        <v/>
      </c>
      <c r="AK45" s="19" t="str">
        <f aca="false">IF(OR(I45="",I45&lt;21,O45=""),"",O45+600)</f>
        <v/>
      </c>
      <c r="AL45" s="19" t="str">
        <f aca="false">IF(OR(I45="",I45&lt;22,O45=""),"",O45+630)</f>
        <v/>
      </c>
      <c r="AM45" s="19" t="str">
        <f aca="false">IF(OR(I45="",I45&lt;23,O45=""),"",O45+660)</f>
        <v/>
      </c>
      <c r="AN45" s="19" t="str">
        <f aca="false">IF(OR(I45="",I45&lt;24,O45=""),"",O45+690)</f>
        <v/>
      </c>
      <c r="AO45" s="15" t="str">
        <f aca="false">IF(J45="","",COUNTIF(Q45:AN45,TRUE())*J45)</f>
        <v/>
      </c>
      <c r="AP45" s="15" t="str">
        <f aca="false">IF(K45="","",K45-AO45)</f>
        <v/>
      </c>
      <c r="AQ45" s="15" t="str">
        <f aca="false">IF(K45="","",K45-F45-IF(N45="",0,N45))</f>
        <v/>
      </c>
    </row>
    <row r="46" customFormat="false" ht="15" hidden="false" customHeight="false" outlineLevel="0" collapsed="false">
      <c r="A46" s="4"/>
      <c r="B46" s="4"/>
      <c r="C46" s="4"/>
      <c r="D46" s="5"/>
      <c r="E46" s="5"/>
      <c r="F46" s="6"/>
      <c r="G46" s="4"/>
      <c r="H46" s="4"/>
      <c r="I46" s="4"/>
      <c r="J46" s="6"/>
      <c r="K46" s="7" t="str">
        <f aca="false">IF(OR(I46="",J46=""),"",I46*J46)</f>
        <v/>
      </c>
      <c r="L46" s="4"/>
      <c r="M46" s="8"/>
      <c r="N46" s="7" t="str">
        <f aca="false">IF(OR(L46="",M46="",K46=""),"",IF(L46="GANANCIA",(K46-F46)*M46,IF(L46="BRUTO",K46*M46,"")))</f>
        <v/>
      </c>
      <c r="O46" s="9" t="str">
        <f aca="false">IF(D46="","",D46+30)</f>
        <v/>
      </c>
      <c r="P46" s="10" t="str">
        <f aca="false">IF(I46="","",IF(COUNTIF(Q46:AN46,TRUE())&gt;=I46,"PAGADO",IF(COUNTIF(Q46:AN46,TRUE())&gt;0,"PARCIAL","VIGENTE")))</f>
        <v/>
      </c>
      <c r="Q46" s="11" t="str">
        <f aca="false">IF(OR(I46="",I46&lt;1,O46=""),"",O46+0)</f>
        <v/>
      </c>
      <c r="R46" s="11" t="str">
        <f aca="false">IF(OR(I46="",I46&lt;2,O46=""),"",O46+30)</f>
        <v/>
      </c>
      <c r="S46" s="11" t="str">
        <f aca="false">IF(OR(I46="",I46&lt;3,O46=""),"",O46+60)</f>
        <v/>
      </c>
      <c r="T46" s="11" t="str">
        <f aca="false">IF(OR(I46="",I46&lt;4,O46=""),"",O46+90)</f>
        <v/>
      </c>
      <c r="U46" s="11" t="str">
        <f aca="false">IF(OR(I46="",I46&lt;5,O46=""),"",O46+120)</f>
        <v/>
      </c>
      <c r="V46" s="11" t="str">
        <f aca="false">IF(OR(I46="",I46&lt;6,O46=""),"",O46+150)</f>
        <v/>
      </c>
      <c r="W46" s="11" t="str">
        <f aca="false">IF(OR(I46="",I46&lt;7,O46=""),"",O46+180)</f>
        <v/>
      </c>
      <c r="X46" s="11" t="str">
        <f aca="false">IF(OR(I46="",I46&lt;8,O46=""),"",O46+210)</f>
        <v/>
      </c>
      <c r="Y46" s="11" t="str">
        <f aca="false">IF(OR(I46="",I46&lt;9,O46=""),"",O46+240)</f>
        <v/>
      </c>
      <c r="Z46" s="11" t="str">
        <f aca="false">IF(OR(I46="",I46&lt;10,O46=""),"",O46+270)</f>
        <v/>
      </c>
      <c r="AA46" s="11" t="str">
        <f aca="false">IF(OR(I46="",I46&lt;11,O46=""),"",O46+300)</f>
        <v/>
      </c>
      <c r="AB46" s="11" t="str">
        <f aca="false">IF(OR(I46="",I46&lt;12,O46=""),"",O46+330)</f>
        <v/>
      </c>
      <c r="AC46" s="11" t="str">
        <f aca="false">IF(OR(I46="",I46&lt;13,O46=""),"",O46+360)</f>
        <v/>
      </c>
      <c r="AD46" s="11" t="str">
        <f aca="false">IF(OR(I46="",I46&lt;14,O46=""),"",O46+390)</f>
        <v/>
      </c>
      <c r="AE46" s="11" t="str">
        <f aca="false">IF(OR(I46="",I46&lt;15,O46=""),"",O46+420)</f>
        <v/>
      </c>
      <c r="AF46" s="11" t="str">
        <f aca="false">IF(OR(I46="",I46&lt;16,O46=""),"",O46+450)</f>
        <v/>
      </c>
      <c r="AG46" s="11" t="str">
        <f aca="false">IF(OR(I46="",I46&lt;17,O46=""),"",O46+480)</f>
        <v/>
      </c>
      <c r="AH46" s="11" t="str">
        <f aca="false">IF(OR(I46="",I46&lt;18,O46=""),"",O46+510)</f>
        <v/>
      </c>
      <c r="AI46" s="11" t="str">
        <f aca="false">IF(OR(I46="",I46&lt;19,O46=""),"",O46+540)</f>
        <v/>
      </c>
      <c r="AJ46" s="11" t="str">
        <f aca="false">IF(OR(I46="",I46&lt;20,O46=""),"",O46+570)</f>
        <v/>
      </c>
      <c r="AK46" s="11" t="str">
        <f aca="false">IF(OR(I46="",I46&lt;21,O46=""),"",O46+600)</f>
        <v/>
      </c>
      <c r="AL46" s="11" t="str">
        <f aca="false">IF(OR(I46="",I46&lt;22,O46=""),"",O46+630)</f>
        <v/>
      </c>
      <c r="AM46" s="11" t="str">
        <f aca="false">IF(OR(I46="",I46&lt;23,O46=""),"",O46+660)</f>
        <v/>
      </c>
      <c r="AN46" s="11" t="str">
        <f aca="false">IF(OR(I46="",I46&lt;24,O46=""),"",O46+690)</f>
        <v/>
      </c>
      <c r="AO46" s="7" t="str">
        <f aca="false">IF(J46="","",COUNTIF(Q46:AN46,TRUE())*J46)</f>
        <v/>
      </c>
      <c r="AP46" s="7" t="str">
        <f aca="false">IF(K46="","",K46-AO46)</f>
        <v/>
      </c>
      <c r="AQ46" s="7" t="str">
        <f aca="false">IF(K46="","",K46-F46-IF(N46="",0,N46))</f>
        <v/>
      </c>
    </row>
    <row r="47" customFormat="false" ht="15" hidden="false" customHeight="false" outlineLevel="0" collapsed="false">
      <c r="A47" s="12"/>
      <c r="B47" s="12"/>
      <c r="C47" s="12"/>
      <c r="D47" s="13"/>
      <c r="E47" s="13"/>
      <c r="F47" s="14"/>
      <c r="G47" s="12"/>
      <c r="H47" s="12"/>
      <c r="I47" s="12"/>
      <c r="J47" s="14"/>
      <c r="K47" s="15" t="str">
        <f aca="false">IF(OR(I47="",J47=""),"",I47*J47)</f>
        <v/>
      </c>
      <c r="L47" s="12"/>
      <c r="M47" s="16"/>
      <c r="N47" s="15" t="str">
        <f aca="false">IF(OR(L47="",M47="",K47=""),"",IF(L47="GANANCIA",(K47-F47)*M47,IF(L47="BRUTO",K47*M47,"")))</f>
        <v/>
      </c>
      <c r="O47" s="17" t="str">
        <f aca="false">IF(D47="","",D47+30)</f>
        <v/>
      </c>
      <c r="P47" s="18" t="str">
        <f aca="false">IF(I47="","",IF(COUNTIF(Q47:AN47,TRUE())&gt;=I47,"PAGADO",IF(COUNTIF(Q47:AN47,TRUE())&gt;0,"PARCIAL","VIGENTE")))</f>
        <v/>
      </c>
      <c r="Q47" s="19" t="str">
        <f aca="false">IF(OR(I47="",I47&lt;1,O47=""),"",O47+0)</f>
        <v/>
      </c>
      <c r="R47" s="19" t="str">
        <f aca="false">IF(OR(I47="",I47&lt;2,O47=""),"",O47+30)</f>
        <v/>
      </c>
      <c r="S47" s="19" t="str">
        <f aca="false">IF(OR(I47="",I47&lt;3,O47=""),"",O47+60)</f>
        <v/>
      </c>
      <c r="T47" s="19" t="str">
        <f aca="false">IF(OR(I47="",I47&lt;4,O47=""),"",O47+90)</f>
        <v/>
      </c>
      <c r="U47" s="19" t="str">
        <f aca="false">IF(OR(I47="",I47&lt;5,O47=""),"",O47+120)</f>
        <v/>
      </c>
      <c r="V47" s="19" t="str">
        <f aca="false">IF(OR(I47="",I47&lt;6,O47=""),"",O47+150)</f>
        <v/>
      </c>
      <c r="W47" s="19" t="str">
        <f aca="false">IF(OR(I47="",I47&lt;7,O47=""),"",O47+180)</f>
        <v/>
      </c>
      <c r="X47" s="19" t="str">
        <f aca="false">IF(OR(I47="",I47&lt;8,O47=""),"",O47+210)</f>
        <v/>
      </c>
      <c r="Y47" s="19" t="str">
        <f aca="false">IF(OR(I47="",I47&lt;9,O47=""),"",O47+240)</f>
        <v/>
      </c>
      <c r="Z47" s="19" t="str">
        <f aca="false">IF(OR(I47="",I47&lt;10,O47=""),"",O47+270)</f>
        <v/>
      </c>
      <c r="AA47" s="19" t="str">
        <f aca="false">IF(OR(I47="",I47&lt;11,O47=""),"",O47+300)</f>
        <v/>
      </c>
      <c r="AB47" s="19" t="str">
        <f aca="false">IF(OR(I47="",I47&lt;12,O47=""),"",O47+330)</f>
        <v/>
      </c>
      <c r="AC47" s="19" t="str">
        <f aca="false">IF(OR(I47="",I47&lt;13,O47=""),"",O47+360)</f>
        <v/>
      </c>
      <c r="AD47" s="19" t="str">
        <f aca="false">IF(OR(I47="",I47&lt;14,O47=""),"",O47+390)</f>
        <v/>
      </c>
      <c r="AE47" s="19" t="str">
        <f aca="false">IF(OR(I47="",I47&lt;15,O47=""),"",O47+420)</f>
        <v/>
      </c>
      <c r="AF47" s="19" t="str">
        <f aca="false">IF(OR(I47="",I47&lt;16,O47=""),"",O47+450)</f>
        <v/>
      </c>
      <c r="AG47" s="19" t="str">
        <f aca="false">IF(OR(I47="",I47&lt;17,O47=""),"",O47+480)</f>
        <v/>
      </c>
      <c r="AH47" s="19" t="str">
        <f aca="false">IF(OR(I47="",I47&lt;18,O47=""),"",O47+510)</f>
        <v/>
      </c>
      <c r="AI47" s="19" t="str">
        <f aca="false">IF(OR(I47="",I47&lt;19,O47=""),"",O47+540)</f>
        <v/>
      </c>
      <c r="AJ47" s="19" t="str">
        <f aca="false">IF(OR(I47="",I47&lt;20,O47=""),"",O47+570)</f>
        <v/>
      </c>
      <c r="AK47" s="19" t="str">
        <f aca="false">IF(OR(I47="",I47&lt;21,O47=""),"",O47+600)</f>
        <v/>
      </c>
      <c r="AL47" s="19" t="str">
        <f aca="false">IF(OR(I47="",I47&lt;22,O47=""),"",O47+630)</f>
        <v/>
      </c>
      <c r="AM47" s="19" t="str">
        <f aca="false">IF(OR(I47="",I47&lt;23,O47=""),"",O47+660)</f>
        <v/>
      </c>
      <c r="AN47" s="19" t="str">
        <f aca="false">IF(OR(I47="",I47&lt;24,O47=""),"",O47+690)</f>
        <v/>
      </c>
      <c r="AO47" s="15" t="str">
        <f aca="false">IF(J47="","",COUNTIF(Q47:AN47,TRUE())*J47)</f>
        <v/>
      </c>
      <c r="AP47" s="15" t="str">
        <f aca="false">IF(K47="","",K47-AO47)</f>
        <v/>
      </c>
      <c r="AQ47" s="15" t="str">
        <f aca="false">IF(K47="","",K47-F47-IF(N47="",0,N47))</f>
        <v/>
      </c>
    </row>
    <row r="48" customFormat="false" ht="15" hidden="false" customHeight="false" outlineLevel="0" collapsed="false">
      <c r="A48" s="4"/>
      <c r="B48" s="4"/>
      <c r="C48" s="4"/>
      <c r="D48" s="5"/>
      <c r="E48" s="5"/>
      <c r="F48" s="6"/>
      <c r="G48" s="4"/>
      <c r="H48" s="4"/>
      <c r="I48" s="4"/>
      <c r="J48" s="6"/>
      <c r="K48" s="7" t="str">
        <f aca="false">IF(OR(I48="",J48=""),"",I48*J48)</f>
        <v/>
      </c>
      <c r="L48" s="4"/>
      <c r="M48" s="8"/>
      <c r="N48" s="7" t="str">
        <f aca="false">IF(OR(L48="",M48="",K48=""),"",IF(L48="GANANCIA",(K48-F48)*M48,IF(L48="BRUTO",K48*M48,"")))</f>
        <v/>
      </c>
      <c r="O48" s="9" t="str">
        <f aca="false">IF(D48="","",D48+30)</f>
        <v/>
      </c>
      <c r="P48" s="10" t="str">
        <f aca="false">IF(I48="","",IF(COUNTIF(Q48:AN48,TRUE())&gt;=I48,"PAGADO",IF(COUNTIF(Q48:AN48,TRUE())&gt;0,"PARCIAL","VIGENTE")))</f>
        <v/>
      </c>
      <c r="Q48" s="11" t="str">
        <f aca="false">IF(OR(I48="",I48&lt;1,O48=""),"",O48+0)</f>
        <v/>
      </c>
      <c r="R48" s="11" t="str">
        <f aca="false">IF(OR(I48="",I48&lt;2,O48=""),"",O48+30)</f>
        <v/>
      </c>
      <c r="S48" s="11" t="str">
        <f aca="false">IF(OR(I48="",I48&lt;3,O48=""),"",O48+60)</f>
        <v/>
      </c>
      <c r="T48" s="11" t="str">
        <f aca="false">IF(OR(I48="",I48&lt;4,O48=""),"",O48+90)</f>
        <v/>
      </c>
      <c r="U48" s="11" t="str">
        <f aca="false">IF(OR(I48="",I48&lt;5,O48=""),"",O48+120)</f>
        <v/>
      </c>
      <c r="V48" s="11" t="str">
        <f aca="false">IF(OR(I48="",I48&lt;6,O48=""),"",O48+150)</f>
        <v/>
      </c>
      <c r="W48" s="11" t="str">
        <f aca="false">IF(OR(I48="",I48&lt;7,O48=""),"",O48+180)</f>
        <v/>
      </c>
      <c r="X48" s="11" t="str">
        <f aca="false">IF(OR(I48="",I48&lt;8,O48=""),"",O48+210)</f>
        <v/>
      </c>
      <c r="Y48" s="11" t="str">
        <f aca="false">IF(OR(I48="",I48&lt;9,O48=""),"",O48+240)</f>
        <v/>
      </c>
      <c r="Z48" s="11" t="str">
        <f aca="false">IF(OR(I48="",I48&lt;10,O48=""),"",O48+270)</f>
        <v/>
      </c>
      <c r="AA48" s="11" t="str">
        <f aca="false">IF(OR(I48="",I48&lt;11,O48=""),"",O48+300)</f>
        <v/>
      </c>
      <c r="AB48" s="11" t="str">
        <f aca="false">IF(OR(I48="",I48&lt;12,O48=""),"",O48+330)</f>
        <v/>
      </c>
      <c r="AC48" s="11" t="str">
        <f aca="false">IF(OR(I48="",I48&lt;13,O48=""),"",O48+360)</f>
        <v/>
      </c>
      <c r="AD48" s="11" t="str">
        <f aca="false">IF(OR(I48="",I48&lt;14,O48=""),"",O48+390)</f>
        <v/>
      </c>
      <c r="AE48" s="11" t="str">
        <f aca="false">IF(OR(I48="",I48&lt;15,O48=""),"",O48+420)</f>
        <v/>
      </c>
      <c r="AF48" s="11" t="str">
        <f aca="false">IF(OR(I48="",I48&lt;16,O48=""),"",O48+450)</f>
        <v/>
      </c>
      <c r="AG48" s="11" t="str">
        <f aca="false">IF(OR(I48="",I48&lt;17,O48=""),"",O48+480)</f>
        <v/>
      </c>
      <c r="AH48" s="11" t="str">
        <f aca="false">IF(OR(I48="",I48&lt;18,O48=""),"",O48+510)</f>
        <v/>
      </c>
      <c r="AI48" s="11" t="str">
        <f aca="false">IF(OR(I48="",I48&lt;19,O48=""),"",O48+540)</f>
        <v/>
      </c>
      <c r="AJ48" s="11" t="str">
        <f aca="false">IF(OR(I48="",I48&lt;20,O48=""),"",O48+570)</f>
        <v/>
      </c>
      <c r="AK48" s="11" t="str">
        <f aca="false">IF(OR(I48="",I48&lt;21,O48=""),"",O48+600)</f>
        <v/>
      </c>
      <c r="AL48" s="11" t="str">
        <f aca="false">IF(OR(I48="",I48&lt;22,O48=""),"",O48+630)</f>
        <v/>
      </c>
      <c r="AM48" s="11" t="str">
        <f aca="false">IF(OR(I48="",I48&lt;23,O48=""),"",O48+660)</f>
        <v/>
      </c>
      <c r="AN48" s="11" t="str">
        <f aca="false">IF(OR(I48="",I48&lt;24,O48=""),"",O48+690)</f>
        <v/>
      </c>
      <c r="AO48" s="7" t="str">
        <f aca="false">IF(J48="","",COUNTIF(Q48:AN48,TRUE())*J48)</f>
        <v/>
      </c>
      <c r="AP48" s="7" t="str">
        <f aca="false">IF(K48="","",K48-AO48)</f>
        <v/>
      </c>
      <c r="AQ48" s="7" t="str">
        <f aca="false">IF(K48="","",K48-F48-IF(N48="",0,N48))</f>
        <v/>
      </c>
    </row>
    <row r="49" customFormat="false" ht="15" hidden="false" customHeight="false" outlineLevel="0" collapsed="false">
      <c r="A49" s="12"/>
      <c r="B49" s="12"/>
      <c r="C49" s="12"/>
      <c r="D49" s="13"/>
      <c r="E49" s="13"/>
      <c r="F49" s="14"/>
      <c r="G49" s="12"/>
      <c r="H49" s="12"/>
      <c r="I49" s="12"/>
      <c r="J49" s="14"/>
      <c r="K49" s="15" t="str">
        <f aca="false">IF(OR(I49="",J49=""),"",I49*J49)</f>
        <v/>
      </c>
      <c r="L49" s="12"/>
      <c r="M49" s="16"/>
      <c r="N49" s="15" t="str">
        <f aca="false">IF(OR(L49="",M49="",K49=""),"",IF(L49="GANANCIA",(K49-F49)*M49,IF(L49="BRUTO",K49*M49,"")))</f>
        <v/>
      </c>
      <c r="O49" s="17" t="str">
        <f aca="false">IF(D49="","",D49+30)</f>
        <v/>
      </c>
      <c r="P49" s="18" t="str">
        <f aca="false">IF(I49="","",IF(COUNTIF(Q49:AN49,TRUE())&gt;=I49,"PAGADO",IF(COUNTIF(Q49:AN49,TRUE())&gt;0,"PARCIAL","VIGENTE")))</f>
        <v/>
      </c>
      <c r="Q49" s="19" t="str">
        <f aca="false">IF(OR(I49="",I49&lt;1,O49=""),"",O49+0)</f>
        <v/>
      </c>
      <c r="R49" s="19" t="str">
        <f aca="false">IF(OR(I49="",I49&lt;2,O49=""),"",O49+30)</f>
        <v/>
      </c>
      <c r="S49" s="19" t="str">
        <f aca="false">IF(OR(I49="",I49&lt;3,O49=""),"",O49+60)</f>
        <v/>
      </c>
      <c r="T49" s="19" t="str">
        <f aca="false">IF(OR(I49="",I49&lt;4,O49=""),"",O49+90)</f>
        <v/>
      </c>
      <c r="U49" s="19" t="str">
        <f aca="false">IF(OR(I49="",I49&lt;5,O49=""),"",O49+120)</f>
        <v/>
      </c>
      <c r="V49" s="19" t="str">
        <f aca="false">IF(OR(I49="",I49&lt;6,O49=""),"",O49+150)</f>
        <v/>
      </c>
      <c r="W49" s="19" t="str">
        <f aca="false">IF(OR(I49="",I49&lt;7,O49=""),"",O49+180)</f>
        <v/>
      </c>
      <c r="X49" s="19" t="str">
        <f aca="false">IF(OR(I49="",I49&lt;8,O49=""),"",O49+210)</f>
        <v/>
      </c>
      <c r="Y49" s="19" t="str">
        <f aca="false">IF(OR(I49="",I49&lt;9,O49=""),"",O49+240)</f>
        <v/>
      </c>
      <c r="Z49" s="19" t="str">
        <f aca="false">IF(OR(I49="",I49&lt;10,O49=""),"",O49+270)</f>
        <v/>
      </c>
      <c r="AA49" s="19" t="str">
        <f aca="false">IF(OR(I49="",I49&lt;11,O49=""),"",O49+300)</f>
        <v/>
      </c>
      <c r="AB49" s="19" t="str">
        <f aca="false">IF(OR(I49="",I49&lt;12,O49=""),"",O49+330)</f>
        <v/>
      </c>
      <c r="AC49" s="19" t="str">
        <f aca="false">IF(OR(I49="",I49&lt;13,O49=""),"",O49+360)</f>
        <v/>
      </c>
      <c r="AD49" s="19" t="str">
        <f aca="false">IF(OR(I49="",I49&lt;14,O49=""),"",O49+390)</f>
        <v/>
      </c>
      <c r="AE49" s="19" t="str">
        <f aca="false">IF(OR(I49="",I49&lt;15,O49=""),"",O49+420)</f>
        <v/>
      </c>
      <c r="AF49" s="19" t="str">
        <f aca="false">IF(OR(I49="",I49&lt;16,O49=""),"",O49+450)</f>
        <v/>
      </c>
      <c r="AG49" s="19" t="str">
        <f aca="false">IF(OR(I49="",I49&lt;17,O49=""),"",O49+480)</f>
        <v/>
      </c>
      <c r="AH49" s="19" t="str">
        <f aca="false">IF(OR(I49="",I49&lt;18,O49=""),"",O49+510)</f>
        <v/>
      </c>
      <c r="AI49" s="19" t="str">
        <f aca="false">IF(OR(I49="",I49&lt;19,O49=""),"",O49+540)</f>
        <v/>
      </c>
      <c r="AJ49" s="19" t="str">
        <f aca="false">IF(OR(I49="",I49&lt;20,O49=""),"",O49+570)</f>
        <v/>
      </c>
      <c r="AK49" s="19" t="str">
        <f aca="false">IF(OR(I49="",I49&lt;21,O49=""),"",O49+600)</f>
        <v/>
      </c>
      <c r="AL49" s="19" t="str">
        <f aca="false">IF(OR(I49="",I49&lt;22,O49=""),"",O49+630)</f>
        <v/>
      </c>
      <c r="AM49" s="19" t="str">
        <f aca="false">IF(OR(I49="",I49&lt;23,O49=""),"",O49+660)</f>
        <v/>
      </c>
      <c r="AN49" s="19" t="str">
        <f aca="false">IF(OR(I49="",I49&lt;24,O49=""),"",O49+690)</f>
        <v/>
      </c>
      <c r="AO49" s="15" t="str">
        <f aca="false">IF(J49="","",COUNTIF(Q49:AN49,TRUE())*J49)</f>
        <v/>
      </c>
      <c r="AP49" s="15" t="str">
        <f aca="false">IF(K49="","",K49-AO49)</f>
        <v/>
      </c>
      <c r="AQ49" s="15" t="str">
        <f aca="false">IF(K49="","",K49-F49-IF(N49="",0,N49))</f>
        <v/>
      </c>
    </row>
    <row r="50" customFormat="false" ht="15" hidden="false" customHeight="false" outlineLevel="0" collapsed="false">
      <c r="A50" s="4"/>
      <c r="B50" s="4"/>
      <c r="C50" s="4"/>
      <c r="D50" s="5"/>
      <c r="E50" s="5"/>
      <c r="F50" s="6"/>
      <c r="G50" s="4"/>
      <c r="H50" s="4"/>
      <c r="I50" s="4"/>
      <c r="J50" s="6"/>
      <c r="K50" s="7" t="str">
        <f aca="false">IF(OR(I50="",J50=""),"",I50*J50)</f>
        <v/>
      </c>
      <c r="L50" s="4"/>
      <c r="M50" s="8"/>
      <c r="N50" s="7" t="str">
        <f aca="false">IF(OR(L50="",M50="",K50=""),"",IF(L50="GANANCIA",(K50-F50)*M50,IF(L50="BRUTO",K50*M50,"")))</f>
        <v/>
      </c>
      <c r="O50" s="9" t="str">
        <f aca="false">IF(D50="","",D50+30)</f>
        <v/>
      </c>
      <c r="P50" s="10" t="str">
        <f aca="false">IF(I50="","",IF(COUNTIF(Q50:AN50,TRUE())&gt;=I50,"PAGADO",IF(COUNTIF(Q50:AN50,TRUE())&gt;0,"PARCIAL","VIGENTE")))</f>
        <v/>
      </c>
      <c r="Q50" s="11" t="str">
        <f aca="false">IF(OR(I50="",I50&lt;1,O50=""),"",O50+0)</f>
        <v/>
      </c>
      <c r="R50" s="11" t="str">
        <f aca="false">IF(OR(I50="",I50&lt;2,O50=""),"",O50+30)</f>
        <v/>
      </c>
      <c r="S50" s="11" t="str">
        <f aca="false">IF(OR(I50="",I50&lt;3,O50=""),"",O50+60)</f>
        <v/>
      </c>
      <c r="T50" s="11" t="str">
        <f aca="false">IF(OR(I50="",I50&lt;4,O50=""),"",O50+90)</f>
        <v/>
      </c>
      <c r="U50" s="11" t="str">
        <f aca="false">IF(OR(I50="",I50&lt;5,O50=""),"",O50+120)</f>
        <v/>
      </c>
      <c r="V50" s="11" t="str">
        <f aca="false">IF(OR(I50="",I50&lt;6,O50=""),"",O50+150)</f>
        <v/>
      </c>
      <c r="W50" s="11" t="str">
        <f aca="false">IF(OR(I50="",I50&lt;7,O50=""),"",O50+180)</f>
        <v/>
      </c>
      <c r="X50" s="11" t="str">
        <f aca="false">IF(OR(I50="",I50&lt;8,O50=""),"",O50+210)</f>
        <v/>
      </c>
      <c r="Y50" s="11" t="str">
        <f aca="false">IF(OR(I50="",I50&lt;9,O50=""),"",O50+240)</f>
        <v/>
      </c>
      <c r="Z50" s="11" t="str">
        <f aca="false">IF(OR(I50="",I50&lt;10,O50=""),"",O50+270)</f>
        <v/>
      </c>
      <c r="AA50" s="11" t="str">
        <f aca="false">IF(OR(I50="",I50&lt;11,O50=""),"",O50+300)</f>
        <v/>
      </c>
      <c r="AB50" s="11" t="str">
        <f aca="false">IF(OR(I50="",I50&lt;12,O50=""),"",O50+330)</f>
        <v/>
      </c>
      <c r="AC50" s="11" t="str">
        <f aca="false">IF(OR(I50="",I50&lt;13,O50=""),"",O50+360)</f>
        <v/>
      </c>
      <c r="AD50" s="11" t="str">
        <f aca="false">IF(OR(I50="",I50&lt;14,O50=""),"",O50+390)</f>
        <v/>
      </c>
      <c r="AE50" s="11" t="str">
        <f aca="false">IF(OR(I50="",I50&lt;15,O50=""),"",O50+420)</f>
        <v/>
      </c>
      <c r="AF50" s="11" t="str">
        <f aca="false">IF(OR(I50="",I50&lt;16,O50=""),"",O50+450)</f>
        <v/>
      </c>
      <c r="AG50" s="11" t="str">
        <f aca="false">IF(OR(I50="",I50&lt;17,O50=""),"",O50+480)</f>
        <v/>
      </c>
      <c r="AH50" s="11" t="str">
        <f aca="false">IF(OR(I50="",I50&lt;18,O50=""),"",O50+510)</f>
        <v/>
      </c>
      <c r="AI50" s="11" t="str">
        <f aca="false">IF(OR(I50="",I50&lt;19,O50=""),"",O50+540)</f>
        <v/>
      </c>
      <c r="AJ50" s="11" t="str">
        <f aca="false">IF(OR(I50="",I50&lt;20,O50=""),"",O50+570)</f>
        <v/>
      </c>
      <c r="AK50" s="11" t="str">
        <f aca="false">IF(OR(I50="",I50&lt;21,O50=""),"",O50+600)</f>
        <v/>
      </c>
      <c r="AL50" s="11" t="str">
        <f aca="false">IF(OR(I50="",I50&lt;22,O50=""),"",O50+630)</f>
        <v/>
      </c>
      <c r="AM50" s="11" t="str">
        <f aca="false">IF(OR(I50="",I50&lt;23,O50=""),"",O50+660)</f>
        <v/>
      </c>
      <c r="AN50" s="11" t="str">
        <f aca="false">IF(OR(I50="",I50&lt;24,O50=""),"",O50+690)</f>
        <v/>
      </c>
      <c r="AO50" s="7" t="str">
        <f aca="false">IF(J50="","",COUNTIF(Q50:AN50,TRUE())*J50)</f>
        <v/>
      </c>
      <c r="AP50" s="7" t="str">
        <f aca="false">IF(K50="","",K50-AO50)</f>
        <v/>
      </c>
      <c r="AQ50" s="7" t="str">
        <f aca="false">IF(K50="","",K50-F50-IF(N50="",0,N50))</f>
        <v/>
      </c>
    </row>
    <row r="51" customFormat="false" ht="15" hidden="false" customHeight="false" outlineLevel="0" collapsed="false">
      <c r="A51" s="12"/>
      <c r="B51" s="12"/>
      <c r="C51" s="12"/>
      <c r="D51" s="13"/>
      <c r="E51" s="13"/>
      <c r="F51" s="14"/>
      <c r="G51" s="12"/>
      <c r="H51" s="12"/>
      <c r="I51" s="12"/>
      <c r="J51" s="14"/>
      <c r="K51" s="15" t="str">
        <f aca="false">IF(OR(I51="",J51=""),"",I51*J51)</f>
        <v/>
      </c>
      <c r="L51" s="12"/>
      <c r="M51" s="16"/>
      <c r="N51" s="15" t="str">
        <f aca="false">IF(OR(L51="",M51="",K51=""),"",IF(L51="GANANCIA",(K51-F51)*M51,IF(L51="BRUTO",K51*M51,"")))</f>
        <v/>
      </c>
      <c r="O51" s="17" t="str">
        <f aca="false">IF(D51="","",D51+30)</f>
        <v/>
      </c>
      <c r="P51" s="18" t="str">
        <f aca="false">IF(I51="","",IF(COUNTIF(Q51:AN51,TRUE())&gt;=I51,"PAGADO",IF(COUNTIF(Q51:AN51,TRUE())&gt;0,"PARCIAL","VIGENTE")))</f>
        <v/>
      </c>
      <c r="Q51" s="19" t="str">
        <f aca="false">IF(OR(I51="",I51&lt;1,O51=""),"",O51+0)</f>
        <v/>
      </c>
      <c r="R51" s="19" t="str">
        <f aca="false">IF(OR(I51="",I51&lt;2,O51=""),"",O51+30)</f>
        <v/>
      </c>
      <c r="S51" s="19" t="str">
        <f aca="false">IF(OR(I51="",I51&lt;3,O51=""),"",O51+60)</f>
        <v/>
      </c>
      <c r="T51" s="19" t="str">
        <f aca="false">IF(OR(I51="",I51&lt;4,O51=""),"",O51+90)</f>
        <v/>
      </c>
      <c r="U51" s="19" t="str">
        <f aca="false">IF(OR(I51="",I51&lt;5,O51=""),"",O51+120)</f>
        <v/>
      </c>
      <c r="V51" s="19" t="str">
        <f aca="false">IF(OR(I51="",I51&lt;6,O51=""),"",O51+150)</f>
        <v/>
      </c>
      <c r="W51" s="19" t="str">
        <f aca="false">IF(OR(I51="",I51&lt;7,O51=""),"",O51+180)</f>
        <v/>
      </c>
      <c r="X51" s="19" t="str">
        <f aca="false">IF(OR(I51="",I51&lt;8,O51=""),"",O51+210)</f>
        <v/>
      </c>
      <c r="Y51" s="19" t="str">
        <f aca="false">IF(OR(I51="",I51&lt;9,O51=""),"",O51+240)</f>
        <v/>
      </c>
      <c r="Z51" s="19" t="str">
        <f aca="false">IF(OR(I51="",I51&lt;10,O51=""),"",O51+270)</f>
        <v/>
      </c>
      <c r="AA51" s="19" t="str">
        <f aca="false">IF(OR(I51="",I51&lt;11,O51=""),"",O51+300)</f>
        <v/>
      </c>
      <c r="AB51" s="19" t="str">
        <f aca="false">IF(OR(I51="",I51&lt;12,O51=""),"",O51+330)</f>
        <v/>
      </c>
      <c r="AC51" s="19" t="str">
        <f aca="false">IF(OR(I51="",I51&lt;13,O51=""),"",O51+360)</f>
        <v/>
      </c>
      <c r="AD51" s="19" t="str">
        <f aca="false">IF(OR(I51="",I51&lt;14,O51=""),"",O51+390)</f>
        <v/>
      </c>
      <c r="AE51" s="19" t="str">
        <f aca="false">IF(OR(I51="",I51&lt;15,O51=""),"",O51+420)</f>
        <v/>
      </c>
      <c r="AF51" s="19" t="str">
        <f aca="false">IF(OR(I51="",I51&lt;16,O51=""),"",O51+450)</f>
        <v/>
      </c>
      <c r="AG51" s="19" t="str">
        <f aca="false">IF(OR(I51="",I51&lt;17,O51=""),"",O51+480)</f>
        <v/>
      </c>
      <c r="AH51" s="19" t="str">
        <f aca="false">IF(OR(I51="",I51&lt;18,O51=""),"",O51+510)</f>
        <v/>
      </c>
      <c r="AI51" s="19" t="str">
        <f aca="false">IF(OR(I51="",I51&lt;19,O51=""),"",O51+540)</f>
        <v/>
      </c>
      <c r="AJ51" s="19" t="str">
        <f aca="false">IF(OR(I51="",I51&lt;20,O51=""),"",O51+570)</f>
        <v/>
      </c>
      <c r="AK51" s="19" t="str">
        <f aca="false">IF(OR(I51="",I51&lt;21,O51=""),"",O51+600)</f>
        <v/>
      </c>
      <c r="AL51" s="19" t="str">
        <f aca="false">IF(OR(I51="",I51&lt;22,O51=""),"",O51+630)</f>
        <v/>
      </c>
      <c r="AM51" s="19" t="str">
        <f aca="false">IF(OR(I51="",I51&lt;23,O51=""),"",O51+660)</f>
        <v/>
      </c>
      <c r="AN51" s="19" t="str">
        <f aca="false">IF(OR(I51="",I51&lt;24,O51=""),"",O51+690)</f>
        <v/>
      </c>
      <c r="AO51" s="15" t="str">
        <f aca="false">IF(J51="","",COUNTIF(Q51:AN51,TRUE())*J51)</f>
        <v/>
      </c>
      <c r="AP51" s="15" t="str">
        <f aca="false">IF(K51="","",K51-AO51)</f>
        <v/>
      </c>
      <c r="AQ51" s="15" t="str">
        <f aca="false">IF(K51="","",K51-F51-IF(N51="",0,N51))</f>
        <v/>
      </c>
    </row>
    <row r="52" customFormat="false" ht="15" hidden="false" customHeight="false" outlineLevel="0" collapsed="false">
      <c r="A52" s="4"/>
      <c r="B52" s="4"/>
      <c r="C52" s="4"/>
      <c r="D52" s="5"/>
      <c r="E52" s="5"/>
      <c r="F52" s="6"/>
      <c r="G52" s="4"/>
      <c r="H52" s="4"/>
      <c r="I52" s="4"/>
      <c r="J52" s="6"/>
      <c r="K52" s="7" t="str">
        <f aca="false">IF(OR(I52="",J52=""),"",I52*J52)</f>
        <v/>
      </c>
      <c r="L52" s="4"/>
      <c r="M52" s="8"/>
      <c r="N52" s="7" t="str">
        <f aca="false">IF(OR(L52="",M52="",K52=""),"",IF(L52="GANANCIA",(K52-F52)*M52,IF(L52="BRUTO",K52*M52,"")))</f>
        <v/>
      </c>
      <c r="O52" s="9" t="str">
        <f aca="false">IF(D52="","",D52+30)</f>
        <v/>
      </c>
      <c r="P52" s="10" t="str">
        <f aca="false">IF(I52="","",IF(COUNTIF(Q52:AN52,TRUE())&gt;=I52,"PAGADO",IF(COUNTIF(Q52:AN52,TRUE())&gt;0,"PARCIAL","VIGENTE")))</f>
        <v/>
      </c>
      <c r="Q52" s="11" t="str">
        <f aca="false">IF(OR(I52="",I52&lt;1,O52=""),"",O52+0)</f>
        <v/>
      </c>
      <c r="R52" s="11" t="str">
        <f aca="false">IF(OR(I52="",I52&lt;2,O52=""),"",O52+30)</f>
        <v/>
      </c>
      <c r="S52" s="11" t="str">
        <f aca="false">IF(OR(I52="",I52&lt;3,O52=""),"",O52+60)</f>
        <v/>
      </c>
      <c r="T52" s="11" t="str">
        <f aca="false">IF(OR(I52="",I52&lt;4,O52=""),"",O52+90)</f>
        <v/>
      </c>
      <c r="U52" s="11" t="str">
        <f aca="false">IF(OR(I52="",I52&lt;5,O52=""),"",O52+120)</f>
        <v/>
      </c>
      <c r="V52" s="11" t="str">
        <f aca="false">IF(OR(I52="",I52&lt;6,O52=""),"",O52+150)</f>
        <v/>
      </c>
      <c r="W52" s="11" t="str">
        <f aca="false">IF(OR(I52="",I52&lt;7,O52=""),"",O52+180)</f>
        <v/>
      </c>
      <c r="X52" s="11" t="str">
        <f aca="false">IF(OR(I52="",I52&lt;8,O52=""),"",O52+210)</f>
        <v/>
      </c>
      <c r="Y52" s="11" t="str">
        <f aca="false">IF(OR(I52="",I52&lt;9,O52=""),"",O52+240)</f>
        <v/>
      </c>
      <c r="Z52" s="11" t="str">
        <f aca="false">IF(OR(I52="",I52&lt;10,O52=""),"",O52+270)</f>
        <v/>
      </c>
      <c r="AA52" s="11" t="str">
        <f aca="false">IF(OR(I52="",I52&lt;11,O52=""),"",O52+300)</f>
        <v/>
      </c>
      <c r="AB52" s="11" t="str">
        <f aca="false">IF(OR(I52="",I52&lt;12,O52=""),"",O52+330)</f>
        <v/>
      </c>
      <c r="AC52" s="11" t="str">
        <f aca="false">IF(OR(I52="",I52&lt;13,O52=""),"",O52+360)</f>
        <v/>
      </c>
      <c r="AD52" s="11" t="str">
        <f aca="false">IF(OR(I52="",I52&lt;14,O52=""),"",O52+390)</f>
        <v/>
      </c>
      <c r="AE52" s="11" t="str">
        <f aca="false">IF(OR(I52="",I52&lt;15,O52=""),"",O52+420)</f>
        <v/>
      </c>
      <c r="AF52" s="11" t="str">
        <f aca="false">IF(OR(I52="",I52&lt;16,O52=""),"",O52+450)</f>
        <v/>
      </c>
      <c r="AG52" s="11" t="str">
        <f aca="false">IF(OR(I52="",I52&lt;17,O52=""),"",O52+480)</f>
        <v/>
      </c>
      <c r="AH52" s="11" t="str">
        <f aca="false">IF(OR(I52="",I52&lt;18,O52=""),"",O52+510)</f>
        <v/>
      </c>
      <c r="AI52" s="11" t="str">
        <f aca="false">IF(OR(I52="",I52&lt;19,O52=""),"",O52+540)</f>
        <v/>
      </c>
      <c r="AJ52" s="11" t="str">
        <f aca="false">IF(OR(I52="",I52&lt;20,O52=""),"",O52+570)</f>
        <v/>
      </c>
      <c r="AK52" s="11" t="str">
        <f aca="false">IF(OR(I52="",I52&lt;21,O52=""),"",O52+600)</f>
        <v/>
      </c>
      <c r="AL52" s="11" t="str">
        <f aca="false">IF(OR(I52="",I52&lt;22,O52=""),"",O52+630)</f>
        <v/>
      </c>
      <c r="AM52" s="11" t="str">
        <f aca="false">IF(OR(I52="",I52&lt;23,O52=""),"",O52+660)</f>
        <v/>
      </c>
      <c r="AN52" s="11" t="str">
        <f aca="false">IF(OR(I52="",I52&lt;24,O52=""),"",O52+690)</f>
        <v/>
      </c>
      <c r="AO52" s="7" t="str">
        <f aca="false">IF(J52="","",COUNTIF(Q52:AN52,TRUE())*J52)</f>
        <v/>
      </c>
      <c r="AP52" s="7" t="str">
        <f aca="false">IF(K52="","",K52-AO52)</f>
        <v/>
      </c>
      <c r="AQ52" s="7" t="str">
        <f aca="false">IF(K52="","",K52-F52-IF(N52="",0,N52))</f>
        <v/>
      </c>
    </row>
    <row r="53" customFormat="false" ht="15" hidden="false" customHeight="false" outlineLevel="0" collapsed="false">
      <c r="A53" s="12"/>
      <c r="B53" s="12"/>
      <c r="C53" s="12"/>
      <c r="D53" s="13"/>
      <c r="E53" s="13"/>
      <c r="F53" s="14"/>
      <c r="G53" s="12"/>
      <c r="H53" s="12"/>
      <c r="I53" s="12"/>
      <c r="J53" s="14"/>
      <c r="K53" s="15" t="str">
        <f aca="false">IF(OR(I53="",J53=""),"",I53*J53)</f>
        <v/>
      </c>
      <c r="L53" s="12"/>
      <c r="M53" s="16"/>
      <c r="N53" s="15" t="str">
        <f aca="false">IF(OR(L53="",M53="",K53=""),"",IF(L53="GANANCIA",(K53-F53)*M53,IF(L53="BRUTO",K53*M53,"")))</f>
        <v/>
      </c>
      <c r="O53" s="17" t="str">
        <f aca="false">IF(D53="","",D53+30)</f>
        <v/>
      </c>
      <c r="P53" s="18" t="str">
        <f aca="false">IF(I53="","",IF(COUNTIF(Q53:AN53,TRUE())&gt;=I53,"PAGADO",IF(COUNTIF(Q53:AN53,TRUE())&gt;0,"PARCIAL","VIGENTE")))</f>
        <v/>
      </c>
      <c r="Q53" s="19" t="str">
        <f aca="false">IF(OR(I53="",I53&lt;1,O53=""),"",O53+0)</f>
        <v/>
      </c>
      <c r="R53" s="19" t="str">
        <f aca="false">IF(OR(I53="",I53&lt;2,O53=""),"",O53+30)</f>
        <v/>
      </c>
      <c r="S53" s="19" t="str">
        <f aca="false">IF(OR(I53="",I53&lt;3,O53=""),"",O53+60)</f>
        <v/>
      </c>
      <c r="T53" s="19" t="str">
        <f aca="false">IF(OR(I53="",I53&lt;4,O53=""),"",O53+90)</f>
        <v/>
      </c>
      <c r="U53" s="19" t="str">
        <f aca="false">IF(OR(I53="",I53&lt;5,O53=""),"",O53+120)</f>
        <v/>
      </c>
      <c r="V53" s="19" t="str">
        <f aca="false">IF(OR(I53="",I53&lt;6,O53=""),"",O53+150)</f>
        <v/>
      </c>
      <c r="W53" s="19" t="str">
        <f aca="false">IF(OR(I53="",I53&lt;7,O53=""),"",O53+180)</f>
        <v/>
      </c>
      <c r="X53" s="19" t="str">
        <f aca="false">IF(OR(I53="",I53&lt;8,O53=""),"",O53+210)</f>
        <v/>
      </c>
      <c r="Y53" s="19" t="str">
        <f aca="false">IF(OR(I53="",I53&lt;9,O53=""),"",O53+240)</f>
        <v/>
      </c>
      <c r="Z53" s="19" t="str">
        <f aca="false">IF(OR(I53="",I53&lt;10,O53=""),"",O53+270)</f>
        <v/>
      </c>
      <c r="AA53" s="19" t="str">
        <f aca="false">IF(OR(I53="",I53&lt;11,O53=""),"",O53+300)</f>
        <v/>
      </c>
      <c r="AB53" s="19" t="str">
        <f aca="false">IF(OR(I53="",I53&lt;12,O53=""),"",O53+330)</f>
        <v/>
      </c>
      <c r="AC53" s="19" t="str">
        <f aca="false">IF(OR(I53="",I53&lt;13,O53=""),"",O53+360)</f>
        <v/>
      </c>
      <c r="AD53" s="19" t="str">
        <f aca="false">IF(OR(I53="",I53&lt;14,O53=""),"",O53+390)</f>
        <v/>
      </c>
      <c r="AE53" s="19" t="str">
        <f aca="false">IF(OR(I53="",I53&lt;15,O53=""),"",O53+420)</f>
        <v/>
      </c>
      <c r="AF53" s="19" t="str">
        <f aca="false">IF(OR(I53="",I53&lt;16,O53=""),"",O53+450)</f>
        <v/>
      </c>
      <c r="AG53" s="19" t="str">
        <f aca="false">IF(OR(I53="",I53&lt;17,O53=""),"",O53+480)</f>
        <v/>
      </c>
      <c r="AH53" s="19" t="str">
        <f aca="false">IF(OR(I53="",I53&lt;18,O53=""),"",O53+510)</f>
        <v/>
      </c>
      <c r="AI53" s="19" t="str">
        <f aca="false">IF(OR(I53="",I53&lt;19,O53=""),"",O53+540)</f>
        <v/>
      </c>
      <c r="AJ53" s="19" t="str">
        <f aca="false">IF(OR(I53="",I53&lt;20,O53=""),"",O53+570)</f>
        <v/>
      </c>
      <c r="AK53" s="19" t="str">
        <f aca="false">IF(OR(I53="",I53&lt;21,O53=""),"",O53+600)</f>
        <v/>
      </c>
      <c r="AL53" s="19" t="str">
        <f aca="false">IF(OR(I53="",I53&lt;22,O53=""),"",O53+630)</f>
        <v/>
      </c>
      <c r="AM53" s="19" t="str">
        <f aca="false">IF(OR(I53="",I53&lt;23,O53=""),"",O53+660)</f>
        <v/>
      </c>
      <c r="AN53" s="19" t="str">
        <f aca="false">IF(OR(I53="",I53&lt;24,O53=""),"",O53+690)</f>
        <v/>
      </c>
      <c r="AO53" s="15" t="str">
        <f aca="false">IF(J53="","",COUNTIF(Q53:AN53,TRUE())*J53)</f>
        <v/>
      </c>
      <c r="AP53" s="15" t="str">
        <f aca="false">IF(K53="","",K53-AO53)</f>
        <v/>
      </c>
      <c r="AQ53" s="15" t="str">
        <f aca="false">IF(K53="","",K53-F53-IF(N53="",0,N53))</f>
        <v/>
      </c>
    </row>
    <row r="54" customFormat="false" ht="15" hidden="false" customHeight="false" outlineLevel="0" collapsed="false">
      <c r="A54" s="4"/>
      <c r="B54" s="4"/>
      <c r="C54" s="4"/>
      <c r="D54" s="5"/>
      <c r="E54" s="5"/>
      <c r="F54" s="6"/>
      <c r="G54" s="4"/>
      <c r="H54" s="4"/>
      <c r="I54" s="4"/>
      <c r="J54" s="6"/>
      <c r="K54" s="7" t="str">
        <f aca="false">IF(OR(I54="",J54=""),"",I54*J54)</f>
        <v/>
      </c>
      <c r="L54" s="4"/>
      <c r="M54" s="8"/>
      <c r="N54" s="7" t="str">
        <f aca="false">IF(OR(L54="",M54="",K54=""),"",IF(L54="GANANCIA",(K54-F54)*M54,IF(L54="BRUTO",K54*M54,"")))</f>
        <v/>
      </c>
      <c r="O54" s="9" t="str">
        <f aca="false">IF(D54="","",D54+30)</f>
        <v/>
      </c>
      <c r="P54" s="10" t="str">
        <f aca="false">IF(I54="","",IF(COUNTIF(Q54:AN54,TRUE())&gt;=I54,"PAGADO",IF(COUNTIF(Q54:AN54,TRUE())&gt;0,"PARCIAL","VIGENTE")))</f>
        <v/>
      </c>
      <c r="Q54" s="11" t="str">
        <f aca="false">IF(OR(I54="",I54&lt;1,O54=""),"",O54+0)</f>
        <v/>
      </c>
      <c r="R54" s="11" t="str">
        <f aca="false">IF(OR(I54="",I54&lt;2,O54=""),"",O54+30)</f>
        <v/>
      </c>
      <c r="S54" s="11" t="str">
        <f aca="false">IF(OR(I54="",I54&lt;3,O54=""),"",O54+60)</f>
        <v/>
      </c>
      <c r="T54" s="11" t="str">
        <f aca="false">IF(OR(I54="",I54&lt;4,O54=""),"",O54+90)</f>
        <v/>
      </c>
      <c r="U54" s="11" t="str">
        <f aca="false">IF(OR(I54="",I54&lt;5,O54=""),"",O54+120)</f>
        <v/>
      </c>
      <c r="V54" s="11" t="str">
        <f aca="false">IF(OR(I54="",I54&lt;6,O54=""),"",O54+150)</f>
        <v/>
      </c>
      <c r="W54" s="11" t="str">
        <f aca="false">IF(OR(I54="",I54&lt;7,O54=""),"",O54+180)</f>
        <v/>
      </c>
      <c r="X54" s="11" t="str">
        <f aca="false">IF(OR(I54="",I54&lt;8,O54=""),"",O54+210)</f>
        <v/>
      </c>
      <c r="Y54" s="11" t="str">
        <f aca="false">IF(OR(I54="",I54&lt;9,O54=""),"",O54+240)</f>
        <v/>
      </c>
      <c r="Z54" s="11" t="str">
        <f aca="false">IF(OR(I54="",I54&lt;10,O54=""),"",O54+270)</f>
        <v/>
      </c>
      <c r="AA54" s="11" t="str">
        <f aca="false">IF(OR(I54="",I54&lt;11,O54=""),"",O54+300)</f>
        <v/>
      </c>
      <c r="AB54" s="11" t="str">
        <f aca="false">IF(OR(I54="",I54&lt;12,O54=""),"",O54+330)</f>
        <v/>
      </c>
      <c r="AC54" s="11" t="str">
        <f aca="false">IF(OR(I54="",I54&lt;13,O54=""),"",O54+360)</f>
        <v/>
      </c>
      <c r="AD54" s="11" t="str">
        <f aca="false">IF(OR(I54="",I54&lt;14,O54=""),"",O54+390)</f>
        <v/>
      </c>
      <c r="AE54" s="11" t="str">
        <f aca="false">IF(OR(I54="",I54&lt;15,O54=""),"",O54+420)</f>
        <v/>
      </c>
      <c r="AF54" s="11" t="str">
        <f aca="false">IF(OR(I54="",I54&lt;16,O54=""),"",O54+450)</f>
        <v/>
      </c>
      <c r="AG54" s="11" t="str">
        <f aca="false">IF(OR(I54="",I54&lt;17,O54=""),"",O54+480)</f>
        <v/>
      </c>
      <c r="AH54" s="11" t="str">
        <f aca="false">IF(OR(I54="",I54&lt;18,O54=""),"",O54+510)</f>
        <v/>
      </c>
      <c r="AI54" s="11" t="str">
        <f aca="false">IF(OR(I54="",I54&lt;19,O54=""),"",O54+540)</f>
        <v/>
      </c>
      <c r="AJ54" s="11" t="str">
        <f aca="false">IF(OR(I54="",I54&lt;20,O54=""),"",O54+570)</f>
        <v/>
      </c>
      <c r="AK54" s="11" t="str">
        <f aca="false">IF(OR(I54="",I54&lt;21,O54=""),"",O54+600)</f>
        <v/>
      </c>
      <c r="AL54" s="11" t="str">
        <f aca="false">IF(OR(I54="",I54&lt;22,O54=""),"",O54+630)</f>
        <v/>
      </c>
      <c r="AM54" s="11" t="str">
        <f aca="false">IF(OR(I54="",I54&lt;23,O54=""),"",O54+660)</f>
        <v/>
      </c>
      <c r="AN54" s="11" t="str">
        <f aca="false">IF(OR(I54="",I54&lt;24,O54=""),"",O54+690)</f>
        <v/>
      </c>
      <c r="AO54" s="7" t="str">
        <f aca="false">IF(J54="","",COUNTIF(Q54:AN54,TRUE())*J54)</f>
        <v/>
      </c>
      <c r="AP54" s="7" t="str">
        <f aca="false">IF(K54="","",K54-AO54)</f>
        <v/>
      </c>
      <c r="AQ54" s="7" t="str">
        <f aca="false">IF(K54="","",K54-F54-IF(N54="",0,N54))</f>
        <v/>
      </c>
    </row>
    <row r="55" customFormat="false" ht="15" hidden="false" customHeight="false" outlineLevel="0" collapsed="false">
      <c r="A55" s="12"/>
      <c r="B55" s="12"/>
      <c r="C55" s="12"/>
      <c r="D55" s="13"/>
      <c r="E55" s="13"/>
      <c r="F55" s="14"/>
      <c r="G55" s="12"/>
      <c r="H55" s="12"/>
      <c r="I55" s="12"/>
      <c r="J55" s="14"/>
      <c r="K55" s="15" t="str">
        <f aca="false">IF(OR(I55="",J55=""),"",I55*J55)</f>
        <v/>
      </c>
      <c r="L55" s="12"/>
      <c r="M55" s="16"/>
      <c r="N55" s="15" t="str">
        <f aca="false">IF(OR(L55="",M55="",K55=""),"",IF(L55="GANANCIA",(K55-F55)*M55,IF(L55="BRUTO",K55*M55,"")))</f>
        <v/>
      </c>
      <c r="O55" s="17" t="str">
        <f aca="false">IF(D55="","",D55+30)</f>
        <v/>
      </c>
      <c r="P55" s="18" t="str">
        <f aca="false">IF(I55="","",IF(COUNTIF(Q55:AN55,TRUE())&gt;=I55,"PAGADO",IF(COUNTIF(Q55:AN55,TRUE())&gt;0,"PARCIAL","VIGENTE")))</f>
        <v/>
      </c>
      <c r="Q55" s="19" t="str">
        <f aca="false">IF(OR(I55="",I55&lt;1,O55=""),"",O55+0)</f>
        <v/>
      </c>
      <c r="R55" s="19" t="str">
        <f aca="false">IF(OR(I55="",I55&lt;2,O55=""),"",O55+30)</f>
        <v/>
      </c>
      <c r="S55" s="19" t="str">
        <f aca="false">IF(OR(I55="",I55&lt;3,O55=""),"",O55+60)</f>
        <v/>
      </c>
      <c r="T55" s="19" t="str">
        <f aca="false">IF(OR(I55="",I55&lt;4,O55=""),"",O55+90)</f>
        <v/>
      </c>
      <c r="U55" s="19" t="str">
        <f aca="false">IF(OR(I55="",I55&lt;5,O55=""),"",O55+120)</f>
        <v/>
      </c>
      <c r="V55" s="19" t="str">
        <f aca="false">IF(OR(I55="",I55&lt;6,O55=""),"",O55+150)</f>
        <v/>
      </c>
      <c r="W55" s="19" t="str">
        <f aca="false">IF(OR(I55="",I55&lt;7,O55=""),"",O55+180)</f>
        <v/>
      </c>
      <c r="X55" s="19" t="str">
        <f aca="false">IF(OR(I55="",I55&lt;8,O55=""),"",O55+210)</f>
        <v/>
      </c>
      <c r="Y55" s="19" t="str">
        <f aca="false">IF(OR(I55="",I55&lt;9,O55=""),"",O55+240)</f>
        <v/>
      </c>
      <c r="Z55" s="19" t="str">
        <f aca="false">IF(OR(I55="",I55&lt;10,O55=""),"",O55+270)</f>
        <v/>
      </c>
      <c r="AA55" s="19" t="str">
        <f aca="false">IF(OR(I55="",I55&lt;11,O55=""),"",O55+300)</f>
        <v/>
      </c>
      <c r="AB55" s="19" t="str">
        <f aca="false">IF(OR(I55="",I55&lt;12,O55=""),"",O55+330)</f>
        <v/>
      </c>
      <c r="AC55" s="19" t="str">
        <f aca="false">IF(OR(I55="",I55&lt;13,O55=""),"",O55+360)</f>
        <v/>
      </c>
      <c r="AD55" s="19" t="str">
        <f aca="false">IF(OR(I55="",I55&lt;14,O55=""),"",O55+390)</f>
        <v/>
      </c>
      <c r="AE55" s="19" t="str">
        <f aca="false">IF(OR(I55="",I55&lt;15,O55=""),"",O55+420)</f>
        <v/>
      </c>
      <c r="AF55" s="19" t="str">
        <f aca="false">IF(OR(I55="",I55&lt;16,O55=""),"",O55+450)</f>
        <v/>
      </c>
      <c r="AG55" s="19" t="str">
        <f aca="false">IF(OR(I55="",I55&lt;17,O55=""),"",O55+480)</f>
        <v/>
      </c>
      <c r="AH55" s="19" t="str">
        <f aca="false">IF(OR(I55="",I55&lt;18,O55=""),"",O55+510)</f>
        <v/>
      </c>
      <c r="AI55" s="19" t="str">
        <f aca="false">IF(OR(I55="",I55&lt;19,O55=""),"",O55+540)</f>
        <v/>
      </c>
      <c r="AJ55" s="19" t="str">
        <f aca="false">IF(OR(I55="",I55&lt;20,O55=""),"",O55+570)</f>
        <v/>
      </c>
      <c r="AK55" s="19" t="str">
        <f aca="false">IF(OR(I55="",I55&lt;21,O55=""),"",O55+600)</f>
        <v/>
      </c>
      <c r="AL55" s="19" t="str">
        <f aca="false">IF(OR(I55="",I55&lt;22,O55=""),"",O55+630)</f>
        <v/>
      </c>
      <c r="AM55" s="19" t="str">
        <f aca="false">IF(OR(I55="",I55&lt;23,O55=""),"",O55+660)</f>
        <v/>
      </c>
      <c r="AN55" s="19" t="str">
        <f aca="false">IF(OR(I55="",I55&lt;24,O55=""),"",O55+690)</f>
        <v/>
      </c>
      <c r="AO55" s="15" t="str">
        <f aca="false">IF(J55="","",COUNTIF(Q55:AN55,TRUE())*J55)</f>
        <v/>
      </c>
      <c r="AP55" s="15" t="str">
        <f aca="false">IF(K55="","",K55-AO55)</f>
        <v/>
      </c>
      <c r="AQ55" s="15" t="str">
        <f aca="false">IF(K55="","",K55-F55-IF(N55="",0,N55))</f>
        <v/>
      </c>
    </row>
    <row r="56" customFormat="false" ht="15" hidden="false" customHeight="false" outlineLevel="0" collapsed="false">
      <c r="A56" s="4"/>
      <c r="B56" s="4"/>
      <c r="C56" s="4"/>
      <c r="D56" s="5"/>
      <c r="E56" s="5"/>
      <c r="F56" s="6"/>
      <c r="G56" s="4"/>
      <c r="H56" s="4"/>
      <c r="I56" s="4"/>
      <c r="J56" s="6"/>
      <c r="K56" s="7" t="str">
        <f aca="false">IF(OR(I56="",J56=""),"",I56*J56)</f>
        <v/>
      </c>
      <c r="L56" s="4"/>
      <c r="M56" s="8"/>
      <c r="N56" s="7" t="str">
        <f aca="false">IF(OR(L56="",M56="",K56=""),"",IF(L56="GANANCIA",(K56-F56)*M56,IF(L56="BRUTO",K56*M56,"")))</f>
        <v/>
      </c>
      <c r="O56" s="9" t="str">
        <f aca="false">IF(D56="","",D56+30)</f>
        <v/>
      </c>
      <c r="P56" s="10" t="str">
        <f aca="false">IF(I56="","",IF(COUNTIF(Q56:AN56,TRUE())&gt;=I56,"PAGADO",IF(COUNTIF(Q56:AN56,TRUE())&gt;0,"PARCIAL","VIGENTE")))</f>
        <v/>
      </c>
      <c r="Q56" s="11" t="str">
        <f aca="false">IF(OR(I56="",I56&lt;1,O56=""),"",O56+0)</f>
        <v/>
      </c>
      <c r="R56" s="11" t="str">
        <f aca="false">IF(OR(I56="",I56&lt;2,O56=""),"",O56+30)</f>
        <v/>
      </c>
      <c r="S56" s="11" t="str">
        <f aca="false">IF(OR(I56="",I56&lt;3,O56=""),"",O56+60)</f>
        <v/>
      </c>
      <c r="T56" s="11" t="str">
        <f aca="false">IF(OR(I56="",I56&lt;4,O56=""),"",O56+90)</f>
        <v/>
      </c>
      <c r="U56" s="11" t="str">
        <f aca="false">IF(OR(I56="",I56&lt;5,O56=""),"",O56+120)</f>
        <v/>
      </c>
      <c r="V56" s="11" t="str">
        <f aca="false">IF(OR(I56="",I56&lt;6,O56=""),"",O56+150)</f>
        <v/>
      </c>
      <c r="W56" s="11" t="str">
        <f aca="false">IF(OR(I56="",I56&lt;7,O56=""),"",O56+180)</f>
        <v/>
      </c>
      <c r="X56" s="11" t="str">
        <f aca="false">IF(OR(I56="",I56&lt;8,O56=""),"",O56+210)</f>
        <v/>
      </c>
      <c r="Y56" s="11" t="str">
        <f aca="false">IF(OR(I56="",I56&lt;9,O56=""),"",O56+240)</f>
        <v/>
      </c>
      <c r="Z56" s="11" t="str">
        <f aca="false">IF(OR(I56="",I56&lt;10,O56=""),"",O56+270)</f>
        <v/>
      </c>
      <c r="AA56" s="11" t="str">
        <f aca="false">IF(OR(I56="",I56&lt;11,O56=""),"",O56+300)</f>
        <v/>
      </c>
      <c r="AB56" s="11" t="str">
        <f aca="false">IF(OR(I56="",I56&lt;12,O56=""),"",O56+330)</f>
        <v/>
      </c>
      <c r="AC56" s="11" t="str">
        <f aca="false">IF(OR(I56="",I56&lt;13,O56=""),"",O56+360)</f>
        <v/>
      </c>
      <c r="AD56" s="11" t="str">
        <f aca="false">IF(OR(I56="",I56&lt;14,O56=""),"",O56+390)</f>
        <v/>
      </c>
      <c r="AE56" s="11" t="str">
        <f aca="false">IF(OR(I56="",I56&lt;15,O56=""),"",O56+420)</f>
        <v/>
      </c>
      <c r="AF56" s="11" t="str">
        <f aca="false">IF(OR(I56="",I56&lt;16,O56=""),"",O56+450)</f>
        <v/>
      </c>
      <c r="AG56" s="11" t="str">
        <f aca="false">IF(OR(I56="",I56&lt;17,O56=""),"",O56+480)</f>
        <v/>
      </c>
      <c r="AH56" s="11" t="str">
        <f aca="false">IF(OR(I56="",I56&lt;18,O56=""),"",O56+510)</f>
        <v/>
      </c>
      <c r="AI56" s="11" t="str">
        <f aca="false">IF(OR(I56="",I56&lt;19,O56=""),"",O56+540)</f>
        <v/>
      </c>
      <c r="AJ56" s="11" t="str">
        <f aca="false">IF(OR(I56="",I56&lt;20,O56=""),"",O56+570)</f>
        <v/>
      </c>
      <c r="AK56" s="11" t="str">
        <f aca="false">IF(OR(I56="",I56&lt;21,O56=""),"",O56+600)</f>
        <v/>
      </c>
      <c r="AL56" s="11" t="str">
        <f aca="false">IF(OR(I56="",I56&lt;22,O56=""),"",O56+630)</f>
        <v/>
      </c>
      <c r="AM56" s="11" t="str">
        <f aca="false">IF(OR(I56="",I56&lt;23,O56=""),"",O56+660)</f>
        <v/>
      </c>
      <c r="AN56" s="11" t="str">
        <f aca="false">IF(OR(I56="",I56&lt;24,O56=""),"",O56+690)</f>
        <v/>
      </c>
      <c r="AO56" s="7" t="str">
        <f aca="false">IF(J56="","",COUNTIF(Q56:AN56,TRUE())*J56)</f>
        <v/>
      </c>
      <c r="AP56" s="7" t="str">
        <f aca="false">IF(K56="","",K56-AO56)</f>
        <v/>
      </c>
      <c r="AQ56" s="7" t="str">
        <f aca="false">IF(K56="","",K56-F56-IF(N56="",0,N56))</f>
        <v/>
      </c>
    </row>
    <row r="57" customFormat="false" ht="15" hidden="false" customHeight="false" outlineLevel="0" collapsed="false">
      <c r="A57" s="12"/>
      <c r="B57" s="12"/>
      <c r="C57" s="12"/>
      <c r="D57" s="13"/>
      <c r="E57" s="13"/>
      <c r="F57" s="14"/>
      <c r="G57" s="12"/>
      <c r="H57" s="12"/>
      <c r="I57" s="12"/>
      <c r="J57" s="14"/>
      <c r="K57" s="15" t="str">
        <f aca="false">IF(OR(I57="",J57=""),"",I57*J57)</f>
        <v/>
      </c>
      <c r="L57" s="12"/>
      <c r="M57" s="16"/>
      <c r="N57" s="15" t="str">
        <f aca="false">IF(OR(L57="",M57="",K57=""),"",IF(L57="GANANCIA",(K57-F57)*M57,IF(L57="BRUTO",K57*M57,"")))</f>
        <v/>
      </c>
      <c r="O57" s="17" t="str">
        <f aca="false">IF(D57="","",D57+30)</f>
        <v/>
      </c>
      <c r="P57" s="18" t="str">
        <f aca="false">IF(I57="","",IF(COUNTIF(Q57:AN57,TRUE())&gt;=I57,"PAGADO",IF(COUNTIF(Q57:AN57,TRUE())&gt;0,"PARCIAL","VIGENTE")))</f>
        <v/>
      </c>
      <c r="Q57" s="19" t="str">
        <f aca="false">IF(OR(I57="",I57&lt;1,O57=""),"",O57+0)</f>
        <v/>
      </c>
      <c r="R57" s="19" t="str">
        <f aca="false">IF(OR(I57="",I57&lt;2,O57=""),"",O57+30)</f>
        <v/>
      </c>
      <c r="S57" s="19" t="str">
        <f aca="false">IF(OR(I57="",I57&lt;3,O57=""),"",O57+60)</f>
        <v/>
      </c>
      <c r="T57" s="19" t="str">
        <f aca="false">IF(OR(I57="",I57&lt;4,O57=""),"",O57+90)</f>
        <v/>
      </c>
      <c r="U57" s="19" t="str">
        <f aca="false">IF(OR(I57="",I57&lt;5,O57=""),"",O57+120)</f>
        <v/>
      </c>
      <c r="V57" s="19" t="str">
        <f aca="false">IF(OR(I57="",I57&lt;6,O57=""),"",O57+150)</f>
        <v/>
      </c>
      <c r="W57" s="19" t="str">
        <f aca="false">IF(OR(I57="",I57&lt;7,O57=""),"",O57+180)</f>
        <v/>
      </c>
      <c r="X57" s="19" t="str">
        <f aca="false">IF(OR(I57="",I57&lt;8,O57=""),"",O57+210)</f>
        <v/>
      </c>
      <c r="Y57" s="19" t="str">
        <f aca="false">IF(OR(I57="",I57&lt;9,O57=""),"",O57+240)</f>
        <v/>
      </c>
      <c r="Z57" s="19" t="str">
        <f aca="false">IF(OR(I57="",I57&lt;10,O57=""),"",O57+270)</f>
        <v/>
      </c>
      <c r="AA57" s="19" t="str">
        <f aca="false">IF(OR(I57="",I57&lt;11,O57=""),"",O57+300)</f>
        <v/>
      </c>
      <c r="AB57" s="19" t="str">
        <f aca="false">IF(OR(I57="",I57&lt;12,O57=""),"",O57+330)</f>
        <v/>
      </c>
      <c r="AC57" s="19" t="str">
        <f aca="false">IF(OR(I57="",I57&lt;13,O57=""),"",O57+360)</f>
        <v/>
      </c>
      <c r="AD57" s="19" t="str">
        <f aca="false">IF(OR(I57="",I57&lt;14,O57=""),"",O57+390)</f>
        <v/>
      </c>
      <c r="AE57" s="19" t="str">
        <f aca="false">IF(OR(I57="",I57&lt;15,O57=""),"",O57+420)</f>
        <v/>
      </c>
      <c r="AF57" s="19" t="str">
        <f aca="false">IF(OR(I57="",I57&lt;16,O57=""),"",O57+450)</f>
        <v/>
      </c>
      <c r="AG57" s="19" t="str">
        <f aca="false">IF(OR(I57="",I57&lt;17,O57=""),"",O57+480)</f>
        <v/>
      </c>
      <c r="AH57" s="19" t="str">
        <f aca="false">IF(OR(I57="",I57&lt;18,O57=""),"",O57+510)</f>
        <v/>
      </c>
      <c r="AI57" s="19" t="str">
        <f aca="false">IF(OR(I57="",I57&lt;19,O57=""),"",O57+540)</f>
        <v/>
      </c>
      <c r="AJ57" s="19" t="str">
        <f aca="false">IF(OR(I57="",I57&lt;20,O57=""),"",O57+570)</f>
        <v/>
      </c>
      <c r="AK57" s="19" t="str">
        <f aca="false">IF(OR(I57="",I57&lt;21,O57=""),"",O57+600)</f>
        <v/>
      </c>
      <c r="AL57" s="19" t="str">
        <f aca="false">IF(OR(I57="",I57&lt;22,O57=""),"",O57+630)</f>
        <v/>
      </c>
      <c r="AM57" s="19" t="str">
        <f aca="false">IF(OR(I57="",I57&lt;23,O57=""),"",O57+660)</f>
        <v/>
      </c>
      <c r="AN57" s="19" t="str">
        <f aca="false">IF(OR(I57="",I57&lt;24,O57=""),"",O57+690)</f>
        <v/>
      </c>
      <c r="AO57" s="15" t="str">
        <f aca="false">IF(J57="","",COUNTIF(Q57:AN57,TRUE())*J57)</f>
        <v/>
      </c>
      <c r="AP57" s="15" t="str">
        <f aca="false">IF(K57="","",K57-AO57)</f>
        <v/>
      </c>
      <c r="AQ57" s="15" t="str">
        <f aca="false">IF(K57="","",K57-F57-IF(N57="",0,N57))</f>
        <v/>
      </c>
    </row>
    <row r="58" customFormat="false" ht="15" hidden="false" customHeight="false" outlineLevel="0" collapsed="false">
      <c r="A58" s="4"/>
      <c r="B58" s="4"/>
      <c r="C58" s="4"/>
      <c r="D58" s="5"/>
      <c r="E58" s="5"/>
      <c r="F58" s="6"/>
      <c r="G58" s="4"/>
      <c r="H58" s="4"/>
      <c r="I58" s="4"/>
      <c r="J58" s="6"/>
      <c r="K58" s="7" t="str">
        <f aca="false">IF(OR(I58="",J58=""),"",I58*J58)</f>
        <v/>
      </c>
      <c r="L58" s="4"/>
      <c r="M58" s="8"/>
      <c r="N58" s="7" t="str">
        <f aca="false">IF(OR(L58="",M58="",K58=""),"",IF(L58="GANANCIA",(K58-F58)*M58,IF(L58="BRUTO",K58*M58,"")))</f>
        <v/>
      </c>
      <c r="O58" s="9" t="str">
        <f aca="false">IF(D58="","",D58+30)</f>
        <v/>
      </c>
      <c r="P58" s="10" t="str">
        <f aca="false">IF(I58="","",IF(COUNTIF(Q58:AN58,TRUE())&gt;=I58,"PAGADO",IF(COUNTIF(Q58:AN58,TRUE())&gt;0,"PARCIAL","VIGENTE")))</f>
        <v/>
      </c>
      <c r="Q58" s="11" t="str">
        <f aca="false">IF(OR(I58="",I58&lt;1,O58=""),"",O58+0)</f>
        <v/>
      </c>
      <c r="R58" s="11" t="str">
        <f aca="false">IF(OR(I58="",I58&lt;2,O58=""),"",O58+30)</f>
        <v/>
      </c>
      <c r="S58" s="11" t="str">
        <f aca="false">IF(OR(I58="",I58&lt;3,O58=""),"",O58+60)</f>
        <v/>
      </c>
      <c r="T58" s="11" t="str">
        <f aca="false">IF(OR(I58="",I58&lt;4,O58=""),"",O58+90)</f>
        <v/>
      </c>
      <c r="U58" s="11" t="str">
        <f aca="false">IF(OR(I58="",I58&lt;5,O58=""),"",O58+120)</f>
        <v/>
      </c>
      <c r="V58" s="11" t="str">
        <f aca="false">IF(OR(I58="",I58&lt;6,O58=""),"",O58+150)</f>
        <v/>
      </c>
      <c r="W58" s="11" t="str">
        <f aca="false">IF(OR(I58="",I58&lt;7,O58=""),"",O58+180)</f>
        <v/>
      </c>
      <c r="X58" s="11" t="str">
        <f aca="false">IF(OR(I58="",I58&lt;8,O58=""),"",O58+210)</f>
        <v/>
      </c>
      <c r="Y58" s="11" t="str">
        <f aca="false">IF(OR(I58="",I58&lt;9,O58=""),"",O58+240)</f>
        <v/>
      </c>
      <c r="Z58" s="11" t="str">
        <f aca="false">IF(OR(I58="",I58&lt;10,O58=""),"",O58+270)</f>
        <v/>
      </c>
      <c r="AA58" s="11" t="str">
        <f aca="false">IF(OR(I58="",I58&lt;11,O58=""),"",O58+300)</f>
        <v/>
      </c>
      <c r="AB58" s="11" t="str">
        <f aca="false">IF(OR(I58="",I58&lt;12,O58=""),"",O58+330)</f>
        <v/>
      </c>
      <c r="AC58" s="11" t="str">
        <f aca="false">IF(OR(I58="",I58&lt;13,O58=""),"",O58+360)</f>
        <v/>
      </c>
      <c r="AD58" s="11" t="str">
        <f aca="false">IF(OR(I58="",I58&lt;14,O58=""),"",O58+390)</f>
        <v/>
      </c>
      <c r="AE58" s="11" t="str">
        <f aca="false">IF(OR(I58="",I58&lt;15,O58=""),"",O58+420)</f>
        <v/>
      </c>
      <c r="AF58" s="11" t="str">
        <f aca="false">IF(OR(I58="",I58&lt;16,O58=""),"",O58+450)</f>
        <v/>
      </c>
      <c r="AG58" s="11" t="str">
        <f aca="false">IF(OR(I58="",I58&lt;17,O58=""),"",O58+480)</f>
        <v/>
      </c>
      <c r="AH58" s="11" t="str">
        <f aca="false">IF(OR(I58="",I58&lt;18,O58=""),"",O58+510)</f>
        <v/>
      </c>
      <c r="AI58" s="11" t="str">
        <f aca="false">IF(OR(I58="",I58&lt;19,O58=""),"",O58+540)</f>
        <v/>
      </c>
      <c r="AJ58" s="11" t="str">
        <f aca="false">IF(OR(I58="",I58&lt;20,O58=""),"",O58+570)</f>
        <v/>
      </c>
      <c r="AK58" s="11" t="str">
        <f aca="false">IF(OR(I58="",I58&lt;21,O58=""),"",O58+600)</f>
        <v/>
      </c>
      <c r="AL58" s="11" t="str">
        <f aca="false">IF(OR(I58="",I58&lt;22,O58=""),"",O58+630)</f>
        <v/>
      </c>
      <c r="AM58" s="11" t="str">
        <f aca="false">IF(OR(I58="",I58&lt;23,O58=""),"",O58+660)</f>
        <v/>
      </c>
      <c r="AN58" s="11" t="str">
        <f aca="false">IF(OR(I58="",I58&lt;24,O58=""),"",O58+690)</f>
        <v/>
      </c>
      <c r="AO58" s="7" t="str">
        <f aca="false">IF(J58="","",COUNTIF(Q58:AN58,TRUE())*J58)</f>
        <v/>
      </c>
      <c r="AP58" s="7" t="str">
        <f aca="false">IF(K58="","",K58-AO58)</f>
        <v/>
      </c>
      <c r="AQ58" s="7" t="str">
        <f aca="false">IF(K58="","",K58-F58-IF(N58="",0,N58))</f>
        <v/>
      </c>
    </row>
    <row r="59" customFormat="false" ht="15" hidden="false" customHeight="false" outlineLevel="0" collapsed="false">
      <c r="A59" s="12"/>
      <c r="B59" s="12"/>
      <c r="C59" s="12"/>
      <c r="D59" s="13"/>
      <c r="E59" s="13"/>
      <c r="F59" s="14"/>
      <c r="G59" s="12"/>
      <c r="H59" s="12"/>
      <c r="I59" s="12"/>
      <c r="J59" s="14"/>
      <c r="K59" s="15" t="str">
        <f aca="false">IF(OR(I59="",J59=""),"",I59*J59)</f>
        <v/>
      </c>
      <c r="L59" s="12"/>
      <c r="M59" s="16"/>
      <c r="N59" s="15" t="str">
        <f aca="false">IF(OR(L59="",M59="",K59=""),"",IF(L59="GANANCIA",(K59-F59)*M59,IF(L59="BRUTO",K59*M59,"")))</f>
        <v/>
      </c>
      <c r="O59" s="17" t="str">
        <f aca="false">IF(D59="","",D59+30)</f>
        <v/>
      </c>
      <c r="P59" s="18" t="str">
        <f aca="false">IF(I59="","",IF(COUNTIF(Q59:AN59,TRUE())&gt;=I59,"PAGADO",IF(COUNTIF(Q59:AN59,TRUE())&gt;0,"PARCIAL","VIGENTE")))</f>
        <v/>
      </c>
      <c r="Q59" s="19" t="str">
        <f aca="false">IF(OR(I59="",I59&lt;1,O59=""),"",O59+0)</f>
        <v/>
      </c>
      <c r="R59" s="19" t="str">
        <f aca="false">IF(OR(I59="",I59&lt;2,O59=""),"",O59+30)</f>
        <v/>
      </c>
      <c r="S59" s="19" t="str">
        <f aca="false">IF(OR(I59="",I59&lt;3,O59=""),"",O59+60)</f>
        <v/>
      </c>
      <c r="T59" s="19" t="str">
        <f aca="false">IF(OR(I59="",I59&lt;4,O59=""),"",O59+90)</f>
        <v/>
      </c>
      <c r="U59" s="19" t="str">
        <f aca="false">IF(OR(I59="",I59&lt;5,O59=""),"",O59+120)</f>
        <v/>
      </c>
      <c r="V59" s="19" t="str">
        <f aca="false">IF(OR(I59="",I59&lt;6,O59=""),"",O59+150)</f>
        <v/>
      </c>
      <c r="W59" s="19" t="str">
        <f aca="false">IF(OR(I59="",I59&lt;7,O59=""),"",O59+180)</f>
        <v/>
      </c>
      <c r="X59" s="19" t="str">
        <f aca="false">IF(OR(I59="",I59&lt;8,O59=""),"",O59+210)</f>
        <v/>
      </c>
      <c r="Y59" s="19" t="str">
        <f aca="false">IF(OR(I59="",I59&lt;9,O59=""),"",O59+240)</f>
        <v/>
      </c>
      <c r="Z59" s="19" t="str">
        <f aca="false">IF(OR(I59="",I59&lt;10,O59=""),"",O59+270)</f>
        <v/>
      </c>
      <c r="AA59" s="19" t="str">
        <f aca="false">IF(OR(I59="",I59&lt;11,O59=""),"",O59+300)</f>
        <v/>
      </c>
      <c r="AB59" s="19" t="str">
        <f aca="false">IF(OR(I59="",I59&lt;12,O59=""),"",O59+330)</f>
        <v/>
      </c>
      <c r="AC59" s="19" t="str">
        <f aca="false">IF(OR(I59="",I59&lt;13,O59=""),"",O59+360)</f>
        <v/>
      </c>
      <c r="AD59" s="19" t="str">
        <f aca="false">IF(OR(I59="",I59&lt;14,O59=""),"",O59+390)</f>
        <v/>
      </c>
      <c r="AE59" s="19" t="str">
        <f aca="false">IF(OR(I59="",I59&lt;15,O59=""),"",O59+420)</f>
        <v/>
      </c>
      <c r="AF59" s="19" t="str">
        <f aca="false">IF(OR(I59="",I59&lt;16,O59=""),"",O59+450)</f>
        <v/>
      </c>
      <c r="AG59" s="19" t="str">
        <f aca="false">IF(OR(I59="",I59&lt;17,O59=""),"",O59+480)</f>
        <v/>
      </c>
      <c r="AH59" s="19" t="str">
        <f aca="false">IF(OR(I59="",I59&lt;18,O59=""),"",O59+510)</f>
        <v/>
      </c>
      <c r="AI59" s="19" t="str">
        <f aca="false">IF(OR(I59="",I59&lt;19,O59=""),"",O59+540)</f>
        <v/>
      </c>
      <c r="AJ59" s="19" t="str">
        <f aca="false">IF(OR(I59="",I59&lt;20,O59=""),"",O59+570)</f>
        <v/>
      </c>
      <c r="AK59" s="19" t="str">
        <f aca="false">IF(OR(I59="",I59&lt;21,O59=""),"",O59+600)</f>
        <v/>
      </c>
      <c r="AL59" s="19" t="str">
        <f aca="false">IF(OR(I59="",I59&lt;22,O59=""),"",O59+630)</f>
        <v/>
      </c>
      <c r="AM59" s="19" t="str">
        <f aca="false">IF(OR(I59="",I59&lt;23,O59=""),"",O59+660)</f>
        <v/>
      </c>
      <c r="AN59" s="19" t="str">
        <f aca="false">IF(OR(I59="",I59&lt;24,O59=""),"",O59+690)</f>
        <v/>
      </c>
      <c r="AO59" s="15" t="str">
        <f aca="false">IF(J59="","",COUNTIF(Q59:AN59,TRUE())*J59)</f>
        <v/>
      </c>
      <c r="AP59" s="15" t="str">
        <f aca="false">IF(K59="","",K59-AO59)</f>
        <v/>
      </c>
      <c r="AQ59" s="15" t="str">
        <f aca="false">IF(K59="","",K59-F59-IF(N59="",0,N59))</f>
        <v/>
      </c>
    </row>
    <row r="60" customFormat="false" ht="15" hidden="false" customHeight="false" outlineLevel="0" collapsed="false">
      <c r="A60" s="4"/>
      <c r="B60" s="4"/>
      <c r="C60" s="4"/>
      <c r="D60" s="5"/>
      <c r="E60" s="5"/>
      <c r="F60" s="6"/>
      <c r="G60" s="4"/>
      <c r="H60" s="4"/>
      <c r="I60" s="4"/>
      <c r="J60" s="6"/>
      <c r="K60" s="7" t="str">
        <f aca="false">IF(OR(I60="",J60=""),"",I60*J60)</f>
        <v/>
      </c>
      <c r="L60" s="4"/>
      <c r="M60" s="8"/>
      <c r="N60" s="7" t="str">
        <f aca="false">IF(OR(L60="",M60="",K60=""),"",IF(L60="GANANCIA",(K60-F60)*M60,IF(L60="BRUTO",K60*M60,"")))</f>
        <v/>
      </c>
      <c r="O60" s="9" t="str">
        <f aca="false">IF(D60="","",D60+30)</f>
        <v/>
      </c>
      <c r="P60" s="10" t="str">
        <f aca="false">IF(I60="","",IF(COUNTIF(Q60:AN60,TRUE())&gt;=I60,"PAGADO",IF(COUNTIF(Q60:AN60,TRUE())&gt;0,"PARCIAL","VIGENTE")))</f>
        <v/>
      </c>
      <c r="Q60" s="11" t="str">
        <f aca="false">IF(OR(I60="",I60&lt;1,O60=""),"",O60+0)</f>
        <v/>
      </c>
      <c r="R60" s="11" t="str">
        <f aca="false">IF(OR(I60="",I60&lt;2,O60=""),"",O60+30)</f>
        <v/>
      </c>
      <c r="S60" s="11" t="str">
        <f aca="false">IF(OR(I60="",I60&lt;3,O60=""),"",O60+60)</f>
        <v/>
      </c>
      <c r="T60" s="11" t="str">
        <f aca="false">IF(OR(I60="",I60&lt;4,O60=""),"",O60+90)</f>
        <v/>
      </c>
      <c r="U60" s="11" t="str">
        <f aca="false">IF(OR(I60="",I60&lt;5,O60=""),"",O60+120)</f>
        <v/>
      </c>
      <c r="V60" s="11" t="str">
        <f aca="false">IF(OR(I60="",I60&lt;6,O60=""),"",O60+150)</f>
        <v/>
      </c>
      <c r="W60" s="11" t="str">
        <f aca="false">IF(OR(I60="",I60&lt;7,O60=""),"",O60+180)</f>
        <v/>
      </c>
      <c r="X60" s="11" t="str">
        <f aca="false">IF(OR(I60="",I60&lt;8,O60=""),"",O60+210)</f>
        <v/>
      </c>
      <c r="Y60" s="11" t="str">
        <f aca="false">IF(OR(I60="",I60&lt;9,O60=""),"",O60+240)</f>
        <v/>
      </c>
      <c r="Z60" s="11" t="str">
        <f aca="false">IF(OR(I60="",I60&lt;10,O60=""),"",O60+270)</f>
        <v/>
      </c>
      <c r="AA60" s="11" t="str">
        <f aca="false">IF(OR(I60="",I60&lt;11,O60=""),"",O60+300)</f>
        <v/>
      </c>
      <c r="AB60" s="11" t="str">
        <f aca="false">IF(OR(I60="",I60&lt;12,O60=""),"",O60+330)</f>
        <v/>
      </c>
      <c r="AC60" s="11" t="str">
        <f aca="false">IF(OR(I60="",I60&lt;13,O60=""),"",O60+360)</f>
        <v/>
      </c>
      <c r="AD60" s="11" t="str">
        <f aca="false">IF(OR(I60="",I60&lt;14,O60=""),"",O60+390)</f>
        <v/>
      </c>
      <c r="AE60" s="11" t="str">
        <f aca="false">IF(OR(I60="",I60&lt;15,O60=""),"",O60+420)</f>
        <v/>
      </c>
      <c r="AF60" s="11" t="str">
        <f aca="false">IF(OR(I60="",I60&lt;16,O60=""),"",O60+450)</f>
        <v/>
      </c>
      <c r="AG60" s="11" t="str">
        <f aca="false">IF(OR(I60="",I60&lt;17,O60=""),"",O60+480)</f>
        <v/>
      </c>
      <c r="AH60" s="11" t="str">
        <f aca="false">IF(OR(I60="",I60&lt;18,O60=""),"",O60+510)</f>
        <v/>
      </c>
      <c r="AI60" s="11" t="str">
        <f aca="false">IF(OR(I60="",I60&lt;19,O60=""),"",O60+540)</f>
        <v/>
      </c>
      <c r="AJ60" s="11" t="str">
        <f aca="false">IF(OR(I60="",I60&lt;20,O60=""),"",O60+570)</f>
        <v/>
      </c>
      <c r="AK60" s="11" t="str">
        <f aca="false">IF(OR(I60="",I60&lt;21,O60=""),"",O60+600)</f>
        <v/>
      </c>
      <c r="AL60" s="11" t="str">
        <f aca="false">IF(OR(I60="",I60&lt;22,O60=""),"",O60+630)</f>
        <v/>
      </c>
      <c r="AM60" s="11" t="str">
        <f aca="false">IF(OR(I60="",I60&lt;23,O60=""),"",O60+660)</f>
        <v/>
      </c>
      <c r="AN60" s="11" t="str">
        <f aca="false">IF(OR(I60="",I60&lt;24,O60=""),"",O60+690)</f>
        <v/>
      </c>
      <c r="AO60" s="7" t="str">
        <f aca="false">IF(J60="","",COUNTIF(Q60:AN60,TRUE())*J60)</f>
        <v/>
      </c>
      <c r="AP60" s="7" t="str">
        <f aca="false">IF(K60="","",K60-AO60)</f>
        <v/>
      </c>
      <c r="AQ60" s="7" t="str">
        <f aca="false">IF(K60="","",K60-F60-IF(N60="",0,N60))</f>
        <v/>
      </c>
    </row>
    <row r="61" customFormat="false" ht="15" hidden="false" customHeight="false" outlineLevel="0" collapsed="false">
      <c r="A61" s="12"/>
      <c r="B61" s="12"/>
      <c r="C61" s="12"/>
      <c r="D61" s="13"/>
      <c r="E61" s="13"/>
      <c r="F61" s="14"/>
      <c r="G61" s="12"/>
      <c r="H61" s="12"/>
      <c r="I61" s="12"/>
      <c r="J61" s="14"/>
      <c r="K61" s="15" t="str">
        <f aca="false">IF(OR(I61="",J61=""),"",I61*J61)</f>
        <v/>
      </c>
      <c r="L61" s="12"/>
      <c r="M61" s="16"/>
      <c r="N61" s="15" t="str">
        <f aca="false">IF(OR(L61="",M61="",K61=""),"",IF(L61="GANANCIA",(K61-F61)*M61,IF(L61="BRUTO",K61*M61,"")))</f>
        <v/>
      </c>
      <c r="O61" s="17" t="str">
        <f aca="false">IF(D61="","",D61+30)</f>
        <v/>
      </c>
      <c r="P61" s="18" t="str">
        <f aca="false">IF(I61="","",IF(COUNTIF(Q61:AN61,TRUE())&gt;=I61,"PAGADO",IF(COUNTIF(Q61:AN61,TRUE())&gt;0,"PARCIAL","VIGENTE")))</f>
        <v/>
      </c>
      <c r="Q61" s="19" t="str">
        <f aca="false">IF(OR(I61="",I61&lt;1,O61=""),"",O61+0)</f>
        <v/>
      </c>
      <c r="R61" s="19" t="str">
        <f aca="false">IF(OR(I61="",I61&lt;2,O61=""),"",O61+30)</f>
        <v/>
      </c>
      <c r="S61" s="19" t="str">
        <f aca="false">IF(OR(I61="",I61&lt;3,O61=""),"",O61+60)</f>
        <v/>
      </c>
      <c r="T61" s="19" t="str">
        <f aca="false">IF(OR(I61="",I61&lt;4,O61=""),"",O61+90)</f>
        <v/>
      </c>
      <c r="U61" s="19" t="str">
        <f aca="false">IF(OR(I61="",I61&lt;5,O61=""),"",O61+120)</f>
        <v/>
      </c>
      <c r="V61" s="19" t="str">
        <f aca="false">IF(OR(I61="",I61&lt;6,O61=""),"",O61+150)</f>
        <v/>
      </c>
      <c r="W61" s="19" t="str">
        <f aca="false">IF(OR(I61="",I61&lt;7,O61=""),"",O61+180)</f>
        <v/>
      </c>
      <c r="X61" s="19" t="str">
        <f aca="false">IF(OR(I61="",I61&lt;8,O61=""),"",O61+210)</f>
        <v/>
      </c>
      <c r="Y61" s="19" t="str">
        <f aca="false">IF(OR(I61="",I61&lt;9,O61=""),"",O61+240)</f>
        <v/>
      </c>
      <c r="Z61" s="19" t="str">
        <f aca="false">IF(OR(I61="",I61&lt;10,O61=""),"",O61+270)</f>
        <v/>
      </c>
      <c r="AA61" s="19" t="str">
        <f aca="false">IF(OR(I61="",I61&lt;11,O61=""),"",O61+300)</f>
        <v/>
      </c>
      <c r="AB61" s="19" t="str">
        <f aca="false">IF(OR(I61="",I61&lt;12,O61=""),"",O61+330)</f>
        <v/>
      </c>
      <c r="AC61" s="19" t="str">
        <f aca="false">IF(OR(I61="",I61&lt;13,O61=""),"",O61+360)</f>
        <v/>
      </c>
      <c r="AD61" s="19" t="str">
        <f aca="false">IF(OR(I61="",I61&lt;14,O61=""),"",O61+390)</f>
        <v/>
      </c>
      <c r="AE61" s="19" t="str">
        <f aca="false">IF(OR(I61="",I61&lt;15,O61=""),"",O61+420)</f>
        <v/>
      </c>
      <c r="AF61" s="19" t="str">
        <f aca="false">IF(OR(I61="",I61&lt;16,O61=""),"",O61+450)</f>
        <v/>
      </c>
      <c r="AG61" s="19" t="str">
        <f aca="false">IF(OR(I61="",I61&lt;17,O61=""),"",O61+480)</f>
        <v/>
      </c>
      <c r="AH61" s="19" t="str">
        <f aca="false">IF(OR(I61="",I61&lt;18,O61=""),"",O61+510)</f>
        <v/>
      </c>
      <c r="AI61" s="19" t="str">
        <f aca="false">IF(OR(I61="",I61&lt;19,O61=""),"",O61+540)</f>
        <v/>
      </c>
      <c r="AJ61" s="19" t="str">
        <f aca="false">IF(OR(I61="",I61&lt;20,O61=""),"",O61+570)</f>
        <v/>
      </c>
      <c r="AK61" s="19" t="str">
        <f aca="false">IF(OR(I61="",I61&lt;21,O61=""),"",O61+600)</f>
        <v/>
      </c>
      <c r="AL61" s="19" t="str">
        <f aca="false">IF(OR(I61="",I61&lt;22,O61=""),"",O61+630)</f>
        <v/>
      </c>
      <c r="AM61" s="19" t="str">
        <f aca="false">IF(OR(I61="",I61&lt;23,O61=""),"",O61+660)</f>
        <v/>
      </c>
      <c r="AN61" s="19" t="str">
        <f aca="false">IF(OR(I61="",I61&lt;24,O61=""),"",O61+690)</f>
        <v/>
      </c>
      <c r="AO61" s="15" t="str">
        <f aca="false">IF(J61="","",COUNTIF(Q61:AN61,TRUE())*J61)</f>
        <v/>
      </c>
      <c r="AP61" s="15" t="str">
        <f aca="false">IF(K61="","",K61-AO61)</f>
        <v/>
      </c>
      <c r="AQ61" s="15" t="str">
        <f aca="false">IF(K61="","",K61-F61-IF(N61="",0,N61))</f>
        <v/>
      </c>
    </row>
    <row r="62" customFormat="false" ht="15" hidden="false" customHeight="false" outlineLevel="0" collapsed="false">
      <c r="A62" s="4"/>
      <c r="B62" s="4"/>
      <c r="C62" s="4"/>
      <c r="D62" s="5"/>
      <c r="E62" s="5"/>
      <c r="F62" s="6"/>
      <c r="G62" s="4"/>
      <c r="H62" s="4"/>
      <c r="I62" s="4"/>
      <c r="J62" s="6"/>
      <c r="K62" s="7" t="str">
        <f aca="false">IF(OR(I62="",J62=""),"",I62*J62)</f>
        <v/>
      </c>
      <c r="L62" s="4"/>
      <c r="M62" s="8"/>
      <c r="N62" s="7" t="str">
        <f aca="false">IF(OR(L62="",M62="",K62=""),"",IF(L62="GANANCIA",(K62-F62)*M62,IF(L62="BRUTO",K62*M62,"")))</f>
        <v/>
      </c>
      <c r="O62" s="9" t="str">
        <f aca="false">IF(D62="","",D62+30)</f>
        <v/>
      </c>
      <c r="P62" s="10" t="str">
        <f aca="false">IF(I62="","",IF(COUNTIF(Q62:AN62,TRUE())&gt;=I62,"PAGADO",IF(COUNTIF(Q62:AN62,TRUE())&gt;0,"PARCIAL","VIGENTE")))</f>
        <v/>
      </c>
      <c r="Q62" s="11" t="str">
        <f aca="false">IF(OR(I62="",I62&lt;1,O62=""),"",O62+0)</f>
        <v/>
      </c>
      <c r="R62" s="11" t="str">
        <f aca="false">IF(OR(I62="",I62&lt;2,O62=""),"",O62+30)</f>
        <v/>
      </c>
      <c r="S62" s="11" t="str">
        <f aca="false">IF(OR(I62="",I62&lt;3,O62=""),"",O62+60)</f>
        <v/>
      </c>
      <c r="T62" s="11" t="str">
        <f aca="false">IF(OR(I62="",I62&lt;4,O62=""),"",O62+90)</f>
        <v/>
      </c>
      <c r="U62" s="11" t="str">
        <f aca="false">IF(OR(I62="",I62&lt;5,O62=""),"",O62+120)</f>
        <v/>
      </c>
      <c r="V62" s="11" t="str">
        <f aca="false">IF(OR(I62="",I62&lt;6,O62=""),"",O62+150)</f>
        <v/>
      </c>
      <c r="W62" s="11" t="str">
        <f aca="false">IF(OR(I62="",I62&lt;7,O62=""),"",O62+180)</f>
        <v/>
      </c>
      <c r="X62" s="11" t="str">
        <f aca="false">IF(OR(I62="",I62&lt;8,O62=""),"",O62+210)</f>
        <v/>
      </c>
      <c r="Y62" s="11" t="str">
        <f aca="false">IF(OR(I62="",I62&lt;9,O62=""),"",O62+240)</f>
        <v/>
      </c>
      <c r="Z62" s="11" t="str">
        <f aca="false">IF(OR(I62="",I62&lt;10,O62=""),"",O62+270)</f>
        <v/>
      </c>
      <c r="AA62" s="11" t="str">
        <f aca="false">IF(OR(I62="",I62&lt;11,O62=""),"",O62+300)</f>
        <v/>
      </c>
      <c r="AB62" s="11" t="str">
        <f aca="false">IF(OR(I62="",I62&lt;12,O62=""),"",O62+330)</f>
        <v/>
      </c>
      <c r="AC62" s="11" t="str">
        <f aca="false">IF(OR(I62="",I62&lt;13,O62=""),"",O62+360)</f>
        <v/>
      </c>
      <c r="AD62" s="11" t="str">
        <f aca="false">IF(OR(I62="",I62&lt;14,O62=""),"",O62+390)</f>
        <v/>
      </c>
      <c r="AE62" s="11" t="str">
        <f aca="false">IF(OR(I62="",I62&lt;15,O62=""),"",O62+420)</f>
        <v/>
      </c>
      <c r="AF62" s="11" t="str">
        <f aca="false">IF(OR(I62="",I62&lt;16,O62=""),"",O62+450)</f>
        <v/>
      </c>
      <c r="AG62" s="11" t="str">
        <f aca="false">IF(OR(I62="",I62&lt;17,O62=""),"",O62+480)</f>
        <v/>
      </c>
      <c r="AH62" s="11" t="str">
        <f aca="false">IF(OR(I62="",I62&lt;18,O62=""),"",O62+510)</f>
        <v/>
      </c>
      <c r="AI62" s="11" t="str">
        <f aca="false">IF(OR(I62="",I62&lt;19,O62=""),"",O62+540)</f>
        <v/>
      </c>
      <c r="AJ62" s="11" t="str">
        <f aca="false">IF(OR(I62="",I62&lt;20,O62=""),"",O62+570)</f>
        <v/>
      </c>
      <c r="AK62" s="11" t="str">
        <f aca="false">IF(OR(I62="",I62&lt;21,O62=""),"",O62+600)</f>
        <v/>
      </c>
      <c r="AL62" s="11" t="str">
        <f aca="false">IF(OR(I62="",I62&lt;22,O62=""),"",O62+630)</f>
        <v/>
      </c>
      <c r="AM62" s="11" t="str">
        <f aca="false">IF(OR(I62="",I62&lt;23,O62=""),"",O62+660)</f>
        <v/>
      </c>
      <c r="AN62" s="11" t="str">
        <f aca="false">IF(OR(I62="",I62&lt;24,O62=""),"",O62+690)</f>
        <v/>
      </c>
      <c r="AO62" s="7" t="str">
        <f aca="false">IF(J62="","",COUNTIF(Q62:AN62,TRUE())*J62)</f>
        <v/>
      </c>
      <c r="AP62" s="7" t="str">
        <f aca="false">IF(K62="","",K62-AO62)</f>
        <v/>
      </c>
      <c r="AQ62" s="7" t="str">
        <f aca="false">IF(K62="","",K62-F62-IF(N62="",0,N62))</f>
        <v/>
      </c>
    </row>
    <row r="63" customFormat="false" ht="15" hidden="false" customHeight="false" outlineLevel="0" collapsed="false">
      <c r="A63" s="12"/>
      <c r="B63" s="12"/>
      <c r="C63" s="12"/>
      <c r="D63" s="13"/>
      <c r="E63" s="13"/>
      <c r="F63" s="14"/>
      <c r="G63" s="12"/>
      <c r="H63" s="12"/>
      <c r="I63" s="12"/>
      <c r="J63" s="14"/>
      <c r="K63" s="15" t="str">
        <f aca="false">IF(OR(I63="",J63=""),"",I63*J63)</f>
        <v/>
      </c>
      <c r="L63" s="12"/>
      <c r="M63" s="16"/>
      <c r="N63" s="15" t="str">
        <f aca="false">IF(OR(L63="",M63="",K63=""),"",IF(L63="GANANCIA",(K63-F63)*M63,IF(L63="BRUTO",K63*M63,"")))</f>
        <v/>
      </c>
      <c r="O63" s="17" t="str">
        <f aca="false">IF(D63="","",D63+30)</f>
        <v/>
      </c>
      <c r="P63" s="18" t="str">
        <f aca="false">IF(I63="","",IF(COUNTIF(Q63:AN63,TRUE())&gt;=I63,"PAGADO",IF(COUNTIF(Q63:AN63,TRUE())&gt;0,"PARCIAL","VIGENTE")))</f>
        <v/>
      </c>
      <c r="Q63" s="19" t="str">
        <f aca="false">IF(OR(I63="",I63&lt;1,O63=""),"",O63+0)</f>
        <v/>
      </c>
      <c r="R63" s="19" t="str">
        <f aca="false">IF(OR(I63="",I63&lt;2,O63=""),"",O63+30)</f>
        <v/>
      </c>
      <c r="S63" s="19" t="str">
        <f aca="false">IF(OR(I63="",I63&lt;3,O63=""),"",O63+60)</f>
        <v/>
      </c>
      <c r="T63" s="19" t="str">
        <f aca="false">IF(OR(I63="",I63&lt;4,O63=""),"",O63+90)</f>
        <v/>
      </c>
      <c r="U63" s="19" t="str">
        <f aca="false">IF(OR(I63="",I63&lt;5,O63=""),"",O63+120)</f>
        <v/>
      </c>
      <c r="V63" s="19" t="str">
        <f aca="false">IF(OR(I63="",I63&lt;6,O63=""),"",O63+150)</f>
        <v/>
      </c>
      <c r="W63" s="19" t="str">
        <f aca="false">IF(OR(I63="",I63&lt;7,O63=""),"",O63+180)</f>
        <v/>
      </c>
      <c r="X63" s="19" t="str">
        <f aca="false">IF(OR(I63="",I63&lt;8,O63=""),"",O63+210)</f>
        <v/>
      </c>
      <c r="Y63" s="19" t="str">
        <f aca="false">IF(OR(I63="",I63&lt;9,O63=""),"",O63+240)</f>
        <v/>
      </c>
      <c r="Z63" s="19" t="str">
        <f aca="false">IF(OR(I63="",I63&lt;10,O63=""),"",O63+270)</f>
        <v/>
      </c>
      <c r="AA63" s="19" t="str">
        <f aca="false">IF(OR(I63="",I63&lt;11,O63=""),"",O63+300)</f>
        <v/>
      </c>
      <c r="AB63" s="19" t="str">
        <f aca="false">IF(OR(I63="",I63&lt;12,O63=""),"",O63+330)</f>
        <v/>
      </c>
      <c r="AC63" s="19" t="str">
        <f aca="false">IF(OR(I63="",I63&lt;13,O63=""),"",O63+360)</f>
        <v/>
      </c>
      <c r="AD63" s="19" t="str">
        <f aca="false">IF(OR(I63="",I63&lt;14,O63=""),"",O63+390)</f>
        <v/>
      </c>
      <c r="AE63" s="19" t="str">
        <f aca="false">IF(OR(I63="",I63&lt;15,O63=""),"",O63+420)</f>
        <v/>
      </c>
      <c r="AF63" s="19" t="str">
        <f aca="false">IF(OR(I63="",I63&lt;16,O63=""),"",O63+450)</f>
        <v/>
      </c>
      <c r="AG63" s="19" t="str">
        <f aca="false">IF(OR(I63="",I63&lt;17,O63=""),"",O63+480)</f>
        <v/>
      </c>
      <c r="AH63" s="19" t="str">
        <f aca="false">IF(OR(I63="",I63&lt;18,O63=""),"",O63+510)</f>
        <v/>
      </c>
      <c r="AI63" s="19" t="str">
        <f aca="false">IF(OR(I63="",I63&lt;19,O63=""),"",O63+540)</f>
        <v/>
      </c>
      <c r="AJ63" s="19" t="str">
        <f aca="false">IF(OR(I63="",I63&lt;20,O63=""),"",O63+570)</f>
        <v/>
      </c>
      <c r="AK63" s="19" t="str">
        <f aca="false">IF(OR(I63="",I63&lt;21,O63=""),"",O63+600)</f>
        <v/>
      </c>
      <c r="AL63" s="19" t="str">
        <f aca="false">IF(OR(I63="",I63&lt;22,O63=""),"",O63+630)</f>
        <v/>
      </c>
      <c r="AM63" s="19" t="str">
        <f aca="false">IF(OR(I63="",I63&lt;23,O63=""),"",O63+660)</f>
        <v/>
      </c>
      <c r="AN63" s="19" t="str">
        <f aca="false">IF(OR(I63="",I63&lt;24,O63=""),"",O63+690)</f>
        <v/>
      </c>
      <c r="AO63" s="15" t="str">
        <f aca="false">IF(J63="","",COUNTIF(Q63:AN63,TRUE())*J63)</f>
        <v/>
      </c>
      <c r="AP63" s="15" t="str">
        <f aca="false">IF(K63="","",K63-AO63)</f>
        <v/>
      </c>
      <c r="AQ63" s="15" t="str">
        <f aca="false">IF(K63="","",K63-F63-IF(N63="",0,N63))</f>
        <v/>
      </c>
    </row>
    <row r="64" customFormat="false" ht="15" hidden="false" customHeight="false" outlineLevel="0" collapsed="false">
      <c r="A64" s="4"/>
      <c r="B64" s="4"/>
      <c r="C64" s="4"/>
      <c r="D64" s="5"/>
      <c r="E64" s="5"/>
      <c r="F64" s="6"/>
      <c r="G64" s="4"/>
      <c r="H64" s="4"/>
      <c r="I64" s="4"/>
      <c r="J64" s="6"/>
      <c r="K64" s="7" t="str">
        <f aca="false">IF(OR(I64="",J64=""),"",I64*J64)</f>
        <v/>
      </c>
      <c r="L64" s="4"/>
      <c r="M64" s="8"/>
      <c r="N64" s="7" t="str">
        <f aca="false">IF(OR(L64="",M64="",K64=""),"",IF(L64="GANANCIA",(K64-F64)*M64,IF(L64="BRUTO",K64*M64,"")))</f>
        <v/>
      </c>
      <c r="O64" s="9" t="str">
        <f aca="false">IF(D64="","",D64+30)</f>
        <v/>
      </c>
      <c r="P64" s="10" t="str">
        <f aca="false">IF(I64="","",IF(COUNTIF(Q64:AN64,TRUE())&gt;=I64,"PAGADO",IF(COUNTIF(Q64:AN64,TRUE())&gt;0,"PARCIAL","VIGENTE")))</f>
        <v/>
      </c>
      <c r="Q64" s="11" t="str">
        <f aca="false">IF(OR(I64="",I64&lt;1,O64=""),"",O64+0)</f>
        <v/>
      </c>
      <c r="R64" s="11" t="str">
        <f aca="false">IF(OR(I64="",I64&lt;2,O64=""),"",O64+30)</f>
        <v/>
      </c>
      <c r="S64" s="11" t="str">
        <f aca="false">IF(OR(I64="",I64&lt;3,O64=""),"",O64+60)</f>
        <v/>
      </c>
      <c r="T64" s="11" t="str">
        <f aca="false">IF(OR(I64="",I64&lt;4,O64=""),"",O64+90)</f>
        <v/>
      </c>
      <c r="U64" s="11" t="str">
        <f aca="false">IF(OR(I64="",I64&lt;5,O64=""),"",O64+120)</f>
        <v/>
      </c>
      <c r="V64" s="11" t="str">
        <f aca="false">IF(OR(I64="",I64&lt;6,O64=""),"",O64+150)</f>
        <v/>
      </c>
      <c r="W64" s="11" t="str">
        <f aca="false">IF(OR(I64="",I64&lt;7,O64=""),"",O64+180)</f>
        <v/>
      </c>
      <c r="X64" s="11" t="str">
        <f aca="false">IF(OR(I64="",I64&lt;8,O64=""),"",O64+210)</f>
        <v/>
      </c>
      <c r="Y64" s="11" t="str">
        <f aca="false">IF(OR(I64="",I64&lt;9,O64=""),"",O64+240)</f>
        <v/>
      </c>
      <c r="Z64" s="11" t="str">
        <f aca="false">IF(OR(I64="",I64&lt;10,O64=""),"",O64+270)</f>
        <v/>
      </c>
      <c r="AA64" s="11" t="str">
        <f aca="false">IF(OR(I64="",I64&lt;11,O64=""),"",O64+300)</f>
        <v/>
      </c>
      <c r="AB64" s="11" t="str">
        <f aca="false">IF(OR(I64="",I64&lt;12,O64=""),"",O64+330)</f>
        <v/>
      </c>
      <c r="AC64" s="11" t="str">
        <f aca="false">IF(OR(I64="",I64&lt;13,O64=""),"",O64+360)</f>
        <v/>
      </c>
      <c r="AD64" s="11" t="str">
        <f aca="false">IF(OR(I64="",I64&lt;14,O64=""),"",O64+390)</f>
        <v/>
      </c>
      <c r="AE64" s="11" t="str">
        <f aca="false">IF(OR(I64="",I64&lt;15,O64=""),"",O64+420)</f>
        <v/>
      </c>
      <c r="AF64" s="11" t="str">
        <f aca="false">IF(OR(I64="",I64&lt;16,O64=""),"",O64+450)</f>
        <v/>
      </c>
      <c r="AG64" s="11" t="str">
        <f aca="false">IF(OR(I64="",I64&lt;17,O64=""),"",O64+480)</f>
        <v/>
      </c>
      <c r="AH64" s="11" t="str">
        <f aca="false">IF(OR(I64="",I64&lt;18,O64=""),"",O64+510)</f>
        <v/>
      </c>
      <c r="AI64" s="11" t="str">
        <f aca="false">IF(OR(I64="",I64&lt;19,O64=""),"",O64+540)</f>
        <v/>
      </c>
      <c r="AJ64" s="11" t="str">
        <f aca="false">IF(OR(I64="",I64&lt;20,O64=""),"",O64+570)</f>
        <v/>
      </c>
      <c r="AK64" s="11" t="str">
        <f aca="false">IF(OR(I64="",I64&lt;21,O64=""),"",O64+600)</f>
        <v/>
      </c>
      <c r="AL64" s="11" t="str">
        <f aca="false">IF(OR(I64="",I64&lt;22,O64=""),"",O64+630)</f>
        <v/>
      </c>
      <c r="AM64" s="11" t="str">
        <f aca="false">IF(OR(I64="",I64&lt;23,O64=""),"",O64+660)</f>
        <v/>
      </c>
      <c r="AN64" s="11" t="str">
        <f aca="false">IF(OR(I64="",I64&lt;24,O64=""),"",O64+690)</f>
        <v/>
      </c>
      <c r="AO64" s="7" t="str">
        <f aca="false">IF(J64="","",COUNTIF(Q64:AN64,TRUE())*J64)</f>
        <v/>
      </c>
      <c r="AP64" s="7" t="str">
        <f aca="false">IF(K64="","",K64-AO64)</f>
        <v/>
      </c>
      <c r="AQ64" s="7" t="str">
        <f aca="false">IF(K64="","",K64-F64-IF(N64="",0,N64))</f>
        <v/>
      </c>
    </row>
    <row r="65" customFormat="false" ht="15" hidden="false" customHeight="false" outlineLevel="0" collapsed="false">
      <c r="A65" s="12"/>
      <c r="B65" s="12"/>
      <c r="C65" s="12"/>
      <c r="D65" s="13"/>
      <c r="E65" s="13"/>
      <c r="F65" s="14"/>
      <c r="G65" s="12"/>
      <c r="H65" s="12"/>
      <c r="I65" s="12"/>
      <c r="J65" s="14"/>
      <c r="K65" s="15" t="str">
        <f aca="false">IF(OR(I65="",J65=""),"",I65*J65)</f>
        <v/>
      </c>
      <c r="L65" s="12"/>
      <c r="M65" s="16"/>
      <c r="N65" s="15" t="str">
        <f aca="false">IF(OR(L65="",M65="",K65=""),"",IF(L65="GANANCIA",(K65-F65)*M65,IF(L65="BRUTO",K65*M65,"")))</f>
        <v/>
      </c>
      <c r="O65" s="17" t="str">
        <f aca="false">IF(D65="","",D65+30)</f>
        <v/>
      </c>
      <c r="P65" s="18" t="str">
        <f aca="false">IF(I65="","",IF(COUNTIF(Q65:AN65,TRUE())&gt;=I65,"PAGADO",IF(COUNTIF(Q65:AN65,TRUE())&gt;0,"PARCIAL","VIGENTE")))</f>
        <v/>
      </c>
      <c r="Q65" s="19" t="str">
        <f aca="false">IF(OR(I65="",I65&lt;1,O65=""),"",O65+0)</f>
        <v/>
      </c>
      <c r="R65" s="19" t="str">
        <f aca="false">IF(OR(I65="",I65&lt;2,O65=""),"",O65+30)</f>
        <v/>
      </c>
      <c r="S65" s="19" t="str">
        <f aca="false">IF(OR(I65="",I65&lt;3,O65=""),"",O65+60)</f>
        <v/>
      </c>
      <c r="T65" s="19" t="str">
        <f aca="false">IF(OR(I65="",I65&lt;4,O65=""),"",O65+90)</f>
        <v/>
      </c>
      <c r="U65" s="19" t="str">
        <f aca="false">IF(OR(I65="",I65&lt;5,O65=""),"",O65+120)</f>
        <v/>
      </c>
      <c r="V65" s="19" t="str">
        <f aca="false">IF(OR(I65="",I65&lt;6,O65=""),"",O65+150)</f>
        <v/>
      </c>
      <c r="W65" s="19" t="str">
        <f aca="false">IF(OR(I65="",I65&lt;7,O65=""),"",O65+180)</f>
        <v/>
      </c>
      <c r="X65" s="19" t="str">
        <f aca="false">IF(OR(I65="",I65&lt;8,O65=""),"",O65+210)</f>
        <v/>
      </c>
      <c r="Y65" s="19" t="str">
        <f aca="false">IF(OR(I65="",I65&lt;9,O65=""),"",O65+240)</f>
        <v/>
      </c>
      <c r="Z65" s="19" t="str">
        <f aca="false">IF(OR(I65="",I65&lt;10,O65=""),"",O65+270)</f>
        <v/>
      </c>
      <c r="AA65" s="19" t="str">
        <f aca="false">IF(OR(I65="",I65&lt;11,O65=""),"",O65+300)</f>
        <v/>
      </c>
      <c r="AB65" s="19" t="str">
        <f aca="false">IF(OR(I65="",I65&lt;12,O65=""),"",O65+330)</f>
        <v/>
      </c>
      <c r="AC65" s="19" t="str">
        <f aca="false">IF(OR(I65="",I65&lt;13,O65=""),"",O65+360)</f>
        <v/>
      </c>
      <c r="AD65" s="19" t="str">
        <f aca="false">IF(OR(I65="",I65&lt;14,O65=""),"",O65+390)</f>
        <v/>
      </c>
      <c r="AE65" s="19" t="str">
        <f aca="false">IF(OR(I65="",I65&lt;15,O65=""),"",O65+420)</f>
        <v/>
      </c>
      <c r="AF65" s="19" t="str">
        <f aca="false">IF(OR(I65="",I65&lt;16,O65=""),"",O65+450)</f>
        <v/>
      </c>
      <c r="AG65" s="19" t="str">
        <f aca="false">IF(OR(I65="",I65&lt;17,O65=""),"",O65+480)</f>
        <v/>
      </c>
      <c r="AH65" s="19" t="str">
        <f aca="false">IF(OR(I65="",I65&lt;18,O65=""),"",O65+510)</f>
        <v/>
      </c>
      <c r="AI65" s="19" t="str">
        <f aca="false">IF(OR(I65="",I65&lt;19,O65=""),"",O65+540)</f>
        <v/>
      </c>
      <c r="AJ65" s="19" t="str">
        <f aca="false">IF(OR(I65="",I65&lt;20,O65=""),"",O65+570)</f>
        <v/>
      </c>
      <c r="AK65" s="19" t="str">
        <f aca="false">IF(OR(I65="",I65&lt;21,O65=""),"",O65+600)</f>
        <v/>
      </c>
      <c r="AL65" s="19" t="str">
        <f aca="false">IF(OR(I65="",I65&lt;22,O65=""),"",O65+630)</f>
        <v/>
      </c>
      <c r="AM65" s="19" t="str">
        <f aca="false">IF(OR(I65="",I65&lt;23,O65=""),"",O65+660)</f>
        <v/>
      </c>
      <c r="AN65" s="19" t="str">
        <f aca="false">IF(OR(I65="",I65&lt;24,O65=""),"",O65+690)</f>
        <v/>
      </c>
      <c r="AO65" s="15" t="str">
        <f aca="false">IF(J65="","",COUNTIF(Q65:AN65,TRUE())*J65)</f>
        <v/>
      </c>
      <c r="AP65" s="15" t="str">
        <f aca="false">IF(K65="","",K65-AO65)</f>
        <v/>
      </c>
      <c r="AQ65" s="15" t="str">
        <f aca="false">IF(K65="","",K65-F65-IF(N65="",0,N65))</f>
        <v/>
      </c>
    </row>
    <row r="66" customFormat="false" ht="15" hidden="false" customHeight="false" outlineLevel="0" collapsed="false">
      <c r="A66" s="4"/>
      <c r="B66" s="4"/>
      <c r="C66" s="4"/>
      <c r="D66" s="5"/>
      <c r="E66" s="5"/>
      <c r="F66" s="6"/>
      <c r="G66" s="4"/>
      <c r="H66" s="4"/>
      <c r="I66" s="4"/>
      <c r="J66" s="6"/>
      <c r="K66" s="7" t="str">
        <f aca="false">IF(OR(I66="",J66=""),"",I66*J66)</f>
        <v/>
      </c>
      <c r="L66" s="4"/>
      <c r="M66" s="8"/>
      <c r="N66" s="7" t="str">
        <f aca="false">IF(OR(L66="",M66="",K66=""),"",IF(L66="GANANCIA",(K66-F66)*M66,IF(L66="BRUTO",K66*M66,"")))</f>
        <v/>
      </c>
      <c r="O66" s="9" t="str">
        <f aca="false">IF(D66="","",D66+30)</f>
        <v/>
      </c>
      <c r="P66" s="10" t="str">
        <f aca="false">IF(I66="","",IF(COUNTIF(Q66:AN66,TRUE())&gt;=I66,"PAGADO",IF(COUNTIF(Q66:AN66,TRUE())&gt;0,"PARCIAL","VIGENTE")))</f>
        <v/>
      </c>
      <c r="Q66" s="11" t="str">
        <f aca="false">IF(OR(I66="",I66&lt;1,O66=""),"",O66+0)</f>
        <v/>
      </c>
      <c r="R66" s="11" t="str">
        <f aca="false">IF(OR(I66="",I66&lt;2,O66=""),"",O66+30)</f>
        <v/>
      </c>
      <c r="S66" s="11" t="str">
        <f aca="false">IF(OR(I66="",I66&lt;3,O66=""),"",O66+60)</f>
        <v/>
      </c>
      <c r="T66" s="11" t="str">
        <f aca="false">IF(OR(I66="",I66&lt;4,O66=""),"",O66+90)</f>
        <v/>
      </c>
      <c r="U66" s="11" t="str">
        <f aca="false">IF(OR(I66="",I66&lt;5,O66=""),"",O66+120)</f>
        <v/>
      </c>
      <c r="V66" s="11" t="str">
        <f aca="false">IF(OR(I66="",I66&lt;6,O66=""),"",O66+150)</f>
        <v/>
      </c>
      <c r="W66" s="11" t="str">
        <f aca="false">IF(OR(I66="",I66&lt;7,O66=""),"",O66+180)</f>
        <v/>
      </c>
      <c r="X66" s="11" t="str">
        <f aca="false">IF(OR(I66="",I66&lt;8,O66=""),"",O66+210)</f>
        <v/>
      </c>
      <c r="Y66" s="11" t="str">
        <f aca="false">IF(OR(I66="",I66&lt;9,O66=""),"",O66+240)</f>
        <v/>
      </c>
      <c r="Z66" s="11" t="str">
        <f aca="false">IF(OR(I66="",I66&lt;10,O66=""),"",O66+270)</f>
        <v/>
      </c>
      <c r="AA66" s="11" t="str">
        <f aca="false">IF(OR(I66="",I66&lt;11,O66=""),"",O66+300)</f>
        <v/>
      </c>
      <c r="AB66" s="11" t="str">
        <f aca="false">IF(OR(I66="",I66&lt;12,O66=""),"",O66+330)</f>
        <v/>
      </c>
      <c r="AC66" s="11" t="str">
        <f aca="false">IF(OR(I66="",I66&lt;13,O66=""),"",O66+360)</f>
        <v/>
      </c>
      <c r="AD66" s="11" t="str">
        <f aca="false">IF(OR(I66="",I66&lt;14,O66=""),"",O66+390)</f>
        <v/>
      </c>
      <c r="AE66" s="11" t="str">
        <f aca="false">IF(OR(I66="",I66&lt;15,O66=""),"",O66+420)</f>
        <v/>
      </c>
      <c r="AF66" s="11" t="str">
        <f aca="false">IF(OR(I66="",I66&lt;16,O66=""),"",O66+450)</f>
        <v/>
      </c>
      <c r="AG66" s="11" t="str">
        <f aca="false">IF(OR(I66="",I66&lt;17,O66=""),"",O66+480)</f>
        <v/>
      </c>
      <c r="AH66" s="11" t="str">
        <f aca="false">IF(OR(I66="",I66&lt;18,O66=""),"",O66+510)</f>
        <v/>
      </c>
      <c r="AI66" s="11" t="str">
        <f aca="false">IF(OR(I66="",I66&lt;19,O66=""),"",O66+540)</f>
        <v/>
      </c>
      <c r="AJ66" s="11" t="str">
        <f aca="false">IF(OR(I66="",I66&lt;20,O66=""),"",O66+570)</f>
        <v/>
      </c>
      <c r="AK66" s="11" t="str">
        <f aca="false">IF(OR(I66="",I66&lt;21,O66=""),"",O66+600)</f>
        <v/>
      </c>
      <c r="AL66" s="11" t="str">
        <f aca="false">IF(OR(I66="",I66&lt;22,O66=""),"",O66+630)</f>
        <v/>
      </c>
      <c r="AM66" s="11" t="str">
        <f aca="false">IF(OR(I66="",I66&lt;23,O66=""),"",O66+660)</f>
        <v/>
      </c>
      <c r="AN66" s="11" t="str">
        <f aca="false">IF(OR(I66="",I66&lt;24,O66=""),"",O66+690)</f>
        <v/>
      </c>
      <c r="AO66" s="7" t="str">
        <f aca="false">IF(J66="","",COUNTIF(Q66:AN66,TRUE())*J66)</f>
        <v/>
      </c>
      <c r="AP66" s="7" t="str">
        <f aca="false">IF(K66="","",K66-AO66)</f>
        <v/>
      </c>
      <c r="AQ66" s="7" t="str">
        <f aca="false">IF(K66="","",K66-F66-IF(N66="",0,N66))</f>
        <v/>
      </c>
    </row>
    <row r="67" customFormat="false" ht="15" hidden="false" customHeight="false" outlineLevel="0" collapsed="false">
      <c r="A67" s="12"/>
      <c r="B67" s="12"/>
      <c r="C67" s="12"/>
      <c r="D67" s="13"/>
      <c r="E67" s="13"/>
      <c r="F67" s="14"/>
      <c r="G67" s="12"/>
      <c r="H67" s="12"/>
      <c r="I67" s="12"/>
      <c r="J67" s="14"/>
      <c r="K67" s="15" t="str">
        <f aca="false">IF(OR(I67="",J67=""),"",I67*J67)</f>
        <v/>
      </c>
      <c r="L67" s="12"/>
      <c r="M67" s="16"/>
      <c r="N67" s="15" t="str">
        <f aca="false">IF(OR(L67="",M67="",K67=""),"",IF(L67="GANANCIA",(K67-F67)*M67,IF(L67="BRUTO",K67*M67,"")))</f>
        <v/>
      </c>
      <c r="O67" s="17" t="str">
        <f aca="false">IF(D67="","",D67+30)</f>
        <v/>
      </c>
      <c r="P67" s="18" t="str">
        <f aca="false">IF(I67="","",IF(COUNTIF(Q67:AN67,TRUE())&gt;=I67,"PAGADO",IF(COUNTIF(Q67:AN67,TRUE())&gt;0,"PARCIAL","VIGENTE")))</f>
        <v/>
      </c>
      <c r="Q67" s="19" t="str">
        <f aca="false">IF(OR(I67="",I67&lt;1,O67=""),"",O67+0)</f>
        <v/>
      </c>
      <c r="R67" s="19" t="str">
        <f aca="false">IF(OR(I67="",I67&lt;2,O67=""),"",O67+30)</f>
        <v/>
      </c>
      <c r="S67" s="19" t="str">
        <f aca="false">IF(OR(I67="",I67&lt;3,O67=""),"",O67+60)</f>
        <v/>
      </c>
      <c r="T67" s="19" t="str">
        <f aca="false">IF(OR(I67="",I67&lt;4,O67=""),"",O67+90)</f>
        <v/>
      </c>
      <c r="U67" s="19" t="str">
        <f aca="false">IF(OR(I67="",I67&lt;5,O67=""),"",O67+120)</f>
        <v/>
      </c>
      <c r="V67" s="19" t="str">
        <f aca="false">IF(OR(I67="",I67&lt;6,O67=""),"",O67+150)</f>
        <v/>
      </c>
      <c r="W67" s="19" t="str">
        <f aca="false">IF(OR(I67="",I67&lt;7,O67=""),"",O67+180)</f>
        <v/>
      </c>
      <c r="X67" s="19" t="str">
        <f aca="false">IF(OR(I67="",I67&lt;8,O67=""),"",O67+210)</f>
        <v/>
      </c>
      <c r="Y67" s="19" t="str">
        <f aca="false">IF(OR(I67="",I67&lt;9,O67=""),"",O67+240)</f>
        <v/>
      </c>
      <c r="Z67" s="19" t="str">
        <f aca="false">IF(OR(I67="",I67&lt;10,O67=""),"",O67+270)</f>
        <v/>
      </c>
      <c r="AA67" s="19" t="str">
        <f aca="false">IF(OR(I67="",I67&lt;11,O67=""),"",O67+300)</f>
        <v/>
      </c>
      <c r="AB67" s="19" t="str">
        <f aca="false">IF(OR(I67="",I67&lt;12,O67=""),"",O67+330)</f>
        <v/>
      </c>
      <c r="AC67" s="19" t="str">
        <f aca="false">IF(OR(I67="",I67&lt;13,O67=""),"",O67+360)</f>
        <v/>
      </c>
      <c r="AD67" s="19" t="str">
        <f aca="false">IF(OR(I67="",I67&lt;14,O67=""),"",O67+390)</f>
        <v/>
      </c>
      <c r="AE67" s="19" t="str">
        <f aca="false">IF(OR(I67="",I67&lt;15,O67=""),"",O67+420)</f>
        <v/>
      </c>
      <c r="AF67" s="19" t="str">
        <f aca="false">IF(OR(I67="",I67&lt;16,O67=""),"",O67+450)</f>
        <v/>
      </c>
      <c r="AG67" s="19" t="str">
        <f aca="false">IF(OR(I67="",I67&lt;17,O67=""),"",O67+480)</f>
        <v/>
      </c>
      <c r="AH67" s="19" t="str">
        <f aca="false">IF(OR(I67="",I67&lt;18,O67=""),"",O67+510)</f>
        <v/>
      </c>
      <c r="AI67" s="19" t="str">
        <f aca="false">IF(OR(I67="",I67&lt;19,O67=""),"",O67+540)</f>
        <v/>
      </c>
      <c r="AJ67" s="19" t="str">
        <f aca="false">IF(OR(I67="",I67&lt;20,O67=""),"",O67+570)</f>
        <v/>
      </c>
      <c r="AK67" s="19" t="str">
        <f aca="false">IF(OR(I67="",I67&lt;21,O67=""),"",O67+600)</f>
        <v/>
      </c>
      <c r="AL67" s="19" t="str">
        <f aca="false">IF(OR(I67="",I67&lt;22,O67=""),"",O67+630)</f>
        <v/>
      </c>
      <c r="AM67" s="19" t="str">
        <f aca="false">IF(OR(I67="",I67&lt;23,O67=""),"",O67+660)</f>
        <v/>
      </c>
      <c r="AN67" s="19" t="str">
        <f aca="false">IF(OR(I67="",I67&lt;24,O67=""),"",O67+690)</f>
        <v/>
      </c>
      <c r="AO67" s="15" t="str">
        <f aca="false">IF(J67="","",COUNTIF(Q67:AN67,TRUE())*J67)</f>
        <v/>
      </c>
      <c r="AP67" s="15" t="str">
        <f aca="false">IF(K67="","",K67-AO67)</f>
        <v/>
      </c>
      <c r="AQ67" s="15" t="str">
        <f aca="false">IF(K67="","",K67-F67-IF(N67="",0,N67))</f>
        <v/>
      </c>
    </row>
    <row r="68" customFormat="false" ht="15" hidden="false" customHeight="false" outlineLevel="0" collapsed="false">
      <c r="A68" s="4"/>
      <c r="B68" s="4"/>
      <c r="C68" s="4"/>
      <c r="D68" s="5"/>
      <c r="E68" s="5"/>
      <c r="F68" s="6"/>
      <c r="G68" s="4"/>
      <c r="H68" s="4"/>
      <c r="I68" s="4"/>
      <c r="J68" s="6"/>
      <c r="K68" s="7" t="str">
        <f aca="false">IF(OR(I68="",J68=""),"",I68*J68)</f>
        <v/>
      </c>
      <c r="L68" s="4"/>
      <c r="M68" s="8"/>
      <c r="N68" s="7" t="str">
        <f aca="false">IF(OR(L68="",M68="",K68=""),"",IF(L68="GANANCIA",(K68-F68)*M68,IF(L68="BRUTO",K68*M68,"")))</f>
        <v/>
      </c>
      <c r="O68" s="9" t="str">
        <f aca="false">IF(D68="","",D68+30)</f>
        <v/>
      </c>
      <c r="P68" s="10" t="str">
        <f aca="false">IF(I68="","",IF(COUNTIF(Q68:AN68,TRUE())&gt;=I68,"PAGADO",IF(COUNTIF(Q68:AN68,TRUE())&gt;0,"PARCIAL","VIGENTE")))</f>
        <v/>
      </c>
      <c r="Q68" s="11" t="str">
        <f aca="false">IF(OR(I68="",I68&lt;1,O68=""),"",O68+0)</f>
        <v/>
      </c>
      <c r="R68" s="11" t="str">
        <f aca="false">IF(OR(I68="",I68&lt;2,O68=""),"",O68+30)</f>
        <v/>
      </c>
      <c r="S68" s="11" t="str">
        <f aca="false">IF(OR(I68="",I68&lt;3,O68=""),"",O68+60)</f>
        <v/>
      </c>
      <c r="T68" s="11" t="str">
        <f aca="false">IF(OR(I68="",I68&lt;4,O68=""),"",O68+90)</f>
        <v/>
      </c>
      <c r="U68" s="11" t="str">
        <f aca="false">IF(OR(I68="",I68&lt;5,O68=""),"",O68+120)</f>
        <v/>
      </c>
      <c r="V68" s="11" t="str">
        <f aca="false">IF(OR(I68="",I68&lt;6,O68=""),"",O68+150)</f>
        <v/>
      </c>
      <c r="W68" s="11" t="str">
        <f aca="false">IF(OR(I68="",I68&lt;7,O68=""),"",O68+180)</f>
        <v/>
      </c>
      <c r="X68" s="11" t="str">
        <f aca="false">IF(OR(I68="",I68&lt;8,O68=""),"",O68+210)</f>
        <v/>
      </c>
      <c r="Y68" s="11" t="str">
        <f aca="false">IF(OR(I68="",I68&lt;9,O68=""),"",O68+240)</f>
        <v/>
      </c>
      <c r="Z68" s="11" t="str">
        <f aca="false">IF(OR(I68="",I68&lt;10,O68=""),"",O68+270)</f>
        <v/>
      </c>
      <c r="AA68" s="11" t="str">
        <f aca="false">IF(OR(I68="",I68&lt;11,O68=""),"",O68+300)</f>
        <v/>
      </c>
      <c r="AB68" s="11" t="str">
        <f aca="false">IF(OR(I68="",I68&lt;12,O68=""),"",O68+330)</f>
        <v/>
      </c>
      <c r="AC68" s="11" t="str">
        <f aca="false">IF(OR(I68="",I68&lt;13,O68=""),"",O68+360)</f>
        <v/>
      </c>
      <c r="AD68" s="11" t="str">
        <f aca="false">IF(OR(I68="",I68&lt;14,O68=""),"",O68+390)</f>
        <v/>
      </c>
      <c r="AE68" s="11" t="str">
        <f aca="false">IF(OR(I68="",I68&lt;15,O68=""),"",O68+420)</f>
        <v/>
      </c>
      <c r="AF68" s="11" t="str">
        <f aca="false">IF(OR(I68="",I68&lt;16,O68=""),"",O68+450)</f>
        <v/>
      </c>
      <c r="AG68" s="11" t="str">
        <f aca="false">IF(OR(I68="",I68&lt;17,O68=""),"",O68+480)</f>
        <v/>
      </c>
      <c r="AH68" s="11" t="str">
        <f aca="false">IF(OR(I68="",I68&lt;18,O68=""),"",O68+510)</f>
        <v/>
      </c>
      <c r="AI68" s="11" t="str">
        <f aca="false">IF(OR(I68="",I68&lt;19,O68=""),"",O68+540)</f>
        <v/>
      </c>
      <c r="AJ68" s="11" t="str">
        <f aca="false">IF(OR(I68="",I68&lt;20,O68=""),"",O68+570)</f>
        <v/>
      </c>
      <c r="AK68" s="11" t="str">
        <f aca="false">IF(OR(I68="",I68&lt;21,O68=""),"",O68+600)</f>
        <v/>
      </c>
      <c r="AL68" s="11" t="str">
        <f aca="false">IF(OR(I68="",I68&lt;22,O68=""),"",O68+630)</f>
        <v/>
      </c>
      <c r="AM68" s="11" t="str">
        <f aca="false">IF(OR(I68="",I68&lt;23,O68=""),"",O68+660)</f>
        <v/>
      </c>
      <c r="AN68" s="11" t="str">
        <f aca="false">IF(OR(I68="",I68&lt;24,O68=""),"",O68+690)</f>
        <v/>
      </c>
      <c r="AO68" s="7" t="str">
        <f aca="false">IF(J68="","",COUNTIF(Q68:AN68,TRUE())*J68)</f>
        <v/>
      </c>
      <c r="AP68" s="7" t="str">
        <f aca="false">IF(K68="","",K68-AO68)</f>
        <v/>
      </c>
      <c r="AQ68" s="7" t="str">
        <f aca="false">IF(K68="","",K68-F68-IF(N68="",0,N68))</f>
        <v/>
      </c>
    </row>
    <row r="69" customFormat="false" ht="15" hidden="false" customHeight="false" outlineLevel="0" collapsed="false">
      <c r="A69" s="12"/>
      <c r="B69" s="12"/>
      <c r="C69" s="12"/>
      <c r="D69" s="13"/>
      <c r="E69" s="13"/>
      <c r="F69" s="14"/>
      <c r="G69" s="12"/>
      <c r="H69" s="12"/>
      <c r="I69" s="12"/>
      <c r="J69" s="14"/>
      <c r="K69" s="15" t="str">
        <f aca="false">IF(OR(I69="",J69=""),"",I69*J69)</f>
        <v/>
      </c>
      <c r="L69" s="12"/>
      <c r="M69" s="16"/>
      <c r="N69" s="15" t="str">
        <f aca="false">IF(OR(L69="",M69="",K69=""),"",IF(L69="GANANCIA",(K69-F69)*M69,IF(L69="BRUTO",K69*M69,"")))</f>
        <v/>
      </c>
      <c r="O69" s="17" t="str">
        <f aca="false">IF(D69="","",D69+30)</f>
        <v/>
      </c>
      <c r="P69" s="18" t="str">
        <f aca="false">IF(I69="","",IF(COUNTIF(Q69:AN69,TRUE())&gt;=I69,"PAGADO",IF(COUNTIF(Q69:AN69,TRUE())&gt;0,"PARCIAL","VIGENTE")))</f>
        <v/>
      </c>
      <c r="Q69" s="19" t="str">
        <f aca="false">IF(OR(I69="",I69&lt;1,O69=""),"",O69+0)</f>
        <v/>
      </c>
      <c r="R69" s="19" t="str">
        <f aca="false">IF(OR(I69="",I69&lt;2,O69=""),"",O69+30)</f>
        <v/>
      </c>
      <c r="S69" s="19" t="str">
        <f aca="false">IF(OR(I69="",I69&lt;3,O69=""),"",O69+60)</f>
        <v/>
      </c>
      <c r="T69" s="19" t="str">
        <f aca="false">IF(OR(I69="",I69&lt;4,O69=""),"",O69+90)</f>
        <v/>
      </c>
      <c r="U69" s="19" t="str">
        <f aca="false">IF(OR(I69="",I69&lt;5,O69=""),"",O69+120)</f>
        <v/>
      </c>
      <c r="V69" s="19" t="str">
        <f aca="false">IF(OR(I69="",I69&lt;6,O69=""),"",O69+150)</f>
        <v/>
      </c>
      <c r="W69" s="19" t="str">
        <f aca="false">IF(OR(I69="",I69&lt;7,O69=""),"",O69+180)</f>
        <v/>
      </c>
      <c r="X69" s="19" t="str">
        <f aca="false">IF(OR(I69="",I69&lt;8,O69=""),"",O69+210)</f>
        <v/>
      </c>
      <c r="Y69" s="19" t="str">
        <f aca="false">IF(OR(I69="",I69&lt;9,O69=""),"",O69+240)</f>
        <v/>
      </c>
      <c r="Z69" s="19" t="str">
        <f aca="false">IF(OR(I69="",I69&lt;10,O69=""),"",O69+270)</f>
        <v/>
      </c>
      <c r="AA69" s="19" t="str">
        <f aca="false">IF(OR(I69="",I69&lt;11,O69=""),"",O69+300)</f>
        <v/>
      </c>
      <c r="AB69" s="19" t="str">
        <f aca="false">IF(OR(I69="",I69&lt;12,O69=""),"",O69+330)</f>
        <v/>
      </c>
      <c r="AC69" s="19" t="str">
        <f aca="false">IF(OR(I69="",I69&lt;13,O69=""),"",O69+360)</f>
        <v/>
      </c>
      <c r="AD69" s="19" t="str">
        <f aca="false">IF(OR(I69="",I69&lt;14,O69=""),"",O69+390)</f>
        <v/>
      </c>
      <c r="AE69" s="19" t="str">
        <f aca="false">IF(OR(I69="",I69&lt;15,O69=""),"",O69+420)</f>
        <v/>
      </c>
      <c r="AF69" s="19" t="str">
        <f aca="false">IF(OR(I69="",I69&lt;16,O69=""),"",O69+450)</f>
        <v/>
      </c>
      <c r="AG69" s="19" t="str">
        <f aca="false">IF(OR(I69="",I69&lt;17,O69=""),"",O69+480)</f>
        <v/>
      </c>
      <c r="AH69" s="19" t="str">
        <f aca="false">IF(OR(I69="",I69&lt;18,O69=""),"",O69+510)</f>
        <v/>
      </c>
      <c r="AI69" s="19" t="str">
        <f aca="false">IF(OR(I69="",I69&lt;19,O69=""),"",O69+540)</f>
        <v/>
      </c>
      <c r="AJ69" s="19" t="str">
        <f aca="false">IF(OR(I69="",I69&lt;20,O69=""),"",O69+570)</f>
        <v/>
      </c>
      <c r="AK69" s="19" t="str">
        <f aca="false">IF(OR(I69="",I69&lt;21,O69=""),"",O69+600)</f>
        <v/>
      </c>
      <c r="AL69" s="19" t="str">
        <f aca="false">IF(OR(I69="",I69&lt;22,O69=""),"",O69+630)</f>
        <v/>
      </c>
      <c r="AM69" s="19" t="str">
        <f aca="false">IF(OR(I69="",I69&lt;23,O69=""),"",O69+660)</f>
        <v/>
      </c>
      <c r="AN69" s="19" t="str">
        <f aca="false">IF(OR(I69="",I69&lt;24,O69=""),"",O69+690)</f>
        <v/>
      </c>
      <c r="AO69" s="15" t="str">
        <f aca="false">IF(J69="","",COUNTIF(Q69:AN69,TRUE())*J69)</f>
        <v/>
      </c>
      <c r="AP69" s="15" t="str">
        <f aca="false">IF(K69="","",K69-AO69)</f>
        <v/>
      </c>
      <c r="AQ69" s="15" t="str">
        <f aca="false">IF(K69="","",K69-F69-IF(N69="",0,N69))</f>
        <v/>
      </c>
    </row>
    <row r="70" customFormat="false" ht="15" hidden="false" customHeight="false" outlineLevel="0" collapsed="false">
      <c r="A70" s="4"/>
      <c r="B70" s="4"/>
      <c r="C70" s="4"/>
      <c r="D70" s="5"/>
      <c r="E70" s="5"/>
      <c r="F70" s="6"/>
      <c r="G70" s="4"/>
      <c r="H70" s="4"/>
      <c r="I70" s="4"/>
      <c r="J70" s="6"/>
      <c r="K70" s="7" t="str">
        <f aca="false">IF(OR(I70="",J70=""),"",I70*J70)</f>
        <v/>
      </c>
      <c r="L70" s="4"/>
      <c r="M70" s="8"/>
      <c r="N70" s="7" t="str">
        <f aca="false">IF(OR(L70="",M70="",K70=""),"",IF(L70="GANANCIA",(K70-F70)*M70,IF(L70="BRUTO",K70*M70,"")))</f>
        <v/>
      </c>
      <c r="O70" s="9" t="str">
        <f aca="false">IF(D70="","",D70+30)</f>
        <v/>
      </c>
      <c r="P70" s="10" t="str">
        <f aca="false">IF(I70="","",IF(COUNTIF(Q70:AN70,TRUE())&gt;=I70,"PAGADO",IF(COUNTIF(Q70:AN70,TRUE())&gt;0,"PARCIAL","VIGENTE")))</f>
        <v/>
      </c>
      <c r="Q70" s="11" t="str">
        <f aca="false">IF(OR(I70="",I70&lt;1,O70=""),"",O70+0)</f>
        <v/>
      </c>
      <c r="R70" s="11" t="str">
        <f aca="false">IF(OR(I70="",I70&lt;2,O70=""),"",O70+30)</f>
        <v/>
      </c>
      <c r="S70" s="11" t="str">
        <f aca="false">IF(OR(I70="",I70&lt;3,O70=""),"",O70+60)</f>
        <v/>
      </c>
      <c r="T70" s="11" t="str">
        <f aca="false">IF(OR(I70="",I70&lt;4,O70=""),"",O70+90)</f>
        <v/>
      </c>
      <c r="U70" s="11" t="str">
        <f aca="false">IF(OR(I70="",I70&lt;5,O70=""),"",O70+120)</f>
        <v/>
      </c>
      <c r="V70" s="11" t="str">
        <f aca="false">IF(OR(I70="",I70&lt;6,O70=""),"",O70+150)</f>
        <v/>
      </c>
      <c r="W70" s="11" t="str">
        <f aca="false">IF(OR(I70="",I70&lt;7,O70=""),"",O70+180)</f>
        <v/>
      </c>
      <c r="X70" s="11" t="str">
        <f aca="false">IF(OR(I70="",I70&lt;8,O70=""),"",O70+210)</f>
        <v/>
      </c>
      <c r="Y70" s="11" t="str">
        <f aca="false">IF(OR(I70="",I70&lt;9,O70=""),"",O70+240)</f>
        <v/>
      </c>
      <c r="Z70" s="11" t="str">
        <f aca="false">IF(OR(I70="",I70&lt;10,O70=""),"",O70+270)</f>
        <v/>
      </c>
      <c r="AA70" s="11" t="str">
        <f aca="false">IF(OR(I70="",I70&lt;11,O70=""),"",O70+300)</f>
        <v/>
      </c>
      <c r="AB70" s="11" t="str">
        <f aca="false">IF(OR(I70="",I70&lt;12,O70=""),"",O70+330)</f>
        <v/>
      </c>
      <c r="AC70" s="11" t="str">
        <f aca="false">IF(OR(I70="",I70&lt;13,O70=""),"",O70+360)</f>
        <v/>
      </c>
      <c r="AD70" s="11" t="str">
        <f aca="false">IF(OR(I70="",I70&lt;14,O70=""),"",O70+390)</f>
        <v/>
      </c>
      <c r="AE70" s="11" t="str">
        <f aca="false">IF(OR(I70="",I70&lt;15,O70=""),"",O70+420)</f>
        <v/>
      </c>
      <c r="AF70" s="11" t="str">
        <f aca="false">IF(OR(I70="",I70&lt;16,O70=""),"",O70+450)</f>
        <v/>
      </c>
      <c r="AG70" s="11" t="str">
        <f aca="false">IF(OR(I70="",I70&lt;17,O70=""),"",O70+480)</f>
        <v/>
      </c>
      <c r="AH70" s="11" t="str">
        <f aca="false">IF(OR(I70="",I70&lt;18,O70=""),"",O70+510)</f>
        <v/>
      </c>
      <c r="AI70" s="11" t="str">
        <f aca="false">IF(OR(I70="",I70&lt;19,O70=""),"",O70+540)</f>
        <v/>
      </c>
      <c r="AJ70" s="11" t="str">
        <f aca="false">IF(OR(I70="",I70&lt;20,O70=""),"",O70+570)</f>
        <v/>
      </c>
      <c r="AK70" s="11" t="str">
        <f aca="false">IF(OR(I70="",I70&lt;21,O70=""),"",O70+600)</f>
        <v/>
      </c>
      <c r="AL70" s="11" t="str">
        <f aca="false">IF(OR(I70="",I70&lt;22,O70=""),"",O70+630)</f>
        <v/>
      </c>
      <c r="AM70" s="11" t="str">
        <f aca="false">IF(OR(I70="",I70&lt;23,O70=""),"",O70+660)</f>
        <v/>
      </c>
      <c r="AN70" s="11" t="str">
        <f aca="false">IF(OR(I70="",I70&lt;24,O70=""),"",O70+690)</f>
        <v/>
      </c>
      <c r="AO70" s="7" t="str">
        <f aca="false">IF(J70="","",COUNTIF(Q70:AN70,TRUE())*J70)</f>
        <v/>
      </c>
      <c r="AP70" s="7" t="str">
        <f aca="false">IF(K70="","",K70-AO70)</f>
        <v/>
      </c>
      <c r="AQ70" s="7" t="str">
        <f aca="false">IF(K70="","",K70-F70-IF(N70="",0,N70))</f>
        <v/>
      </c>
    </row>
    <row r="71" customFormat="false" ht="15" hidden="false" customHeight="false" outlineLevel="0" collapsed="false">
      <c r="A71" s="12"/>
      <c r="B71" s="12"/>
      <c r="C71" s="12"/>
      <c r="D71" s="13"/>
      <c r="E71" s="13"/>
      <c r="F71" s="14"/>
      <c r="G71" s="12"/>
      <c r="H71" s="12"/>
      <c r="I71" s="12"/>
      <c r="J71" s="14"/>
      <c r="K71" s="15" t="str">
        <f aca="false">IF(OR(I71="",J71=""),"",I71*J71)</f>
        <v/>
      </c>
      <c r="L71" s="12"/>
      <c r="M71" s="16"/>
      <c r="N71" s="15" t="str">
        <f aca="false">IF(OR(L71="",M71="",K71=""),"",IF(L71="GANANCIA",(K71-F71)*M71,IF(L71="BRUTO",K71*M71,"")))</f>
        <v/>
      </c>
      <c r="O71" s="17" t="str">
        <f aca="false">IF(D71="","",D71+30)</f>
        <v/>
      </c>
      <c r="P71" s="18" t="str">
        <f aca="false">IF(I71="","",IF(COUNTIF(Q71:AN71,TRUE())&gt;=I71,"PAGADO",IF(COUNTIF(Q71:AN71,TRUE())&gt;0,"PARCIAL","VIGENTE")))</f>
        <v/>
      </c>
      <c r="Q71" s="19" t="str">
        <f aca="false">IF(OR(I71="",I71&lt;1,O71=""),"",O71+0)</f>
        <v/>
      </c>
      <c r="R71" s="19" t="str">
        <f aca="false">IF(OR(I71="",I71&lt;2,O71=""),"",O71+30)</f>
        <v/>
      </c>
      <c r="S71" s="19" t="str">
        <f aca="false">IF(OR(I71="",I71&lt;3,O71=""),"",O71+60)</f>
        <v/>
      </c>
      <c r="T71" s="19" t="str">
        <f aca="false">IF(OR(I71="",I71&lt;4,O71=""),"",O71+90)</f>
        <v/>
      </c>
      <c r="U71" s="19" t="str">
        <f aca="false">IF(OR(I71="",I71&lt;5,O71=""),"",O71+120)</f>
        <v/>
      </c>
      <c r="V71" s="19" t="str">
        <f aca="false">IF(OR(I71="",I71&lt;6,O71=""),"",O71+150)</f>
        <v/>
      </c>
      <c r="W71" s="19" t="str">
        <f aca="false">IF(OR(I71="",I71&lt;7,O71=""),"",O71+180)</f>
        <v/>
      </c>
      <c r="X71" s="19" t="str">
        <f aca="false">IF(OR(I71="",I71&lt;8,O71=""),"",O71+210)</f>
        <v/>
      </c>
      <c r="Y71" s="19" t="str">
        <f aca="false">IF(OR(I71="",I71&lt;9,O71=""),"",O71+240)</f>
        <v/>
      </c>
      <c r="Z71" s="19" t="str">
        <f aca="false">IF(OR(I71="",I71&lt;10,O71=""),"",O71+270)</f>
        <v/>
      </c>
      <c r="AA71" s="19" t="str">
        <f aca="false">IF(OR(I71="",I71&lt;11,O71=""),"",O71+300)</f>
        <v/>
      </c>
      <c r="AB71" s="19" t="str">
        <f aca="false">IF(OR(I71="",I71&lt;12,O71=""),"",O71+330)</f>
        <v/>
      </c>
      <c r="AC71" s="19" t="str">
        <f aca="false">IF(OR(I71="",I71&lt;13,O71=""),"",O71+360)</f>
        <v/>
      </c>
      <c r="AD71" s="19" t="str">
        <f aca="false">IF(OR(I71="",I71&lt;14,O71=""),"",O71+390)</f>
        <v/>
      </c>
      <c r="AE71" s="19" t="str">
        <f aca="false">IF(OR(I71="",I71&lt;15,O71=""),"",O71+420)</f>
        <v/>
      </c>
      <c r="AF71" s="19" t="str">
        <f aca="false">IF(OR(I71="",I71&lt;16,O71=""),"",O71+450)</f>
        <v/>
      </c>
      <c r="AG71" s="19" t="str">
        <f aca="false">IF(OR(I71="",I71&lt;17,O71=""),"",O71+480)</f>
        <v/>
      </c>
      <c r="AH71" s="19" t="str">
        <f aca="false">IF(OR(I71="",I71&lt;18,O71=""),"",O71+510)</f>
        <v/>
      </c>
      <c r="AI71" s="19" t="str">
        <f aca="false">IF(OR(I71="",I71&lt;19,O71=""),"",O71+540)</f>
        <v/>
      </c>
      <c r="AJ71" s="19" t="str">
        <f aca="false">IF(OR(I71="",I71&lt;20,O71=""),"",O71+570)</f>
        <v/>
      </c>
      <c r="AK71" s="19" t="str">
        <f aca="false">IF(OR(I71="",I71&lt;21,O71=""),"",O71+600)</f>
        <v/>
      </c>
      <c r="AL71" s="19" t="str">
        <f aca="false">IF(OR(I71="",I71&lt;22,O71=""),"",O71+630)</f>
        <v/>
      </c>
      <c r="AM71" s="19" t="str">
        <f aca="false">IF(OR(I71="",I71&lt;23,O71=""),"",O71+660)</f>
        <v/>
      </c>
      <c r="AN71" s="19" t="str">
        <f aca="false">IF(OR(I71="",I71&lt;24,O71=""),"",O71+690)</f>
        <v/>
      </c>
      <c r="AO71" s="15" t="str">
        <f aca="false">IF(J71="","",COUNTIF(Q71:AN71,TRUE())*J71)</f>
        <v/>
      </c>
      <c r="AP71" s="15" t="str">
        <f aca="false">IF(K71="","",K71-AO71)</f>
        <v/>
      </c>
      <c r="AQ71" s="15" t="str">
        <f aca="false">IF(K71="","",K71-F71-IF(N71="",0,N71))</f>
        <v/>
      </c>
    </row>
    <row r="72" customFormat="false" ht="15" hidden="false" customHeight="false" outlineLevel="0" collapsed="false">
      <c r="A72" s="4"/>
      <c r="B72" s="4"/>
      <c r="C72" s="4"/>
      <c r="D72" s="5"/>
      <c r="E72" s="5"/>
      <c r="F72" s="6"/>
      <c r="G72" s="4"/>
      <c r="H72" s="4"/>
      <c r="I72" s="4"/>
      <c r="J72" s="6"/>
      <c r="K72" s="7" t="str">
        <f aca="false">IF(OR(I72="",J72=""),"",I72*J72)</f>
        <v/>
      </c>
      <c r="L72" s="4"/>
      <c r="M72" s="8"/>
      <c r="N72" s="7" t="str">
        <f aca="false">IF(OR(L72="",M72="",K72=""),"",IF(L72="GANANCIA",(K72-F72)*M72,IF(L72="BRUTO",K72*M72,"")))</f>
        <v/>
      </c>
      <c r="O72" s="9" t="str">
        <f aca="false">IF(D72="","",D72+30)</f>
        <v/>
      </c>
      <c r="P72" s="10" t="str">
        <f aca="false">IF(I72="","",IF(COUNTIF(Q72:AN72,TRUE())&gt;=I72,"PAGADO",IF(COUNTIF(Q72:AN72,TRUE())&gt;0,"PARCIAL","VIGENTE")))</f>
        <v/>
      </c>
      <c r="Q72" s="11" t="str">
        <f aca="false">IF(OR(I72="",I72&lt;1,O72=""),"",O72+0)</f>
        <v/>
      </c>
      <c r="R72" s="11" t="str">
        <f aca="false">IF(OR(I72="",I72&lt;2,O72=""),"",O72+30)</f>
        <v/>
      </c>
      <c r="S72" s="11" t="str">
        <f aca="false">IF(OR(I72="",I72&lt;3,O72=""),"",O72+60)</f>
        <v/>
      </c>
      <c r="T72" s="11" t="str">
        <f aca="false">IF(OR(I72="",I72&lt;4,O72=""),"",O72+90)</f>
        <v/>
      </c>
      <c r="U72" s="11" t="str">
        <f aca="false">IF(OR(I72="",I72&lt;5,O72=""),"",O72+120)</f>
        <v/>
      </c>
      <c r="V72" s="11" t="str">
        <f aca="false">IF(OR(I72="",I72&lt;6,O72=""),"",O72+150)</f>
        <v/>
      </c>
      <c r="W72" s="11" t="str">
        <f aca="false">IF(OR(I72="",I72&lt;7,O72=""),"",O72+180)</f>
        <v/>
      </c>
      <c r="X72" s="11" t="str">
        <f aca="false">IF(OR(I72="",I72&lt;8,O72=""),"",O72+210)</f>
        <v/>
      </c>
      <c r="Y72" s="11" t="str">
        <f aca="false">IF(OR(I72="",I72&lt;9,O72=""),"",O72+240)</f>
        <v/>
      </c>
      <c r="Z72" s="11" t="str">
        <f aca="false">IF(OR(I72="",I72&lt;10,O72=""),"",O72+270)</f>
        <v/>
      </c>
      <c r="AA72" s="11" t="str">
        <f aca="false">IF(OR(I72="",I72&lt;11,O72=""),"",O72+300)</f>
        <v/>
      </c>
      <c r="AB72" s="11" t="str">
        <f aca="false">IF(OR(I72="",I72&lt;12,O72=""),"",O72+330)</f>
        <v/>
      </c>
      <c r="AC72" s="11" t="str">
        <f aca="false">IF(OR(I72="",I72&lt;13,O72=""),"",O72+360)</f>
        <v/>
      </c>
      <c r="AD72" s="11" t="str">
        <f aca="false">IF(OR(I72="",I72&lt;14,O72=""),"",O72+390)</f>
        <v/>
      </c>
      <c r="AE72" s="11" t="str">
        <f aca="false">IF(OR(I72="",I72&lt;15,O72=""),"",O72+420)</f>
        <v/>
      </c>
      <c r="AF72" s="11" t="str">
        <f aca="false">IF(OR(I72="",I72&lt;16,O72=""),"",O72+450)</f>
        <v/>
      </c>
      <c r="AG72" s="11" t="str">
        <f aca="false">IF(OR(I72="",I72&lt;17,O72=""),"",O72+480)</f>
        <v/>
      </c>
      <c r="AH72" s="11" t="str">
        <f aca="false">IF(OR(I72="",I72&lt;18,O72=""),"",O72+510)</f>
        <v/>
      </c>
      <c r="AI72" s="11" t="str">
        <f aca="false">IF(OR(I72="",I72&lt;19,O72=""),"",O72+540)</f>
        <v/>
      </c>
      <c r="AJ72" s="11" t="str">
        <f aca="false">IF(OR(I72="",I72&lt;20,O72=""),"",O72+570)</f>
        <v/>
      </c>
      <c r="AK72" s="11" t="str">
        <f aca="false">IF(OR(I72="",I72&lt;21,O72=""),"",O72+600)</f>
        <v/>
      </c>
      <c r="AL72" s="11" t="str">
        <f aca="false">IF(OR(I72="",I72&lt;22,O72=""),"",O72+630)</f>
        <v/>
      </c>
      <c r="AM72" s="11" t="str">
        <f aca="false">IF(OR(I72="",I72&lt;23,O72=""),"",O72+660)</f>
        <v/>
      </c>
      <c r="AN72" s="11" t="str">
        <f aca="false">IF(OR(I72="",I72&lt;24,O72=""),"",O72+690)</f>
        <v/>
      </c>
      <c r="AO72" s="7" t="str">
        <f aca="false">IF(J72="","",COUNTIF(Q72:AN72,TRUE())*J72)</f>
        <v/>
      </c>
      <c r="AP72" s="7" t="str">
        <f aca="false">IF(K72="","",K72-AO72)</f>
        <v/>
      </c>
      <c r="AQ72" s="7" t="str">
        <f aca="false">IF(K72="","",K72-F72-IF(N72="",0,N72))</f>
        <v/>
      </c>
    </row>
    <row r="73" customFormat="false" ht="15" hidden="false" customHeight="false" outlineLevel="0" collapsed="false">
      <c r="A73" s="12"/>
      <c r="B73" s="12"/>
      <c r="C73" s="12"/>
      <c r="D73" s="13"/>
      <c r="E73" s="13"/>
      <c r="F73" s="14"/>
      <c r="G73" s="12"/>
      <c r="H73" s="12"/>
      <c r="I73" s="12"/>
      <c r="J73" s="14"/>
      <c r="K73" s="15" t="str">
        <f aca="false">IF(OR(I73="",J73=""),"",I73*J73)</f>
        <v/>
      </c>
      <c r="L73" s="12"/>
      <c r="M73" s="16"/>
      <c r="N73" s="15" t="str">
        <f aca="false">IF(OR(L73="",M73="",K73=""),"",IF(L73="GANANCIA",(K73-F73)*M73,IF(L73="BRUTO",K73*M73,"")))</f>
        <v/>
      </c>
      <c r="O73" s="17" t="str">
        <f aca="false">IF(D73="","",D73+30)</f>
        <v/>
      </c>
      <c r="P73" s="18" t="str">
        <f aca="false">IF(I73="","",IF(COUNTIF(Q73:AN73,TRUE())&gt;=I73,"PAGADO",IF(COUNTIF(Q73:AN73,TRUE())&gt;0,"PARCIAL","VIGENTE")))</f>
        <v/>
      </c>
      <c r="Q73" s="19" t="str">
        <f aca="false">IF(OR(I73="",I73&lt;1,O73=""),"",O73+0)</f>
        <v/>
      </c>
      <c r="R73" s="19" t="str">
        <f aca="false">IF(OR(I73="",I73&lt;2,O73=""),"",O73+30)</f>
        <v/>
      </c>
      <c r="S73" s="19" t="str">
        <f aca="false">IF(OR(I73="",I73&lt;3,O73=""),"",O73+60)</f>
        <v/>
      </c>
      <c r="T73" s="19" t="str">
        <f aca="false">IF(OR(I73="",I73&lt;4,O73=""),"",O73+90)</f>
        <v/>
      </c>
      <c r="U73" s="19" t="str">
        <f aca="false">IF(OR(I73="",I73&lt;5,O73=""),"",O73+120)</f>
        <v/>
      </c>
      <c r="V73" s="19" t="str">
        <f aca="false">IF(OR(I73="",I73&lt;6,O73=""),"",O73+150)</f>
        <v/>
      </c>
      <c r="W73" s="19" t="str">
        <f aca="false">IF(OR(I73="",I73&lt;7,O73=""),"",O73+180)</f>
        <v/>
      </c>
      <c r="X73" s="19" t="str">
        <f aca="false">IF(OR(I73="",I73&lt;8,O73=""),"",O73+210)</f>
        <v/>
      </c>
      <c r="Y73" s="19" t="str">
        <f aca="false">IF(OR(I73="",I73&lt;9,O73=""),"",O73+240)</f>
        <v/>
      </c>
      <c r="Z73" s="19" t="str">
        <f aca="false">IF(OR(I73="",I73&lt;10,O73=""),"",O73+270)</f>
        <v/>
      </c>
      <c r="AA73" s="19" t="str">
        <f aca="false">IF(OR(I73="",I73&lt;11,O73=""),"",O73+300)</f>
        <v/>
      </c>
      <c r="AB73" s="19" t="str">
        <f aca="false">IF(OR(I73="",I73&lt;12,O73=""),"",O73+330)</f>
        <v/>
      </c>
      <c r="AC73" s="19" t="str">
        <f aca="false">IF(OR(I73="",I73&lt;13,O73=""),"",O73+360)</f>
        <v/>
      </c>
      <c r="AD73" s="19" t="str">
        <f aca="false">IF(OR(I73="",I73&lt;14,O73=""),"",O73+390)</f>
        <v/>
      </c>
      <c r="AE73" s="19" t="str">
        <f aca="false">IF(OR(I73="",I73&lt;15,O73=""),"",O73+420)</f>
        <v/>
      </c>
      <c r="AF73" s="19" t="str">
        <f aca="false">IF(OR(I73="",I73&lt;16,O73=""),"",O73+450)</f>
        <v/>
      </c>
      <c r="AG73" s="19" t="str">
        <f aca="false">IF(OR(I73="",I73&lt;17,O73=""),"",O73+480)</f>
        <v/>
      </c>
      <c r="AH73" s="19" t="str">
        <f aca="false">IF(OR(I73="",I73&lt;18,O73=""),"",O73+510)</f>
        <v/>
      </c>
      <c r="AI73" s="19" t="str">
        <f aca="false">IF(OR(I73="",I73&lt;19,O73=""),"",O73+540)</f>
        <v/>
      </c>
      <c r="AJ73" s="19" t="str">
        <f aca="false">IF(OR(I73="",I73&lt;20,O73=""),"",O73+570)</f>
        <v/>
      </c>
      <c r="AK73" s="19" t="str">
        <f aca="false">IF(OR(I73="",I73&lt;21,O73=""),"",O73+600)</f>
        <v/>
      </c>
      <c r="AL73" s="19" t="str">
        <f aca="false">IF(OR(I73="",I73&lt;22,O73=""),"",O73+630)</f>
        <v/>
      </c>
      <c r="AM73" s="19" t="str">
        <f aca="false">IF(OR(I73="",I73&lt;23,O73=""),"",O73+660)</f>
        <v/>
      </c>
      <c r="AN73" s="19" t="str">
        <f aca="false">IF(OR(I73="",I73&lt;24,O73=""),"",O73+690)</f>
        <v/>
      </c>
      <c r="AO73" s="15" t="str">
        <f aca="false">IF(J73="","",COUNTIF(Q73:AN73,TRUE())*J73)</f>
        <v/>
      </c>
      <c r="AP73" s="15" t="str">
        <f aca="false">IF(K73="","",K73-AO73)</f>
        <v/>
      </c>
      <c r="AQ73" s="15" t="str">
        <f aca="false">IF(K73="","",K73-F73-IF(N73="",0,N73))</f>
        <v/>
      </c>
    </row>
    <row r="74" customFormat="false" ht="15" hidden="false" customHeight="false" outlineLevel="0" collapsed="false">
      <c r="A74" s="4"/>
      <c r="B74" s="4"/>
      <c r="C74" s="4"/>
      <c r="D74" s="5"/>
      <c r="E74" s="5"/>
      <c r="F74" s="6"/>
      <c r="G74" s="4"/>
      <c r="H74" s="4"/>
      <c r="I74" s="4"/>
      <c r="J74" s="6"/>
      <c r="K74" s="7" t="str">
        <f aca="false">IF(OR(I74="",J74=""),"",I74*J74)</f>
        <v/>
      </c>
      <c r="L74" s="4"/>
      <c r="M74" s="8"/>
      <c r="N74" s="7" t="str">
        <f aca="false">IF(OR(L74="",M74="",K74=""),"",IF(L74="GANANCIA",(K74-F74)*M74,IF(L74="BRUTO",K74*M74,"")))</f>
        <v/>
      </c>
      <c r="O74" s="9" t="str">
        <f aca="false">IF(D74="","",D74+30)</f>
        <v/>
      </c>
      <c r="P74" s="10" t="str">
        <f aca="false">IF(I74="","",IF(COUNTIF(Q74:AN74,TRUE())&gt;=I74,"PAGADO",IF(COUNTIF(Q74:AN74,TRUE())&gt;0,"PARCIAL","VIGENTE")))</f>
        <v/>
      </c>
      <c r="Q74" s="11" t="str">
        <f aca="false">IF(OR(I74="",I74&lt;1,O74=""),"",O74+0)</f>
        <v/>
      </c>
      <c r="R74" s="11" t="str">
        <f aca="false">IF(OR(I74="",I74&lt;2,O74=""),"",O74+30)</f>
        <v/>
      </c>
      <c r="S74" s="11" t="str">
        <f aca="false">IF(OR(I74="",I74&lt;3,O74=""),"",O74+60)</f>
        <v/>
      </c>
      <c r="T74" s="11" t="str">
        <f aca="false">IF(OR(I74="",I74&lt;4,O74=""),"",O74+90)</f>
        <v/>
      </c>
      <c r="U74" s="11" t="str">
        <f aca="false">IF(OR(I74="",I74&lt;5,O74=""),"",O74+120)</f>
        <v/>
      </c>
      <c r="V74" s="11" t="str">
        <f aca="false">IF(OR(I74="",I74&lt;6,O74=""),"",O74+150)</f>
        <v/>
      </c>
      <c r="W74" s="11" t="str">
        <f aca="false">IF(OR(I74="",I74&lt;7,O74=""),"",O74+180)</f>
        <v/>
      </c>
      <c r="X74" s="11" t="str">
        <f aca="false">IF(OR(I74="",I74&lt;8,O74=""),"",O74+210)</f>
        <v/>
      </c>
      <c r="Y74" s="11" t="str">
        <f aca="false">IF(OR(I74="",I74&lt;9,O74=""),"",O74+240)</f>
        <v/>
      </c>
      <c r="Z74" s="11" t="str">
        <f aca="false">IF(OR(I74="",I74&lt;10,O74=""),"",O74+270)</f>
        <v/>
      </c>
      <c r="AA74" s="11" t="str">
        <f aca="false">IF(OR(I74="",I74&lt;11,O74=""),"",O74+300)</f>
        <v/>
      </c>
      <c r="AB74" s="11" t="str">
        <f aca="false">IF(OR(I74="",I74&lt;12,O74=""),"",O74+330)</f>
        <v/>
      </c>
      <c r="AC74" s="11" t="str">
        <f aca="false">IF(OR(I74="",I74&lt;13,O74=""),"",O74+360)</f>
        <v/>
      </c>
      <c r="AD74" s="11" t="str">
        <f aca="false">IF(OR(I74="",I74&lt;14,O74=""),"",O74+390)</f>
        <v/>
      </c>
      <c r="AE74" s="11" t="str">
        <f aca="false">IF(OR(I74="",I74&lt;15,O74=""),"",O74+420)</f>
        <v/>
      </c>
      <c r="AF74" s="11" t="str">
        <f aca="false">IF(OR(I74="",I74&lt;16,O74=""),"",O74+450)</f>
        <v/>
      </c>
      <c r="AG74" s="11" t="str">
        <f aca="false">IF(OR(I74="",I74&lt;17,O74=""),"",O74+480)</f>
        <v/>
      </c>
      <c r="AH74" s="11" t="str">
        <f aca="false">IF(OR(I74="",I74&lt;18,O74=""),"",O74+510)</f>
        <v/>
      </c>
      <c r="AI74" s="11" t="str">
        <f aca="false">IF(OR(I74="",I74&lt;19,O74=""),"",O74+540)</f>
        <v/>
      </c>
      <c r="AJ74" s="11" t="str">
        <f aca="false">IF(OR(I74="",I74&lt;20,O74=""),"",O74+570)</f>
        <v/>
      </c>
      <c r="AK74" s="11" t="str">
        <f aca="false">IF(OR(I74="",I74&lt;21,O74=""),"",O74+600)</f>
        <v/>
      </c>
      <c r="AL74" s="11" t="str">
        <f aca="false">IF(OR(I74="",I74&lt;22,O74=""),"",O74+630)</f>
        <v/>
      </c>
      <c r="AM74" s="11" t="str">
        <f aca="false">IF(OR(I74="",I74&lt;23,O74=""),"",O74+660)</f>
        <v/>
      </c>
      <c r="AN74" s="11" t="str">
        <f aca="false">IF(OR(I74="",I74&lt;24,O74=""),"",O74+690)</f>
        <v/>
      </c>
      <c r="AO74" s="7" t="str">
        <f aca="false">IF(J74="","",COUNTIF(Q74:AN74,TRUE())*J74)</f>
        <v/>
      </c>
      <c r="AP74" s="7" t="str">
        <f aca="false">IF(K74="","",K74-AO74)</f>
        <v/>
      </c>
      <c r="AQ74" s="7" t="str">
        <f aca="false">IF(K74="","",K74-F74-IF(N74="",0,N74))</f>
        <v/>
      </c>
    </row>
    <row r="75" customFormat="false" ht="15" hidden="false" customHeight="false" outlineLevel="0" collapsed="false">
      <c r="A75" s="12"/>
      <c r="B75" s="12"/>
      <c r="C75" s="12"/>
      <c r="D75" s="13"/>
      <c r="E75" s="13"/>
      <c r="F75" s="14"/>
      <c r="G75" s="12"/>
      <c r="H75" s="12"/>
      <c r="I75" s="12"/>
      <c r="J75" s="14"/>
      <c r="K75" s="15" t="str">
        <f aca="false">IF(OR(I75="",J75=""),"",I75*J75)</f>
        <v/>
      </c>
      <c r="L75" s="12"/>
      <c r="M75" s="16"/>
      <c r="N75" s="15" t="str">
        <f aca="false">IF(OR(L75="",M75="",K75=""),"",IF(L75="GANANCIA",(K75-F75)*M75,IF(L75="BRUTO",K75*M75,"")))</f>
        <v/>
      </c>
      <c r="O75" s="17" t="str">
        <f aca="false">IF(D75="","",D75+30)</f>
        <v/>
      </c>
      <c r="P75" s="18" t="str">
        <f aca="false">IF(I75="","",IF(COUNTIF(Q75:AN75,TRUE())&gt;=I75,"PAGADO",IF(COUNTIF(Q75:AN75,TRUE())&gt;0,"PARCIAL","VIGENTE")))</f>
        <v/>
      </c>
      <c r="Q75" s="19" t="str">
        <f aca="false">IF(OR(I75="",I75&lt;1,O75=""),"",O75+0)</f>
        <v/>
      </c>
      <c r="R75" s="19" t="str">
        <f aca="false">IF(OR(I75="",I75&lt;2,O75=""),"",O75+30)</f>
        <v/>
      </c>
      <c r="S75" s="19" t="str">
        <f aca="false">IF(OR(I75="",I75&lt;3,O75=""),"",O75+60)</f>
        <v/>
      </c>
      <c r="T75" s="19" t="str">
        <f aca="false">IF(OR(I75="",I75&lt;4,O75=""),"",O75+90)</f>
        <v/>
      </c>
      <c r="U75" s="19" t="str">
        <f aca="false">IF(OR(I75="",I75&lt;5,O75=""),"",O75+120)</f>
        <v/>
      </c>
      <c r="V75" s="19" t="str">
        <f aca="false">IF(OR(I75="",I75&lt;6,O75=""),"",O75+150)</f>
        <v/>
      </c>
      <c r="W75" s="19" t="str">
        <f aca="false">IF(OR(I75="",I75&lt;7,O75=""),"",O75+180)</f>
        <v/>
      </c>
      <c r="X75" s="19" t="str">
        <f aca="false">IF(OR(I75="",I75&lt;8,O75=""),"",O75+210)</f>
        <v/>
      </c>
      <c r="Y75" s="19" t="str">
        <f aca="false">IF(OR(I75="",I75&lt;9,O75=""),"",O75+240)</f>
        <v/>
      </c>
      <c r="Z75" s="19" t="str">
        <f aca="false">IF(OR(I75="",I75&lt;10,O75=""),"",O75+270)</f>
        <v/>
      </c>
      <c r="AA75" s="19" t="str">
        <f aca="false">IF(OR(I75="",I75&lt;11,O75=""),"",O75+300)</f>
        <v/>
      </c>
      <c r="AB75" s="19" t="str">
        <f aca="false">IF(OR(I75="",I75&lt;12,O75=""),"",O75+330)</f>
        <v/>
      </c>
      <c r="AC75" s="19" t="str">
        <f aca="false">IF(OR(I75="",I75&lt;13,O75=""),"",O75+360)</f>
        <v/>
      </c>
      <c r="AD75" s="19" t="str">
        <f aca="false">IF(OR(I75="",I75&lt;14,O75=""),"",O75+390)</f>
        <v/>
      </c>
      <c r="AE75" s="19" t="str">
        <f aca="false">IF(OR(I75="",I75&lt;15,O75=""),"",O75+420)</f>
        <v/>
      </c>
      <c r="AF75" s="19" t="str">
        <f aca="false">IF(OR(I75="",I75&lt;16,O75=""),"",O75+450)</f>
        <v/>
      </c>
      <c r="AG75" s="19" t="str">
        <f aca="false">IF(OR(I75="",I75&lt;17,O75=""),"",O75+480)</f>
        <v/>
      </c>
      <c r="AH75" s="19" t="str">
        <f aca="false">IF(OR(I75="",I75&lt;18,O75=""),"",O75+510)</f>
        <v/>
      </c>
      <c r="AI75" s="19" t="str">
        <f aca="false">IF(OR(I75="",I75&lt;19,O75=""),"",O75+540)</f>
        <v/>
      </c>
      <c r="AJ75" s="19" t="str">
        <f aca="false">IF(OR(I75="",I75&lt;20,O75=""),"",O75+570)</f>
        <v/>
      </c>
      <c r="AK75" s="19" t="str">
        <f aca="false">IF(OR(I75="",I75&lt;21,O75=""),"",O75+600)</f>
        <v/>
      </c>
      <c r="AL75" s="19" t="str">
        <f aca="false">IF(OR(I75="",I75&lt;22,O75=""),"",O75+630)</f>
        <v/>
      </c>
      <c r="AM75" s="19" t="str">
        <f aca="false">IF(OR(I75="",I75&lt;23,O75=""),"",O75+660)</f>
        <v/>
      </c>
      <c r="AN75" s="19" t="str">
        <f aca="false">IF(OR(I75="",I75&lt;24,O75=""),"",O75+690)</f>
        <v/>
      </c>
      <c r="AO75" s="15" t="str">
        <f aca="false">IF(J75="","",COUNTIF(Q75:AN75,TRUE())*J75)</f>
        <v/>
      </c>
      <c r="AP75" s="15" t="str">
        <f aca="false">IF(K75="","",K75-AO75)</f>
        <v/>
      </c>
      <c r="AQ75" s="15" t="str">
        <f aca="false">IF(K75="","",K75-F75-IF(N75="",0,N75))</f>
        <v/>
      </c>
    </row>
    <row r="76" customFormat="false" ht="15" hidden="false" customHeight="false" outlineLevel="0" collapsed="false">
      <c r="A76" s="4"/>
      <c r="B76" s="4"/>
      <c r="C76" s="4"/>
      <c r="D76" s="5"/>
      <c r="E76" s="5"/>
      <c r="F76" s="6"/>
      <c r="G76" s="4"/>
      <c r="H76" s="4"/>
      <c r="I76" s="4"/>
      <c r="J76" s="6"/>
      <c r="K76" s="7" t="str">
        <f aca="false">IF(OR(I76="",J76=""),"",I76*J76)</f>
        <v/>
      </c>
      <c r="L76" s="4"/>
      <c r="M76" s="8"/>
      <c r="N76" s="7" t="str">
        <f aca="false">IF(OR(L76="",M76="",K76=""),"",IF(L76="GANANCIA",(K76-F76)*M76,IF(L76="BRUTO",K76*M76,"")))</f>
        <v/>
      </c>
      <c r="O76" s="9" t="str">
        <f aca="false">IF(D76="","",D76+30)</f>
        <v/>
      </c>
      <c r="P76" s="10" t="str">
        <f aca="false">IF(I76="","",IF(COUNTIF(Q76:AN76,TRUE())&gt;=I76,"PAGADO",IF(COUNTIF(Q76:AN76,TRUE())&gt;0,"PARCIAL","VIGENTE")))</f>
        <v/>
      </c>
      <c r="Q76" s="11" t="str">
        <f aca="false">IF(OR(I76="",I76&lt;1,O76=""),"",O76+0)</f>
        <v/>
      </c>
      <c r="R76" s="11" t="str">
        <f aca="false">IF(OR(I76="",I76&lt;2,O76=""),"",O76+30)</f>
        <v/>
      </c>
      <c r="S76" s="11" t="str">
        <f aca="false">IF(OR(I76="",I76&lt;3,O76=""),"",O76+60)</f>
        <v/>
      </c>
      <c r="T76" s="11" t="str">
        <f aca="false">IF(OR(I76="",I76&lt;4,O76=""),"",O76+90)</f>
        <v/>
      </c>
      <c r="U76" s="11" t="str">
        <f aca="false">IF(OR(I76="",I76&lt;5,O76=""),"",O76+120)</f>
        <v/>
      </c>
      <c r="V76" s="11" t="str">
        <f aca="false">IF(OR(I76="",I76&lt;6,O76=""),"",O76+150)</f>
        <v/>
      </c>
      <c r="W76" s="11" t="str">
        <f aca="false">IF(OR(I76="",I76&lt;7,O76=""),"",O76+180)</f>
        <v/>
      </c>
      <c r="X76" s="11" t="str">
        <f aca="false">IF(OR(I76="",I76&lt;8,O76=""),"",O76+210)</f>
        <v/>
      </c>
      <c r="Y76" s="11" t="str">
        <f aca="false">IF(OR(I76="",I76&lt;9,O76=""),"",O76+240)</f>
        <v/>
      </c>
      <c r="Z76" s="11" t="str">
        <f aca="false">IF(OR(I76="",I76&lt;10,O76=""),"",O76+270)</f>
        <v/>
      </c>
      <c r="AA76" s="11" t="str">
        <f aca="false">IF(OR(I76="",I76&lt;11,O76=""),"",O76+300)</f>
        <v/>
      </c>
      <c r="AB76" s="11" t="str">
        <f aca="false">IF(OR(I76="",I76&lt;12,O76=""),"",O76+330)</f>
        <v/>
      </c>
      <c r="AC76" s="11" t="str">
        <f aca="false">IF(OR(I76="",I76&lt;13,O76=""),"",O76+360)</f>
        <v/>
      </c>
      <c r="AD76" s="11" t="str">
        <f aca="false">IF(OR(I76="",I76&lt;14,O76=""),"",O76+390)</f>
        <v/>
      </c>
      <c r="AE76" s="11" t="str">
        <f aca="false">IF(OR(I76="",I76&lt;15,O76=""),"",O76+420)</f>
        <v/>
      </c>
      <c r="AF76" s="11" t="str">
        <f aca="false">IF(OR(I76="",I76&lt;16,O76=""),"",O76+450)</f>
        <v/>
      </c>
      <c r="AG76" s="11" t="str">
        <f aca="false">IF(OR(I76="",I76&lt;17,O76=""),"",O76+480)</f>
        <v/>
      </c>
      <c r="AH76" s="11" t="str">
        <f aca="false">IF(OR(I76="",I76&lt;18,O76=""),"",O76+510)</f>
        <v/>
      </c>
      <c r="AI76" s="11" t="str">
        <f aca="false">IF(OR(I76="",I76&lt;19,O76=""),"",O76+540)</f>
        <v/>
      </c>
      <c r="AJ76" s="11" t="str">
        <f aca="false">IF(OR(I76="",I76&lt;20,O76=""),"",O76+570)</f>
        <v/>
      </c>
      <c r="AK76" s="11" t="str">
        <f aca="false">IF(OR(I76="",I76&lt;21,O76=""),"",O76+600)</f>
        <v/>
      </c>
      <c r="AL76" s="11" t="str">
        <f aca="false">IF(OR(I76="",I76&lt;22,O76=""),"",O76+630)</f>
        <v/>
      </c>
      <c r="AM76" s="11" t="str">
        <f aca="false">IF(OR(I76="",I76&lt;23,O76=""),"",O76+660)</f>
        <v/>
      </c>
      <c r="AN76" s="11" t="str">
        <f aca="false">IF(OR(I76="",I76&lt;24,O76=""),"",O76+690)</f>
        <v/>
      </c>
      <c r="AO76" s="7" t="str">
        <f aca="false">IF(J76="","",COUNTIF(Q76:AN76,TRUE())*J76)</f>
        <v/>
      </c>
      <c r="AP76" s="7" t="str">
        <f aca="false">IF(K76="","",K76-AO76)</f>
        <v/>
      </c>
      <c r="AQ76" s="7" t="str">
        <f aca="false">IF(K76="","",K76-F76-IF(N76="",0,N76))</f>
        <v/>
      </c>
    </row>
    <row r="77" customFormat="false" ht="15" hidden="false" customHeight="false" outlineLevel="0" collapsed="false">
      <c r="A77" s="12"/>
      <c r="B77" s="12"/>
      <c r="C77" s="12"/>
      <c r="D77" s="13"/>
      <c r="E77" s="13"/>
      <c r="F77" s="14"/>
      <c r="G77" s="12"/>
      <c r="H77" s="12"/>
      <c r="I77" s="12"/>
      <c r="J77" s="14"/>
      <c r="K77" s="15" t="str">
        <f aca="false">IF(OR(I77="",J77=""),"",I77*J77)</f>
        <v/>
      </c>
      <c r="L77" s="12"/>
      <c r="M77" s="16"/>
      <c r="N77" s="15" t="str">
        <f aca="false">IF(OR(L77="",M77="",K77=""),"",IF(L77="GANANCIA",(K77-F77)*M77,IF(L77="BRUTO",K77*M77,"")))</f>
        <v/>
      </c>
      <c r="O77" s="17" t="str">
        <f aca="false">IF(D77="","",D77+30)</f>
        <v/>
      </c>
      <c r="P77" s="18" t="str">
        <f aca="false">IF(I77="","",IF(COUNTIF(Q77:AN77,TRUE())&gt;=I77,"PAGADO",IF(COUNTIF(Q77:AN77,TRUE())&gt;0,"PARCIAL","VIGENTE")))</f>
        <v/>
      </c>
      <c r="Q77" s="19" t="str">
        <f aca="false">IF(OR(I77="",I77&lt;1,O77=""),"",O77+0)</f>
        <v/>
      </c>
      <c r="R77" s="19" t="str">
        <f aca="false">IF(OR(I77="",I77&lt;2,O77=""),"",O77+30)</f>
        <v/>
      </c>
      <c r="S77" s="19" t="str">
        <f aca="false">IF(OR(I77="",I77&lt;3,O77=""),"",O77+60)</f>
        <v/>
      </c>
      <c r="T77" s="19" t="str">
        <f aca="false">IF(OR(I77="",I77&lt;4,O77=""),"",O77+90)</f>
        <v/>
      </c>
      <c r="U77" s="19" t="str">
        <f aca="false">IF(OR(I77="",I77&lt;5,O77=""),"",O77+120)</f>
        <v/>
      </c>
      <c r="V77" s="19" t="str">
        <f aca="false">IF(OR(I77="",I77&lt;6,O77=""),"",O77+150)</f>
        <v/>
      </c>
      <c r="W77" s="19" t="str">
        <f aca="false">IF(OR(I77="",I77&lt;7,O77=""),"",O77+180)</f>
        <v/>
      </c>
      <c r="X77" s="19" t="str">
        <f aca="false">IF(OR(I77="",I77&lt;8,O77=""),"",O77+210)</f>
        <v/>
      </c>
      <c r="Y77" s="19" t="str">
        <f aca="false">IF(OR(I77="",I77&lt;9,O77=""),"",O77+240)</f>
        <v/>
      </c>
      <c r="Z77" s="19" t="str">
        <f aca="false">IF(OR(I77="",I77&lt;10,O77=""),"",O77+270)</f>
        <v/>
      </c>
      <c r="AA77" s="19" t="str">
        <f aca="false">IF(OR(I77="",I77&lt;11,O77=""),"",O77+300)</f>
        <v/>
      </c>
      <c r="AB77" s="19" t="str">
        <f aca="false">IF(OR(I77="",I77&lt;12,O77=""),"",O77+330)</f>
        <v/>
      </c>
      <c r="AC77" s="19" t="str">
        <f aca="false">IF(OR(I77="",I77&lt;13,O77=""),"",O77+360)</f>
        <v/>
      </c>
      <c r="AD77" s="19" t="str">
        <f aca="false">IF(OR(I77="",I77&lt;14,O77=""),"",O77+390)</f>
        <v/>
      </c>
      <c r="AE77" s="19" t="str">
        <f aca="false">IF(OR(I77="",I77&lt;15,O77=""),"",O77+420)</f>
        <v/>
      </c>
      <c r="AF77" s="19" t="str">
        <f aca="false">IF(OR(I77="",I77&lt;16,O77=""),"",O77+450)</f>
        <v/>
      </c>
      <c r="AG77" s="19" t="str">
        <f aca="false">IF(OR(I77="",I77&lt;17,O77=""),"",O77+480)</f>
        <v/>
      </c>
      <c r="AH77" s="19" t="str">
        <f aca="false">IF(OR(I77="",I77&lt;18,O77=""),"",O77+510)</f>
        <v/>
      </c>
      <c r="AI77" s="19" t="str">
        <f aca="false">IF(OR(I77="",I77&lt;19,O77=""),"",O77+540)</f>
        <v/>
      </c>
      <c r="AJ77" s="19" t="str">
        <f aca="false">IF(OR(I77="",I77&lt;20,O77=""),"",O77+570)</f>
        <v/>
      </c>
      <c r="AK77" s="19" t="str">
        <f aca="false">IF(OR(I77="",I77&lt;21,O77=""),"",O77+600)</f>
        <v/>
      </c>
      <c r="AL77" s="19" t="str">
        <f aca="false">IF(OR(I77="",I77&lt;22,O77=""),"",O77+630)</f>
        <v/>
      </c>
      <c r="AM77" s="19" t="str">
        <f aca="false">IF(OR(I77="",I77&lt;23,O77=""),"",O77+660)</f>
        <v/>
      </c>
      <c r="AN77" s="19" t="str">
        <f aca="false">IF(OR(I77="",I77&lt;24,O77=""),"",O77+690)</f>
        <v/>
      </c>
      <c r="AO77" s="15" t="str">
        <f aca="false">IF(J77="","",COUNTIF(Q77:AN77,TRUE())*J77)</f>
        <v/>
      </c>
      <c r="AP77" s="15" t="str">
        <f aca="false">IF(K77="","",K77-AO77)</f>
        <v/>
      </c>
      <c r="AQ77" s="15" t="str">
        <f aca="false">IF(K77="","",K77-F77-IF(N77="",0,N77))</f>
        <v/>
      </c>
    </row>
    <row r="78" customFormat="false" ht="15" hidden="false" customHeight="false" outlineLevel="0" collapsed="false">
      <c r="A78" s="4"/>
      <c r="B78" s="4"/>
      <c r="C78" s="4"/>
      <c r="D78" s="5"/>
      <c r="E78" s="5"/>
      <c r="F78" s="6"/>
      <c r="G78" s="4"/>
      <c r="H78" s="4"/>
      <c r="I78" s="4"/>
      <c r="J78" s="6"/>
      <c r="K78" s="7" t="str">
        <f aca="false">IF(OR(I78="",J78=""),"",I78*J78)</f>
        <v/>
      </c>
      <c r="L78" s="4"/>
      <c r="M78" s="8"/>
      <c r="N78" s="7" t="str">
        <f aca="false">IF(OR(L78="",M78="",K78=""),"",IF(L78="GANANCIA",(K78-F78)*M78,IF(L78="BRUTO",K78*M78,"")))</f>
        <v/>
      </c>
      <c r="O78" s="9" t="str">
        <f aca="false">IF(D78="","",D78+30)</f>
        <v/>
      </c>
      <c r="P78" s="10" t="str">
        <f aca="false">IF(I78="","",IF(COUNTIF(Q78:AN78,TRUE())&gt;=I78,"PAGADO",IF(COUNTIF(Q78:AN78,TRUE())&gt;0,"PARCIAL","VIGENTE")))</f>
        <v/>
      </c>
      <c r="Q78" s="11" t="str">
        <f aca="false">IF(OR(I78="",I78&lt;1,O78=""),"",O78+0)</f>
        <v/>
      </c>
      <c r="R78" s="11" t="str">
        <f aca="false">IF(OR(I78="",I78&lt;2,O78=""),"",O78+30)</f>
        <v/>
      </c>
      <c r="S78" s="11" t="str">
        <f aca="false">IF(OR(I78="",I78&lt;3,O78=""),"",O78+60)</f>
        <v/>
      </c>
      <c r="T78" s="11" t="str">
        <f aca="false">IF(OR(I78="",I78&lt;4,O78=""),"",O78+90)</f>
        <v/>
      </c>
      <c r="U78" s="11" t="str">
        <f aca="false">IF(OR(I78="",I78&lt;5,O78=""),"",O78+120)</f>
        <v/>
      </c>
      <c r="V78" s="11" t="str">
        <f aca="false">IF(OR(I78="",I78&lt;6,O78=""),"",O78+150)</f>
        <v/>
      </c>
      <c r="W78" s="11" t="str">
        <f aca="false">IF(OR(I78="",I78&lt;7,O78=""),"",O78+180)</f>
        <v/>
      </c>
      <c r="X78" s="11" t="str">
        <f aca="false">IF(OR(I78="",I78&lt;8,O78=""),"",O78+210)</f>
        <v/>
      </c>
      <c r="Y78" s="11" t="str">
        <f aca="false">IF(OR(I78="",I78&lt;9,O78=""),"",O78+240)</f>
        <v/>
      </c>
      <c r="Z78" s="11" t="str">
        <f aca="false">IF(OR(I78="",I78&lt;10,O78=""),"",O78+270)</f>
        <v/>
      </c>
      <c r="AA78" s="11" t="str">
        <f aca="false">IF(OR(I78="",I78&lt;11,O78=""),"",O78+300)</f>
        <v/>
      </c>
      <c r="AB78" s="11" t="str">
        <f aca="false">IF(OR(I78="",I78&lt;12,O78=""),"",O78+330)</f>
        <v/>
      </c>
      <c r="AC78" s="11" t="str">
        <f aca="false">IF(OR(I78="",I78&lt;13,O78=""),"",O78+360)</f>
        <v/>
      </c>
      <c r="AD78" s="11" t="str">
        <f aca="false">IF(OR(I78="",I78&lt;14,O78=""),"",O78+390)</f>
        <v/>
      </c>
      <c r="AE78" s="11" t="str">
        <f aca="false">IF(OR(I78="",I78&lt;15,O78=""),"",O78+420)</f>
        <v/>
      </c>
      <c r="AF78" s="11" t="str">
        <f aca="false">IF(OR(I78="",I78&lt;16,O78=""),"",O78+450)</f>
        <v/>
      </c>
      <c r="AG78" s="11" t="str">
        <f aca="false">IF(OR(I78="",I78&lt;17,O78=""),"",O78+480)</f>
        <v/>
      </c>
      <c r="AH78" s="11" t="str">
        <f aca="false">IF(OR(I78="",I78&lt;18,O78=""),"",O78+510)</f>
        <v/>
      </c>
      <c r="AI78" s="11" t="str">
        <f aca="false">IF(OR(I78="",I78&lt;19,O78=""),"",O78+540)</f>
        <v/>
      </c>
      <c r="AJ78" s="11" t="str">
        <f aca="false">IF(OR(I78="",I78&lt;20,O78=""),"",O78+570)</f>
        <v/>
      </c>
      <c r="AK78" s="11" t="str">
        <f aca="false">IF(OR(I78="",I78&lt;21,O78=""),"",O78+600)</f>
        <v/>
      </c>
      <c r="AL78" s="11" t="str">
        <f aca="false">IF(OR(I78="",I78&lt;22,O78=""),"",O78+630)</f>
        <v/>
      </c>
      <c r="AM78" s="11" t="str">
        <f aca="false">IF(OR(I78="",I78&lt;23,O78=""),"",O78+660)</f>
        <v/>
      </c>
      <c r="AN78" s="11" t="str">
        <f aca="false">IF(OR(I78="",I78&lt;24,O78=""),"",O78+690)</f>
        <v/>
      </c>
      <c r="AO78" s="7" t="str">
        <f aca="false">IF(J78="","",COUNTIF(Q78:AN78,TRUE())*J78)</f>
        <v/>
      </c>
      <c r="AP78" s="7" t="str">
        <f aca="false">IF(K78="","",K78-AO78)</f>
        <v/>
      </c>
      <c r="AQ78" s="7" t="str">
        <f aca="false">IF(K78="","",K78-F78-IF(N78="",0,N78))</f>
        <v/>
      </c>
    </row>
    <row r="79" customFormat="false" ht="15" hidden="false" customHeight="false" outlineLevel="0" collapsed="false">
      <c r="A79" s="12"/>
      <c r="B79" s="12"/>
      <c r="C79" s="12"/>
      <c r="D79" s="13"/>
      <c r="E79" s="13"/>
      <c r="F79" s="14"/>
      <c r="G79" s="12"/>
      <c r="H79" s="12"/>
      <c r="I79" s="12"/>
      <c r="J79" s="14"/>
      <c r="K79" s="15" t="str">
        <f aca="false">IF(OR(I79="",J79=""),"",I79*J79)</f>
        <v/>
      </c>
      <c r="L79" s="12"/>
      <c r="M79" s="16"/>
      <c r="N79" s="15" t="str">
        <f aca="false">IF(OR(L79="",M79="",K79=""),"",IF(L79="GANANCIA",(K79-F79)*M79,IF(L79="BRUTO",K79*M79,"")))</f>
        <v/>
      </c>
      <c r="O79" s="17" t="str">
        <f aca="false">IF(D79="","",D79+30)</f>
        <v/>
      </c>
      <c r="P79" s="18" t="str">
        <f aca="false">IF(I79="","",IF(COUNTIF(Q79:AN79,TRUE())&gt;=I79,"PAGADO",IF(COUNTIF(Q79:AN79,TRUE())&gt;0,"PARCIAL","VIGENTE")))</f>
        <v/>
      </c>
      <c r="Q79" s="19" t="str">
        <f aca="false">IF(OR(I79="",I79&lt;1,O79=""),"",O79+0)</f>
        <v/>
      </c>
      <c r="R79" s="19" t="str">
        <f aca="false">IF(OR(I79="",I79&lt;2,O79=""),"",O79+30)</f>
        <v/>
      </c>
      <c r="S79" s="19" t="str">
        <f aca="false">IF(OR(I79="",I79&lt;3,O79=""),"",O79+60)</f>
        <v/>
      </c>
      <c r="T79" s="19" t="str">
        <f aca="false">IF(OR(I79="",I79&lt;4,O79=""),"",O79+90)</f>
        <v/>
      </c>
      <c r="U79" s="19" t="str">
        <f aca="false">IF(OR(I79="",I79&lt;5,O79=""),"",O79+120)</f>
        <v/>
      </c>
      <c r="V79" s="19" t="str">
        <f aca="false">IF(OR(I79="",I79&lt;6,O79=""),"",O79+150)</f>
        <v/>
      </c>
      <c r="W79" s="19" t="str">
        <f aca="false">IF(OR(I79="",I79&lt;7,O79=""),"",O79+180)</f>
        <v/>
      </c>
      <c r="X79" s="19" t="str">
        <f aca="false">IF(OR(I79="",I79&lt;8,O79=""),"",O79+210)</f>
        <v/>
      </c>
      <c r="Y79" s="19" t="str">
        <f aca="false">IF(OR(I79="",I79&lt;9,O79=""),"",O79+240)</f>
        <v/>
      </c>
      <c r="Z79" s="19" t="str">
        <f aca="false">IF(OR(I79="",I79&lt;10,O79=""),"",O79+270)</f>
        <v/>
      </c>
      <c r="AA79" s="19" t="str">
        <f aca="false">IF(OR(I79="",I79&lt;11,O79=""),"",O79+300)</f>
        <v/>
      </c>
      <c r="AB79" s="19" t="str">
        <f aca="false">IF(OR(I79="",I79&lt;12,O79=""),"",O79+330)</f>
        <v/>
      </c>
      <c r="AC79" s="19" t="str">
        <f aca="false">IF(OR(I79="",I79&lt;13,O79=""),"",O79+360)</f>
        <v/>
      </c>
      <c r="AD79" s="19" t="str">
        <f aca="false">IF(OR(I79="",I79&lt;14,O79=""),"",O79+390)</f>
        <v/>
      </c>
      <c r="AE79" s="19" t="str">
        <f aca="false">IF(OR(I79="",I79&lt;15,O79=""),"",O79+420)</f>
        <v/>
      </c>
      <c r="AF79" s="19" t="str">
        <f aca="false">IF(OR(I79="",I79&lt;16,O79=""),"",O79+450)</f>
        <v/>
      </c>
      <c r="AG79" s="19" t="str">
        <f aca="false">IF(OR(I79="",I79&lt;17,O79=""),"",O79+480)</f>
        <v/>
      </c>
      <c r="AH79" s="19" t="str">
        <f aca="false">IF(OR(I79="",I79&lt;18,O79=""),"",O79+510)</f>
        <v/>
      </c>
      <c r="AI79" s="19" t="str">
        <f aca="false">IF(OR(I79="",I79&lt;19,O79=""),"",O79+540)</f>
        <v/>
      </c>
      <c r="AJ79" s="19" t="str">
        <f aca="false">IF(OR(I79="",I79&lt;20,O79=""),"",O79+570)</f>
        <v/>
      </c>
      <c r="AK79" s="19" t="str">
        <f aca="false">IF(OR(I79="",I79&lt;21,O79=""),"",O79+600)</f>
        <v/>
      </c>
      <c r="AL79" s="19" t="str">
        <f aca="false">IF(OR(I79="",I79&lt;22,O79=""),"",O79+630)</f>
        <v/>
      </c>
      <c r="AM79" s="19" t="str">
        <f aca="false">IF(OR(I79="",I79&lt;23,O79=""),"",O79+660)</f>
        <v/>
      </c>
      <c r="AN79" s="19" t="str">
        <f aca="false">IF(OR(I79="",I79&lt;24,O79=""),"",O79+690)</f>
        <v/>
      </c>
      <c r="AO79" s="15" t="str">
        <f aca="false">IF(J79="","",COUNTIF(Q79:AN79,TRUE())*J79)</f>
        <v/>
      </c>
      <c r="AP79" s="15" t="str">
        <f aca="false">IF(K79="","",K79-AO79)</f>
        <v/>
      </c>
      <c r="AQ79" s="15" t="str">
        <f aca="false">IF(K79="","",K79-F79-IF(N79="",0,N79))</f>
        <v/>
      </c>
    </row>
    <row r="80" customFormat="false" ht="15" hidden="false" customHeight="false" outlineLevel="0" collapsed="false">
      <c r="A80" s="4"/>
      <c r="B80" s="4"/>
      <c r="C80" s="4"/>
      <c r="D80" s="5"/>
      <c r="E80" s="5"/>
      <c r="F80" s="6"/>
      <c r="G80" s="4"/>
      <c r="H80" s="4"/>
      <c r="I80" s="4"/>
      <c r="J80" s="6"/>
      <c r="K80" s="7" t="str">
        <f aca="false">IF(OR(I80="",J80=""),"",I80*J80)</f>
        <v/>
      </c>
      <c r="L80" s="4"/>
      <c r="M80" s="8"/>
      <c r="N80" s="7" t="str">
        <f aca="false">IF(OR(L80="",M80="",K80=""),"",IF(L80="GANANCIA",(K80-F80)*M80,IF(L80="BRUTO",K80*M80,"")))</f>
        <v/>
      </c>
      <c r="O80" s="9" t="str">
        <f aca="false">IF(D80="","",D80+30)</f>
        <v/>
      </c>
      <c r="P80" s="10" t="str">
        <f aca="false">IF(I80="","",IF(COUNTIF(Q80:AN80,TRUE())&gt;=I80,"PAGADO",IF(COUNTIF(Q80:AN80,TRUE())&gt;0,"PARCIAL","VIGENTE")))</f>
        <v/>
      </c>
      <c r="Q80" s="11" t="str">
        <f aca="false">IF(OR(I80="",I80&lt;1,O80=""),"",O80+0)</f>
        <v/>
      </c>
      <c r="R80" s="11" t="str">
        <f aca="false">IF(OR(I80="",I80&lt;2,O80=""),"",O80+30)</f>
        <v/>
      </c>
      <c r="S80" s="11" t="str">
        <f aca="false">IF(OR(I80="",I80&lt;3,O80=""),"",O80+60)</f>
        <v/>
      </c>
      <c r="T80" s="11" t="str">
        <f aca="false">IF(OR(I80="",I80&lt;4,O80=""),"",O80+90)</f>
        <v/>
      </c>
      <c r="U80" s="11" t="str">
        <f aca="false">IF(OR(I80="",I80&lt;5,O80=""),"",O80+120)</f>
        <v/>
      </c>
      <c r="V80" s="11" t="str">
        <f aca="false">IF(OR(I80="",I80&lt;6,O80=""),"",O80+150)</f>
        <v/>
      </c>
      <c r="W80" s="11" t="str">
        <f aca="false">IF(OR(I80="",I80&lt;7,O80=""),"",O80+180)</f>
        <v/>
      </c>
      <c r="X80" s="11" t="str">
        <f aca="false">IF(OR(I80="",I80&lt;8,O80=""),"",O80+210)</f>
        <v/>
      </c>
      <c r="Y80" s="11" t="str">
        <f aca="false">IF(OR(I80="",I80&lt;9,O80=""),"",O80+240)</f>
        <v/>
      </c>
      <c r="Z80" s="11" t="str">
        <f aca="false">IF(OR(I80="",I80&lt;10,O80=""),"",O80+270)</f>
        <v/>
      </c>
      <c r="AA80" s="11" t="str">
        <f aca="false">IF(OR(I80="",I80&lt;11,O80=""),"",O80+300)</f>
        <v/>
      </c>
      <c r="AB80" s="11" t="str">
        <f aca="false">IF(OR(I80="",I80&lt;12,O80=""),"",O80+330)</f>
        <v/>
      </c>
      <c r="AC80" s="11" t="str">
        <f aca="false">IF(OR(I80="",I80&lt;13,O80=""),"",O80+360)</f>
        <v/>
      </c>
      <c r="AD80" s="11" t="str">
        <f aca="false">IF(OR(I80="",I80&lt;14,O80=""),"",O80+390)</f>
        <v/>
      </c>
      <c r="AE80" s="11" t="str">
        <f aca="false">IF(OR(I80="",I80&lt;15,O80=""),"",O80+420)</f>
        <v/>
      </c>
      <c r="AF80" s="11" t="str">
        <f aca="false">IF(OR(I80="",I80&lt;16,O80=""),"",O80+450)</f>
        <v/>
      </c>
      <c r="AG80" s="11" t="str">
        <f aca="false">IF(OR(I80="",I80&lt;17,O80=""),"",O80+480)</f>
        <v/>
      </c>
      <c r="AH80" s="11" t="str">
        <f aca="false">IF(OR(I80="",I80&lt;18,O80=""),"",O80+510)</f>
        <v/>
      </c>
      <c r="AI80" s="11" t="str">
        <f aca="false">IF(OR(I80="",I80&lt;19,O80=""),"",O80+540)</f>
        <v/>
      </c>
      <c r="AJ80" s="11" t="str">
        <f aca="false">IF(OR(I80="",I80&lt;20,O80=""),"",O80+570)</f>
        <v/>
      </c>
      <c r="AK80" s="11" t="str">
        <f aca="false">IF(OR(I80="",I80&lt;21,O80=""),"",O80+600)</f>
        <v/>
      </c>
      <c r="AL80" s="11" t="str">
        <f aca="false">IF(OR(I80="",I80&lt;22,O80=""),"",O80+630)</f>
        <v/>
      </c>
      <c r="AM80" s="11" t="str">
        <f aca="false">IF(OR(I80="",I80&lt;23,O80=""),"",O80+660)</f>
        <v/>
      </c>
      <c r="AN80" s="11" t="str">
        <f aca="false">IF(OR(I80="",I80&lt;24,O80=""),"",O80+690)</f>
        <v/>
      </c>
      <c r="AO80" s="7" t="str">
        <f aca="false">IF(J80="","",COUNTIF(Q80:AN80,TRUE())*J80)</f>
        <v/>
      </c>
      <c r="AP80" s="7" t="str">
        <f aca="false">IF(K80="","",K80-AO80)</f>
        <v/>
      </c>
      <c r="AQ80" s="7" t="str">
        <f aca="false">IF(K80="","",K80-F80-IF(N80="",0,N80))</f>
        <v/>
      </c>
    </row>
    <row r="81" customFormat="false" ht="15" hidden="false" customHeight="false" outlineLevel="0" collapsed="false">
      <c r="A81" s="12"/>
      <c r="B81" s="12"/>
      <c r="C81" s="12"/>
      <c r="D81" s="13"/>
      <c r="E81" s="13"/>
      <c r="F81" s="14"/>
      <c r="G81" s="12"/>
      <c r="H81" s="12"/>
      <c r="I81" s="12"/>
      <c r="J81" s="14"/>
      <c r="K81" s="15" t="str">
        <f aca="false">IF(OR(I81="",J81=""),"",I81*J81)</f>
        <v/>
      </c>
      <c r="L81" s="12"/>
      <c r="M81" s="16"/>
      <c r="N81" s="15" t="str">
        <f aca="false">IF(OR(L81="",M81="",K81=""),"",IF(L81="GANANCIA",(K81-F81)*M81,IF(L81="BRUTO",K81*M81,"")))</f>
        <v/>
      </c>
      <c r="O81" s="17" t="str">
        <f aca="false">IF(D81="","",D81+30)</f>
        <v/>
      </c>
      <c r="P81" s="18" t="str">
        <f aca="false">IF(I81="","",IF(COUNTIF(Q81:AN81,TRUE())&gt;=I81,"PAGADO",IF(COUNTIF(Q81:AN81,TRUE())&gt;0,"PARCIAL","VIGENTE")))</f>
        <v/>
      </c>
      <c r="Q81" s="19" t="str">
        <f aca="false">IF(OR(I81="",I81&lt;1,O81=""),"",O81+0)</f>
        <v/>
      </c>
      <c r="R81" s="19" t="str">
        <f aca="false">IF(OR(I81="",I81&lt;2,O81=""),"",O81+30)</f>
        <v/>
      </c>
      <c r="S81" s="19" t="str">
        <f aca="false">IF(OR(I81="",I81&lt;3,O81=""),"",O81+60)</f>
        <v/>
      </c>
      <c r="T81" s="19" t="str">
        <f aca="false">IF(OR(I81="",I81&lt;4,O81=""),"",O81+90)</f>
        <v/>
      </c>
      <c r="U81" s="19" t="str">
        <f aca="false">IF(OR(I81="",I81&lt;5,O81=""),"",O81+120)</f>
        <v/>
      </c>
      <c r="V81" s="19" t="str">
        <f aca="false">IF(OR(I81="",I81&lt;6,O81=""),"",O81+150)</f>
        <v/>
      </c>
      <c r="W81" s="19" t="str">
        <f aca="false">IF(OR(I81="",I81&lt;7,O81=""),"",O81+180)</f>
        <v/>
      </c>
      <c r="X81" s="19" t="str">
        <f aca="false">IF(OR(I81="",I81&lt;8,O81=""),"",O81+210)</f>
        <v/>
      </c>
      <c r="Y81" s="19" t="str">
        <f aca="false">IF(OR(I81="",I81&lt;9,O81=""),"",O81+240)</f>
        <v/>
      </c>
      <c r="Z81" s="19" t="str">
        <f aca="false">IF(OR(I81="",I81&lt;10,O81=""),"",O81+270)</f>
        <v/>
      </c>
      <c r="AA81" s="19" t="str">
        <f aca="false">IF(OR(I81="",I81&lt;11,O81=""),"",O81+300)</f>
        <v/>
      </c>
      <c r="AB81" s="19" t="str">
        <f aca="false">IF(OR(I81="",I81&lt;12,O81=""),"",O81+330)</f>
        <v/>
      </c>
      <c r="AC81" s="19" t="str">
        <f aca="false">IF(OR(I81="",I81&lt;13,O81=""),"",O81+360)</f>
        <v/>
      </c>
      <c r="AD81" s="19" t="str">
        <f aca="false">IF(OR(I81="",I81&lt;14,O81=""),"",O81+390)</f>
        <v/>
      </c>
      <c r="AE81" s="19" t="str">
        <f aca="false">IF(OR(I81="",I81&lt;15,O81=""),"",O81+420)</f>
        <v/>
      </c>
      <c r="AF81" s="19" t="str">
        <f aca="false">IF(OR(I81="",I81&lt;16,O81=""),"",O81+450)</f>
        <v/>
      </c>
      <c r="AG81" s="19" t="str">
        <f aca="false">IF(OR(I81="",I81&lt;17,O81=""),"",O81+480)</f>
        <v/>
      </c>
      <c r="AH81" s="19" t="str">
        <f aca="false">IF(OR(I81="",I81&lt;18,O81=""),"",O81+510)</f>
        <v/>
      </c>
      <c r="AI81" s="19" t="str">
        <f aca="false">IF(OR(I81="",I81&lt;19,O81=""),"",O81+540)</f>
        <v/>
      </c>
      <c r="AJ81" s="19" t="str">
        <f aca="false">IF(OR(I81="",I81&lt;20,O81=""),"",O81+570)</f>
        <v/>
      </c>
      <c r="AK81" s="19" t="str">
        <f aca="false">IF(OR(I81="",I81&lt;21,O81=""),"",O81+600)</f>
        <v/>
      </c>
      <c r="AL81" s="19" t="str">
        <f aca="false">IF(OR(I81="",I81&lt;22,O81=""),"",O81+630)</f>
        <v/>
      </c>
      <c r="AM81" s="19" t="str">
        <f aca="false">IF(OR(I81="",I81&lt;23,O81=""),"",O81+660)</f>
        <v/>
      </c>
      <c r="AN81" s="19" t="str">
        <f aca="false">IF(OR(I81="",I81&lt;24,O81=""),"",O81+690)</f>
        <v/>
      </c>
      <c r="AO81" s="15" t="str">
        <f aca="false">IF(J81="","",COUNTIF(Q81:AN81,TRUE())*J81)</f>
        <v/>
      </c>
      <c r="AP81" s="15" t="str">
        <f aca="false">IF(K81="","",K81-AO81)</f>
        <v/>
      </c>
      <c r="AQ81" s="15" t="str">
        <f aca="false">IF(K81="","",K81-F81-IF(N81="",0,N81))</f>
        <v/>
      </c>
    </row>
    <row r="82" customFormat="false" ht="15" hidden="false" customHeight="false" outlineLevel="0" collapsed="false">
      <c r="A82" s="4"/>
      <c r="B82" s="4"/>
      <c r="C82" s="4"/>
      <c r="D82" s="5"/>
      <c r="E82" s="5"/>
      <c r="F82" s="6"/>
      <c r="G82" s="4"/>
      <c r="H82" s="4"/>
      <c r="I82" s="4"/>
      <c r="J82" s="6"/>
      <c r="K82" s="7" t="str">
        <f aca="false">IF(OR(I82="",J82=""),"",I82*J82)</f>
        <v/>
      </c>
      <c r="L82" s="4"/>
      <c r="M82" s="8"/>
      <c r="N82" s="7" t="str">
        <f aca="false">IF(OR(L82="",M82="",K82=""),"",IF(L82="GANANCIA",(K82-F82)*M82,IF(L82="BRUTO",K82*M82,"")))</f>
        <v/>
      </c>
      <c r="O82" s="9" t="str">
        <f aca="false">IF(D82="","",D82+30)</f>
        <v/>
      </c>
      <c r="P82" s="10" t="str">
        <f aca="false">IF(I82="","",IF(COUNTIF(Q82:AN82,TRUE())&gt;=I82,"PAGADO",IF(COUNTIF(Q82:AN82,TRUE())&gt;0,"PARCIAL","VIGENTE")))</f>
        <v/>
      </c>
      <c r="Q82" s="11" t="str">
        <f aca="false">IF(OR(I82="",I82&lt;1,O82=""),"",O82+0)</f>
        <v/>
      </c>
      <c r="R82" s="11" t="str">
        <f aca="false">IF(OR(I82="",I82&lt;2,O82=""),"",O82+30)</f>
        <v/>
      </c>
      <c r="S82" s="11" t="str">
        <f aca="false">IF(OR(I82="",I82&lt;3,O82=""),"",O82+60)</f>
        <v/>
      </c>
      <c r="T82" s="11" t="str">
        <f aca="false">IF(OR(I82="",I82&lt;4,O82=""),"",O82+90)</f>
        <v/>
      </c>
      <c r="U82" s="11" t="str">
        <f aca="false">IF(OR(I82="",I82&lt;5,O82=""),"",O82+120)</f>
        <v/>
      </c>
      <c r="V82" s="11" t="str">
        <f aca="false">IF(OR(I82="",I82&lt;6,O82=""),"",O82+150)</f>
        <v/>
      </c>
      <c r="W82" s="11" t="str">
        <f aca="false">IF(OR(I82="",I82&lt;7,O82=""),"",O82+180)</f>
        <v/>
      </c>
      <c r="X82" s="11" t="str">
        <f aca="false">IF(OR(I82="",I82&lt;8,O82=""),"",O82+210)</f>
        <v/>
      </c>
      <c r="Y82" s="11" t="str">
        <f aca="false">IF(OR(I82="",I82&lt;9,O82=""),"",O82+240)</f>
        <v/>
      </c>
      <c r="Z82" s="11" t="str">
        <f aca="false">IF(OR(I82="",I82&lt;10,O82=""),"",O82+270)</f>
        <v/>
      </c>
      <c r="AA82" s="11" t="str">
        <f aca="false">IF(OR(I82="",I82&lt;11,O82=""),"",O82+300)</f>
        <v/>
      </c>
      <c r="AB82" s="11" t="str">
        <f aca="false">IF(OR(I82="",I82&lt;12,O82=""),"",O82+330)</f>
        <v/>
      </c>
      <c r="AC82" s="11" t="str">
        <f aca="false">IF(OR(I82="",I82&lt;13,O82=""),"",O82+360)</f>
        <v/>
      </c>
      <c r="AD82" s="11" t="str">
        <f aca="false">IF(OR(I82="",I82&lt;14,O82=""),"",O82+390)</f>
        <v/>
      </c>
      <c r="AE82" s="11" t="str">
        <f aca="false">IF(OR(I82="",I82&lt;15,O82=""),"",O82+420)</f>
        <v/>
      </c>
      <c r="AF82" s="11" t="str">
        <f aca="false">IF(OR(I82="",I82&lt;16,O82=""),"",O82+450)</f>
        <v/>
      </c>
      <c r="AG82" s="11" t="str">
        <f aca="false">IF(OR(I82="",I82&lt;17,O82=""),"",O82+480)</f>
        <v/>
      </c>
      <c r="AH82" s="11" t="str">
        <f aca="false">IF(OR(I82="",I82&lt;18,O82=""),"",O82+510)</f>
        <v/>
      </c>
      <c r="AI82" s="11" t="str">
        <f aca="false">IF(OR(I82="",I82&lt;19,O82=""),"",O82+540)</f>
        <v/>
      </c>
      <c r="AJ82" s="11" t="str">
        <f aca="false">IF(OR(I82="",I82&lt;20,O82=""),"",O82+570)</f>
        <v/>
      </c>
      <c r="AK82" s="11" t="str">
        <f aca="false">IF(OR(I82="",I82&lt;21,O82=""),"",O82+600)</f>
        <v/>
      </c>
      <c r="AL82" s="11" t="str">
        <f aca="false">IF(OR(I82="",I82&lt;22,O82=""),"",O82+630)</f>
        <v/>
      </c>
      <c r="AM82" s="11" t="str">
        <f aca="false">IF(OR(I82="",I82&lt;23,O82=""),"",O82+660)</f>
        <v/>
      </c>
      <c r="AN82" s="11" t="str">
        <f aca="false">IF(OR(I82="",I82&lt;24,O82=""),"",O82+690)</f>
        <v/>
      </c>
      <c r="AO82" s="7" t="str">
        <f aca="false">IF(J82="","",COUNTIF(Q82:AN82,TRUE())*J82)</f>
        <v/>
      </c>
      <c r="AP82" s="7" t="str">
        <f aca="false">IF(K82="","",K82-AO82)</f>
        <v/>
      </c>
      <c r="AQ82" s="7" t="str">
        <f aca="false">IF(K82="","",K82-F82-IF(N82="",0,N82))</f>
        <v/>
      </c>
    </row>
    <row r="83" customFormat="false" ht="15" hidden="false" customHeight="false" outlineLevel="0" collapsed="false">
      <c r="A83" s="12"/>
      <c r="B83" s="12"/>
      <c r="C83" s="12"/>
      <c r="D83" s="13"/>
      <c r="E83" s="13"/>
      <c r="F83" s="14"/>
      <c r="G83" s="12"/>
      <c r="H83" s="12"/>
      <c r="I83" s="12"/>
      <c r="J83" s="14"/>
      <c r="K83" s="15" t="str">
        <f aca="false">IF(OR(I83="",J83=""),"",I83*J83)</f>
        <v/>
      </c>
      <c r="L83" s="12"/>
      <c r="M83" s="16"/>
      <c r="N83" s="15" t="str">
        <f aca="false">IF(OR(L83="",M83="",K83=""),"",IF(L83="GANANCIA",(K83-F83)*M83,IF(L83="BRUTO",K83*M83,"")))</f>
        <v/>
      </c>
      <c r="O83" s="17" t="str">
        <f aca="false">IF(D83="","",D83+30)</f>
        <v/>
      </c>
      <c r="P83" s="18" t="str">
        <f aca="false">IF(I83="","",IF(COUNTIF(Q83:AN83,TRUE())&gt;=I83,"PAGADO",IF(COUNTIF(Q83:AN83,TRUE())&gt;0,"PARCIAL","VIGENTE")))</f>
        <v/>
      </c>
      <c r="Q83" s="19" t="str">
        <f aca="false">IF(OR(I83="",I83&lt;1,O83=""),"",O83+0)</f>
        <v/>
      </c>
      <c r="R83" s="19" t="str">
        <f aca="false">IF(OR(I83="",I83&lt;2,O83=""),"",O83+30)</f>
        <v/>
      </c>
      <c r="S83" s="19" t="str">
        <f aca="false">IF(OR(I83="",I83&lt;3,O83=""),"",O83+60)</f>
        <v/>
      </c>
      <c r="T83" s="19" t="str">
        <f aca="false">IF(OR(I83="",I83&lt;4,O83=""),"",O83+90)</f>
        <v/>
      </c>
      <c r="U83" s="19" t="str">
        <f aca="false">IF(OR(I83="",I83&lt;5,O83=""),"",O83+120)</f>
        <v/>
      </c>
      <c r="V83" s="19" t="str">
        <f aca="false">IF(OR(I83="",I83&lt;6,O83=""),"",O83+150)</f>
        <v/>
      </c>
      <c r="W83" s="19" t="str">
        <f aca="false">IF(OR(I83="",I83&lt;7,O83=""),"",O83+180)</f>
        <v/>
      </c>
      <c r="X83" s="19" t="str">
        <f aca="false">IF(OR(I83="",I83&lt;8,O83=""),"",O83+210)</f>
        <v/>
      </c>
      <c r="Y83" s="19" t="str">
        <f aca="false">IF(OR(I83="",I83&lt;9,O83=""),"",O83+240)</f>
        <v/>
      </c>
      <c r="Z83" s="19" t="str">
        <f aca="false">IF(OR(I83="",I83&lt;10,O83=""),"",O83+270)</f>
        <v/>
      </c>
      <c r="AA83" s="19" t="str">
        <f aca="false">IF(OR(I83="",I83&lt;11,O83=""),"",O83+300)</f>
        <v/>
      </c>
      <c r="AB83" s="19" t="str">
        <f aca="false">IF(OR(I83="",I83&lt;12,O83=""),"",O83+330)</f>
        <v/>
      </c>
      <c r="AC83" s="19" t="str">
        <f aca="false">IF(OR(I83="",I83&lt;13,O83=""),"",O83+360)</f>
        <v/>
      </c>
      <c r="AD83" s="19" t="str">
        <f aca="false">IF(OR(I83="",I83&lt;14,O83=""),"",O83+390)</f>
        <v/>
      </c>
      <c r="AE83" s="19" t="str">
        <f aca="false">IF(OR(I83="",I83&lt;15,O83=""),"",O83+420)</f>
        <v/>
      </c>
      <c r="AF83" s="19" t="str">
        <f aca="false">IF(OR(I83="",I83&lt;16,O83=""),"",O83+450)</f>
        <v/>
      </c>
      <c r="AG83" s="19" t="str">
        <f aca="false">IF(OR(I83="",I83&lt;17,O83=""),"",O83+480)</f>
        <v/>
      </c>
      <c r="AH83" s="19" t="str">
        <f aca="false">IF(OR(I83="",I83&lt;18,O83=""),"",O83+510)</f>
        <v/>
      </c>
      <c r="AI83" s="19" t="str">
        <f aca="false">IF(OR(I83="",I83&lt;19,O83=""),"",O83+540)</f>
        <v/>
      </c>
      <c r="AJ83" s="19" t="str">
        <f aca="false">IF(OR(I83="",I83&lt;20,O83=""),"",O83+570)</f>
        <v/>
      </c>
      <c r="AK83" s="19" t="str">
        <f aca="false">IF(OR(I83="",I83&lt;21,O83=""),"",O83+600)</f>
        <v/>
      </c>
      <c r="AL83" s="19" t="str">
        <f aca="false">IF(OR(I83="",I83&lt;22,O83=""),"",O83+630)</f>
        <v/>
      </c>
      <c r="AM83" s="19" t="str">
        <f aca="false">IF(OR(I83="",I83&lt;23,O83=""),"",O83+660)</f>
        <v/>
      </c>
      <c r="AN83" s="19" t="str">
        <f aca="false">IF(OR(I83="",I83&lt;24,O83=""),"",O83+690)</f>
        <v/>
      </c>
      <c r="AO83" s="15" t="str">
        <f aca="false">IF(J83="","",COUNTIF(Q83:AN83,TRUE())*J83)</f>
        <v/>
      </c>
      <c r="AP83" s="15" t="str">
        <f aca="false">IF(K83="","",K83-AO83)</f>
        <v/>
      </c>
      <c r="AQ83" s="15" t="str">
        <f aca="false">IF(K83="","",K83-F83-IF(N83="",0,N83))</f>
        <v/>
      </c>
    </row>
    <row r="84" customFormat="false" ht="15" hidden="false" customHeight="false" outlineLevel="0" collapsed="false">
      <c r="A84" s="4"/>
      <c r="B84" s="4"/>
      <c r="C84" s="4"/>
      <c r="D84" s="5"/>
      <c r="E84" s="5"/>
      <c r="F84" s="6"/>
      <c r="G84" s="4"/>
      <c r="H84" s="4"/>
      <c r="I84" s="4"/>
      <c r="J84" s="6"/>
      <c r="K84" s="7" t="str">
        <f aca="false">IF(OR(I84="",J84=""),"",I84*J84)</f>
        <v/>
      </c>
      <c r="L84" s="4"/>
      <c r="M84" s="8"/>
      <c r="N84" s="7" t="str">
        <f aca="false">IF(OR(L84="",M84="",K84=""),"",IF(L84="GANANCIA",(K84-F84)*M84,IF(L84="BRUTO",K84*M84,"")))</f>
        <v/>
      </c>
      <c r="O84" s="9" t="str">
        <f aca="false">IF(D84="","",D84+30)</f>
        <v/>
      </c>
      <c r="P84" s="10" t="str">
        <f aca="false">IF(I84="","",IF(COUNTIF(Q84:AN84,TRUE())&gt;=I84,"PAGADO",IF(COUNTIF(Q84:AN84,TRUE())&gt;0,"PARCIAL","VIGENTE")))</f>
        <v/>
      </c>
      <c r="Q84" s="11" t="str">
        <f aca="false">IF(OR(I84="",I84&lt;1,O84=""),"",O84+0)</f>
        <v/>
      </c>
      <c r="R84" s="11" t="str">
        <f aca="false">IF(OR(I84="",I84&lt;2,O84=""),"",O84+30)</f>
        <v/>
      </c>
      <c r="S84" s="11" t="str">
        <f aca="false">IF(OR(I84="",I84&lt;3,O84=""),"",O84+60)</f>
        <v/>
      </c>
      <c r="T84" s="11" t="str">
        <f aca="false">IF(OR(I84="",I84&lt;4,O84=""),"",O84+90)</f>
        <v/>
      </c>
      <c r="U84" s="11" t="str">
        <f aca="false">IF(OR(I84="",I84&lt;5,O84=""),"",O84+120)</f>
        <v/>
      </c>
      <c r="V84" s="11" t="str">
        <f aca="false">IF(OR(I84="",I84&lt;6,O84=""),"",O84+150)</f>
        <v/>
      </c>
      <c r="W84" s="11" t="str">
        <f aca="false">IF(OR(I84="",I84&lt;7,O84=""),"",O84+180)</f>
        <v/>
      </c>
      <c r="X84" s="11" t="str">
        <f aca="false">IF(OR(I84="",I84&lt;8,O84=""),"",O84+210)</f>
        <v/>
      </c>
      <c r="Y84" s="11" t="str">
        <f aca="false">IF(OR(I84="",I84&lt;9,O84=""),"",O84+240)</f>
        <v/>
      </c>
      <c r="Z84" s="11" t="str">
        <f aca="false">IF(OR(I84="",I84&lt;10,O84=""),"",O84+270)</f>
        <v/>
      </c>
      <c r="AA84" s="11" t="str">
        <f aca="false">IF(OR(I84="",I84&lt;11,O84=""),"",O84+300)</f>
        <v/>
      </c>
      <c r="AB84" s="11" t="str">
        <f aca="false">IF(OR(I84="",I84&lt;12,O84=""),"",O84+330)</f>
        <v/>
      </c>
      <c r="AC84" s="11" t="str">
        <f aca="false">IF(OR(I84="",I84&lt;13,O84=""),"",O84+360)</f>
        <v/>
      </c>
      <c r="AD84" s="11" t="str">
        <f aca="false">IF(OR(I84="",I84&lt;14,O84=""),"",O84+390)</f>
        <v/>
      </c>
      <c r="AE84" s="11" t="str">
        <f aca="false">IF(OR(I84="",I84&lt;15,O84=""),"",O84+420)</f>
        <v/>
      </c>
      <c r="AF84" s="11" t="str">
        <f aca="false">IF(OR(I84="",I84&lt;16,O84=""),"",O84+450)</f>
        <v/>
      </c>
      <c r="AG84" s="11" t="str">
        <f aca="false">IF(OR(I84="",I84&lt;17,O84=""),"",O84+480)</f>
        <v/>
      </c>
      <c r="AH84" s="11" t="str">
        <f aca="false">IF(OR(I84="",I84&lt;18,O84=""),"",O84+510)</f>
        <v/>
      </c>
      <c r="AI84" s="11" t="str">
        <f aca="false">IF(OR(I84="",I84&lt;19,O84=""),"",O84+540)</f>
        <v/>
      </c>
      <c r="AJ84" s="11" t="str">
        <f aca="false">IF(OR(I84="",I84&lt;20,O84=""),"",O84+570)</f>
        <v/>
      </c>
      <c r="AK84" s="11" t="str">
        <f aca="false">IF(OR(I84="",I84&lt;21,O84=""),"",O84+600)</f>
        <v/>
      </c>
      <c r="AL84" s="11" t="str">
        <f aca="false">IF(OR(I84="",I84&lt;22,O84=""),"",O84+630)</f>
        <v/>
      </c>
      <c r="AM84" s="11" t="str">
        <f aca="false">IF(OR(I84="",I84&lt;23,O84=""),"",O84+660)</f>
        <v/>
      </c>
      <c r="AN84" s="11" t="str">
        <f aca="false">IF(OR(I84="",I84&lt;24,O84=""),"",O84+690)</f>
        <v/>
      </c>
      <c r="AO84" s="7" t="str">
        <f aca="false">IF(J84="","",COUNTIF(Q84:AN84,TRUE())*J84)</f>
        <v/>
      </c>
      <c r="AP84" s="7" t="str">
        <f aca="false">IF(K84="","",K84-AO84)</f>
        <v/>
      </c>
      <c r="AQ84" s="7" t="str">
        <f aca="false">IF(K84="","",K84-F84-IF(N84="",0,N84))</f>
        <v/>
      </c>
    </row>
    <row r="85" customFormat="false" ht="15" hidden="false" customHeight="false" outlineLevel="0" collapsed="false">
      <c r="A85" s="12"/>
      <c r="B85" s="12"/>
      <c r="C85" s="12"/>
      <c r="D85" s="13"/>
      <c r="E85" s="13"/>
      <c r="F85" s="14"/>
      <c r="G85" s="12"/>
      <c r="H85" s="12"/>
      <c r="I85" s="12"/>
      <c r="J85" s="14"/>
      <c r="K85" s="15" t="str">
        <f aca="false">IF(OR(I85="",J85=""),"",I85*J85)</f>
        <v/>
      </c>
      <c r="L85" s="12"/>
      <c r="M85" s="16"/>
      <c r="N85" s="15" t="str">
        <f aca="false">IF(OR(L85="",M85="",K85=""),"",IF(L85="GANANCIA",(K85-F85)*M85,IF(L85="BRUTO",K85*M85,"")))</f>
        <v/>
      </c>
      <c r="O85" s="17" t="str">
        <f aca="false">IF(D85="","",D85+30)</f>
        <v/>
      </c>
      <c r="P85" s="18" t="str">
        <f aca="false">IF(I85="","",IF(COUNTIF(Q85:AN85,TRUE())&gt;=I85,"PAGADO",IF(COUNTIF(Q85:AN85,TRUE())&gt;0,"PARCIAL","VIGENTE")))</f>
        <v/>
      </c>
      <c r="Q85" s="19" t="str">
        <f aca="false">IF(OR(I85="",I85&lt;1,O85=""),"",O85+0)</f>
        <v/>
      </c>
      <c r="R85" s="19" t="str">
        <f aca="false">IF(OR(I85="",I85&lt;2,O85=""),"",O85+30)</f>
        <v/>
      </c>
      <c r="S85" s="19" t="str">
        <f aca="false">IF(OR(I85="",I85&lt;3,O85=""),"",O85+60)</f>
        <v/>
      </c>
      <c r="T85" s="19" t="str">
        <f aca="false">IF(OR(I85="",I85&lt;4,O85=""),"",O85+90)</f>
        <v/>
      </c>
      <c r="U85" s="19" t="str">
        <f aca="false">IF(OR(I85="",I85&lt;5,O85=""),"",O85+120)</f>
        <v/>
      </c>
      <c r="V85" s="19" t="str">
        <f aca="false">IF(OR(I85="",I85&lt;6,O85=""),"",O85+150)</f>
        <v/>
      </c>
      <c r="W85" s="19" t="str">
        <f aca="false">IF(OR(I85="",I85&lt;7,O85=""),"",O85+180)</f>
        <v/>
      </c>
      <c r="X85" s="19" t="str">
        <f aca="false">IF(OR(I85="",I85&lt;8,O85=""),"",O85+210)</f>
        <v/>
      </c>
      <c r="Y85" s="19" t="str">
        <f aca="false">IF(OR(I85="",I85&lt;9,O85=""),"",O85+240)</f>
        <v/>
      </c>
      <c r="Z85" s="19" t="str">
        <f aca="false">IF(OR(I85="",I85&lt;10,O85=""),"",O85+270)</f>
        <v/>
      </c>
      <c r="AA85" s="19" t="str">
        <f aca="false">IF(OR(I85="",I85&lt;11,O85=""),"",O85+300)</f>
        <v/>
      </c>
      <c r="AB85" s="19" t="str">
        <f aca="false">IF(OR(I85="",I85&lt;12,O85=""),"",O85+330)</f>
        <v/>
      </c>
      <c r="AC85" s="19" t="str">
        <f aca="false">IF(OR(I85="",I85&lt;13,O85=""),"",O85+360)</f>
        <v/>
      </c>
      <c r="AD85" s="19" t="str">
        <f aca="false">IF(OR(I85="",I85&lt;14,O85=""),"",O85+390)</f>
        <v/>
      </c>
      <c r="AE85" s="19" t="str">
        <f aca="false">IF(OR(I85="",I85&lt;15,O85=""),"",O85+420)</f>
        <v/>
      </c>
      <c r="AF85" s="19" t="str">
        <f aca="false">IF(OR(I85="",I85&lt;16,O85=""),"",O85+450)</f>
        <v/>
      </c>
      <c r="AG85" s="19" t="str">
        <f aca="false">IF(OR(I85="",I85&lt;17,O85=""),"",O85+480)</f>
        <v/>
      </c>
      <c r="AH85" s="19" t="str">
        <f aca="false">IF(OR(I85="",I85&lt;18,O85=""),"",O85+510)</f>
        <v/>
      </c>
      <c r="AI85" s="19" t="str">
        <f aca="false">IF(OR(I85="",I85&lt;19,O85=""),"",O85+540)</f>
        <v/>
      </c>
      <c r="AJ85" s="19" t="str">
        <f aca="false">IF(OR(I85="",I85&lt;20,O85=""),"",O85+570)</f>
        <v/>
      </c>
      <c r="AK85" s="19" t="str">
        <f aca="false">IF(OR(I85="",I85&lt;21,O85=""),"",O85+600)</f>
        <v/>
      </c>
      <c r="AL85" s="19" t="str">
        <f aca="false">IF(OR(I85="",I85&lt;22,O85=""),"",O85+630)</f>
        <v/>
      </c>
      <c r="AM85" s="19" t="str">
        <f aca="false">IF(OR(I85="",I85&lt;23,O85=""),"",O85+660)</f>
        <v/>
      </c>
      <c r="AN85" s="19" t="str">
        <f aca="false">IF(OR(I85="",I85&lt;24,O85=""),"",O85+690)</f>
        <v/>
      </c>
      <c r="AO85" s="15" t="str">
        <f aca="false">IF(J85="","",COUNTIF(Q85:AN85,TRUE())*J85)</f>
        <v/>
      </c>
      <c r="AP85" s="15" t="str">
        <f aca="false">IF(K85="","",K85-AO85)</f>
        <v/>
      </c>
      <c r="AQ85" s="15" t="str">
        <f aca="false">IF(K85="","",K85-F85-IF(N85="",0,N85))</f>
        <v/>
      </c>
    </row>
    <row r="86" customFormat="false" ht="15" hidden="false" customHeight="false" outlineLevel="0" collapsed="false">
      <c r="A86" s="4"/>
      <c r="B86" s="4"/>
      <c r="C86" s="4"/>
      <c r="D86" s="5"/>
      <c r="E86" s="5"/>
      <c r="F86" s="6"/>
      <c r="G86" s="4"/>
      <c r="H86" s="4"/>
      <c r="I86" s="4"/>
      <c r="J86" s="6"/>
      <c r="K86" s="7" t="str">
        <f aca="false">IF(OR(I86="",J86=""),"",I86*J86)</f>
        <v/>
      </c>
      <c r="L86" s="4"/>
      <c r="M86" s="8"/>
      <c r="N86" s="7" t="str">
        <f aca="false">IF(OR(L86="",M86="",K86=""),"",IF(L86="GANANCIA",(K86-F86)*M86,IF(L86="BRUTO",K86*M86,"")))</f>
        <v/>
      </c>
      <c r="O86" s="9" t="str">
        <f aca="false">IF(D86="","",D86+30)</f>
        <v/>
      </c>
      <c r="P86" s="10" t="str">
        <f aca="false">IF(I86="","",IF(COUNTIF(Q86:AN86,TRUE())&gt;=I86,"PAGADO",IF(COUNTIF(Q86:AN86,TRUE())&gt;0,"PARCIAL","VIGENTE")))</f>
        <v/>
      </c>
      <c r="Q86" s="11" t="str">
        <f aca="false">IF(OR(I86="",I86&lt;1,O86=""),"",O86+0)</f>
        <v/>
      </c>
      <c r="R86" s="11" t="str">
        <f aca="false">IF(OR(I86="",I86&lt;2,O86=""),"",O86+30)</f>
        <v/>
      </c>
      <c r="S86" s="11" t="str">
        <f aca="false">IF(OR(I86="",I86&lt;3,O86=""),"",O86+60)</f>
        <v/>
      </c>
      <c r="T86" s="11" t="str">
        <f aca="false">IF(OR(I86="",I86&lt;4,O86=""),"",O86+90)</f>
        <v/>
      </c>
      <c r="U86" s="11" t="str">
        <f aca="false">IF(OR(I86="",I86&lt;5,O86=""),"",O86+120)</f>
        <v/>
      </c>
      <c r="V86" s="11" t="str">
        <f aca="false">IF(OR(I86="",I86&lt;6,O86=""),"",O86+150)</f>
        <v/>
      </c>
      <c r="W86" s="11" t="str">
        <f aca="false">IF(OR(I86="",I86&lt;7,O86=""),"",O86+180)</f>
        <v/>
      </c>
      <c r="X86" s="11" t="str">
        <f aca="false">IF(OR(I86="",I86&lt;8,O86=""),"",O86+210)</f>
        <v/>
      </c>
      <c r="Y86" s="11" t="str">
        <f aca="false">IF(OR(I86="",I86&lt;9,O86=""),"",O86+240)</f>
        <v/>
      </c>
      <c r="Z86" s="11" t="str">
        <f aca="false">IF(OR(I86="",I86&lt;10,O86=""),"",O86+270)</f>
        <v/>
      </c>
      <c r="AA86" s="11" t="str">
        <f aca="false">IF(OR(I86="",I86&lt;11,O86=""),"",O86+300)</f>
        <v/>
      </c>
      <c r="AB86" s="11" t="str">
        <f aca="false">IF(OR(I86="",I86&lt;12,O86=""),"",O86+330)</f>
        <v/>
      </c>
      <c r="AC86" s="11" t="str">
        <f aca="false">IF(OR(I86="",I86&lt;13,O86=""),"",O86+360)</f>
        <v/>
      </c>
      <c r="AD86" s="11" t="str">
        <f aca="false">IF(OR(I86="",I86&lt;14,O86=""),"",O86+390)</f>
        <v/>
      </c>
      <c r="AE86" s="11" t="str">
        <f aca="false">IF(OR(I86="",I86&lt;15,O86=""),"",O86+420)</f>
        <v/>
      </c>
      <c r="AF86" s="11" t="str">
        <f aca="false">IF(OR(I86="",I86&lt;16,O86=""),"",O86+450)</f>
        <v/>
      </c>
      <c r="AG86" s="11" t="str">
        <f aca="false">IF(OR(I86="",I86&lt;17,O86=""),"",O86+480)</f>
        <v/>
      </c>
      <c r="AH86" s="11" t="str">
        <f aca="false">IF(OR(I86="",I86&lt;18,O86=""),"",O86+510)</f>
        <v/>
      </c>
      <c r="AI86" s="11" t="str">
        <f aca="false">IF(OR(I86="",I86&lt;19,O86=""),"",O86+540)</f>
        <v/>
      </c>
      <c r="AJ86" s="11" t="str">
        <f aca="false">IF(OR(I86="",I86&lt;20,O86=""),"",O86+570)</f>
        <v/>
      </c>
      <c r="AK86" s="11" t="str">
        <f aca="false">IF(OR(I86="",I86&lt;21,O86=""),"",O86+600)</f>
        <v/>
      </c>
      <c r="AL86" s="11" t="str">
        <f aca="false">IF(OR(I86="",I86&lt;22,O86=""),"",O86+630)</f>
        <v/>
      </c>
      <c r="AM86" s="11" t="str">
        <f aca="false">IF(OR(I86="",I86&lt;23,O86=""),"",O86+660)</f>
        <v/>
      </c>
      <c r="AN86" s="11" t="str">
        <f aca="false">IF(OR(I86="",I86&lt;24,O86=""),"",O86+690)</f>
        <v/>
      </c>
      <c r="AO86" s="7" t="str">
        <f aca="false">IF(J86="","",COUNTIF(Q86:AN86,TRUE())*J86)</f>
        <v/>
      </c>
      <c r="AP86" s="7" t="str">
        <f aca="false">IF(K86="","",K86-AO86)</f>
        <v/>
      </c>
      <c r="AQ86" s="7" t="str">
        <f aca="false">IF(K86="","",K86-F86-IF(N86="",0,N86))</f>
        <v/>
      </c>
    </row>
    <row r="87" customFormat="false" ht="15" hidden="false" customHeight="false" outlineLevel="0" collapsed="false">
      <c r="A87" s="12"/>
      <c r="B87" s="12"/>
      <c r="C87" s="12"/>
      <c r="D87" s="13"/>
      <c r="E87" s="13"/>
      <c r="F87" s="14"/>
      <c r="G87" s="12"/>
      <c r="H87" s="12"/>
      <c r="I87" s="12"/>
      <c r="J87" s="14"/>
      <c r="K87" s="15" t="str">
        <f aca="false">IF(OR(I87="",J87=""),"",I87*J87)</f>
        <v/>
      </c>
      <c r="L87" s="12"/>
      <c r="M87" s="16"/>
      <c r="N87" s="15" t="str">
        <f aca="false">IF(OR(L87="",M87="",K87=""),"",IF(L87="GANANCIA",(K87-F87)*M87,IF(L87="BRUTO",K87*M87,"")))</f>
        <v/>
      </c>
      <c r="O87" s="17" t="str">
        <f aca="false">IF(D87="","",D87+30)</f>
        <v/>
      </c>
      <c r="P87" s="18" t="str">
        <f aca="false">IF(I87="","",IF(COUNTIF(Q87:AN87,TRUE())&gt;=I87,"PAGADO",IF(COUNTIF(Q87:AN87,TRUE())&gt;0,"PARCIAL","VIGENTE")))</f>
        <v/>
      </c>
      <c r="Q87" s="19" t="str">
        <f aca="false">IF(OR(I87="",I87&lt;1,O87=""),"",O87+0)</f>
        <v/>
      </c>
      <c r="R87" s="19" t="str">
        <f aca="false">IF(OR(I87="",I87&lt;2,O87=""),"",O87+30)</f>
        <v/>
      </c>
      <c r="S87" s="19" t="str">
        <f aca="false">IF(OR(I87="",I87&lt;3,O87=""),"",O87+60)</f>
        <v/>
      </c>
      <c r="T87" s="19" t="str">
        <f aca="false">IF(OR(I87="",I87&lt;4,O87=""),"",O87+90)</f>
        <v/>
      </c>
      <c r="U87" s="19" t="str">
        <f aca="false">IF(OR(I87="",I87&lt;5,O87=""),"",O87+120)</f>
        <v/>
      </c>
      <c r="V87" s="19" t="str">
        <f aca="false">IF(OR(I87="",I87&lt;6,O87=""),"",O87+150)</f>
        <v/>
      </c>
      <c r="W87" s="19" t="str">
        <f aca="false">IF(OR(I87="",I87&lt;7,O87=""),"",O87+180)</f>
        <v/>
      </c>
      <c r="X87" s="19" t="str">
        <f aca="false">IF(OR(I87="",I87&lt;8,O87=""),"",O87+210)</f>
        <v/>
      </c>
      <c r="Y87" s="19" t="str">
        <f aca="false">IF(OR(I87="",I87&lt;9,O87=""),"",O87+240)</f>
        <v/>
      </c>
      <c r="Z87" s="19" t="str">
        <f aca="false">IF(OR(I87="",I87&lt;10,O87=""),"",O87+270)</f>
        <v/>
      </c>
      <c r="AA87" s="19" t="str">
        <f aca="false">IF(OR(I87="",I87&lt;11,O87=""),"",O87+300)</f>
        <v/>
      </c>
      <c r="AB87" s="19" t="str">
        <f aca="false">IF(OR(I87="",I87&lt;12,O87=""),"",O87+330)</f>
        <v/>
      </c>
      <c r="AC87" s="19" t="str">
        <f aca="false">IF(OR(I87="",I87&lt;13,O87=""),"",O87+360)</f>
        <v/>
      </c>
      <c r="AD87" s="19" t="str">
        <f aca="false">IF(OR(I87="",I87&lt;14,O87=""),"",O87+390)</f>
        <v/>
      </c>
      <c r="AE87" s="19" t="str">
        <f aca="false">IF(OR(I87="",I87&lt;15,O87=""),"",O87+420)</f>
        <v/>
      </c>
      <c r="AF87" s="19" t="str">
        <f aca="false">IF(OR(I87="",I87&lt;16,O87=""),"",O87+450)</f>
        <v/>
      </c>
      <c r="AG87" s="19" t="str">
        <f aca="false">IF(OR(I87="",I87&lt;17,O87=""),"",O87+480)</f>
        <v/>
      </c>
      <c r="AH87" s="19" t="str">
        <f aca="false">IF(OR(I87="",I87&lt;18,O87=""),"",O87+510)</f>
        <v/>
      </c>
      <c r="AI87" s="19" t="str">
        <f aca="false">IF(OR(I87="",I87&lt;19,O87=""),"",O87+540)</f>
        <v/>
      </c>
      <c r="AJ87" s="19" t="str">
        <f aca="false">IF(OR(I87="",I87&lt;20,O87=""),"",O87+570)</f>
        <v/>
      </c>
      <c r="AK87" s="19" t="str">
        <f aca="false">IF(OR(I87="",I87&lt;21,O87=""),"",O87+600)</f>
        <v/>
      </c>
      <c r="AL87" s="19" t="str">
        <f aca="false">IF(OR(I87="",I87&lt;22,O87=""),"",O87+630)</f>
        <v/>
      </c>
      <c r="AM87" s="19" t="str">
        <f aca="false">IF(OR(I87="",I87&lt;23,O87=""),"",O87+660)</f>
        <v/>
      </c>
      <c r="AN87" s="19" t="str">
        <f aca="false">IF(OR(I87="",I87&lt;24,O87=""),"",O87+690)</f>
        <v/>
      </c>
      <c r="AO87" s="15" t="str">
        <f aca="false">IF(J87="","",COUNTIF(Q87:AN87,TRUE())*J87)</f>
        <v/>
      </c>
      <c r="AP87" s="15" t="str">
        <f aca="false">IF(K87="","",K87-AO87)</f>
        <v/>
      </c>
      <c r="AQ87" s="15" t="str">
        <f aca="false">IF(K87="","",K87-F87-IF(N87="",0,N87))</f>
        <v/>
      </c>
    </row>
    <row r="88" customFormat="false" ht="15" hidden="false" customHeight="false" outlineLevel="0" collapsed="false">
      <c r="A88" s="4"/>
      <c r="B88" s="4"/>
      <c r="C88" s="4"/>
      <c r="D88" s="5"/>
      <c r="E88" s="5"/>
      <c r="F88" s="6"/>
      <c r="G88" s="4"/>
      <c r="H88" s="4"/>
      <c r="I88" s="4"/>
      <c r="J88" s="6"/>
      <c r="K88" s="7" t="str">
        <f aca="false">IF(OR(I88="",J88=""),"",I88*J88)</f>
        <v/>
      </c>
      <c r="L88" s="4"/>
      <c r="M88" s="8"/>
      <c r="N88" s="7" t="str">
        <f aca="false">IF(OR(L88="",M88="",K88=""),"",IF(L88="GANANCIA",(K88-F88)*M88,IF(L88="BRUTO",K88*M88,"")))</f>
        <v/>
      </c>
      <c r="O88" s="9" t="str">
        <f aca="false">IF(D88="","",D88+30)</f>
        <v/>
      </c>
      <c r="P88" s="10" t="str">
        <f aca="false">IF(I88="","",IF(COUNTIF(Q88:AN88,TRUE())&gt;=I88,"PAGADO",IF(COUNTIF(Q88:AN88,TRUE())&gt;0,"PARCIAL","VIGENTE")))</f>
        <v/>
      </c>
      <c r="Q88" s="11" t="str">
        <f aca="false">IF(OR(I88="",I88&lt;1,O88=""),"",O88+0)</f>
        <v/>
      </c>
      <c r="R88" s="11" t="str">
        <f aca="false">IF(OR(I88="",I88&lt;2,O88=""),"",O88+30)</f>
        <v/>
      </c>
      <c r="S88" s="11" t="str">
        <f aca="false">IF(OR(I88="",I88&lt;3,O88=""),"",O88+60)</f>
        <v/>
      </c>
      <c r="T88" s="11" t="str">
        <f aca="false">IF(OR(I88="",I88&lt;4,O88=""),"",O88+90)</f>
        <v/>
      </c>
      <c r="U88" s="11" t="str">
        <f aca="false">IF(OR(I88="",I88&lt;5,O88=""),"",O88+120)</f>
        <v/>
      </c>
      <c r="V88" s="11" t="str">
        <f aca="false">IF(OR(I88="",I88&lt;6,O88=""),"",O88+150)</f>
        <v/>
      </c>
      <c r="W88" s="11" t="str">
        <f aca="false">IF(OR(I88="",I88&lt;7,O88=""),"",O88+180)</f>
        <v/>
      </c>
      <c r="X88" s="11" t="str">
        <f aca="false">IF(OR(I88="",I88&lt;8,O88=""),"",O88+210)</f>
        <v/>
      </c>
      <c r="Y88" s="11" t="str">
        <f aca="false">IF(OR(I88="",I88&lt;9,O88=""),"",O88+240)</f>
        <v/>
      </c>
      <c r="Z88" s="11" t="str">
        <f aca="false">IF(OR(I88="",I88&lt;10,O88=""),"",O88+270)</f>
        <v/>
      </c>
      <c r="AA88" s="11" t="str">
        <f aca="false">IF(OR(I88="",I88&lt;11,O88=""),"",O88+300)</f>
        <v/>
      </c>
      <c r="AB88" s="11" t="str">
        <f aca="false">IF(OR(I88="",I88&lt;12,O88=""),"",O88+330)</f>
        <v/>
      </c>
      <c r="AC88" s="11" t="str">
        <f aca="false">IF(OR(I88="",I88&lt;13,O88=""),"",O88+360)</f>
        <v/>
      </c>
      <c r="AD88" s="11" t="str">
        <f aca="false">IF(OR(I88="",I88&lt;14,O88=""),"",O88+390)</f>
        <v/>
      </c>
      <c r="AE88" s="11" t="str">
        <f aca="false">IF(OR(I88="",I88&lt;15,O88=""),"",O88+420)</f>
        <v/>
      </c>
      <c r="AF88" s="11" t="str">
        <f aca="false">IF(OR(I88="",I88&lt;16,O88=""),"",O88+450)</f>
        <v/>
      </c>
      <c r="AG88" s="11" t="str">
        <f aca="false">IF(OR(I88="",I88&lt;17,O88=""),"",O88+480)</f>
        <v/>
      </c>
      <c r="AH88" s="11" t="str">
        <f aca="false">IF(OR(I88="",I88&lt;18,O88=""),"",O88+510)</f>
        <v/>
      </c>
      <c r="AI88" s="11" t="str">
        <f aca="false">IF(OR(I88="",I88&lt;19,O88=""),"",O88+540)</f>
        <v/>
      </c>
      <c r="AJ88" s="11" t="str">
        <f aca="false">IF(OR(I88="",I88&lt;20,O88=""),"",O88+570)</f>
        <v/>
      </c>
      <c r="AK88" s="11" t="str">
        <f aca="false">IF(OR(I88="",I88&lt;21,O88=""),"",O88+600)</f>
        <v/>
      </c>
      <c r="AL88" s="11" t="str">
        <f aca="false">IF(OR(I88="",I88&lt;22,O88=""),"",O88+630)</f>
        <v/>
      </c>
      <c r="AM88" s="11" t="str">
        <f aca="false">IF(OR(I88="",I88&lt;23,O88=""),"",O88+660)</f>
        <v/>
      </c>
      <c r="AN88" s="11" t="str">
        <f aca="false">IF(OR(I88="",I88&lt;24,O88=""),"",O88+690)</f>
        <v/>
      </c>
      <c r="AO88" s="7" t="str">
        <f aca="false">IF(J88="","",COUNTIF(Q88:AN88,TRUE())*J88)</f>
        <v/>
      </c>
      <c r="AP88" s="7" t="str">
        <f aca="false">IF(K88="","",K88-AO88)</f>
        <v/>
      </c>
      <c r="AQ88" s="7" t="str">
        <f aca="false">IF(K88="","",K88-F88-IF(N88="",0,N88))</f>
        <v/>
      </c>
    </row>
    <row r="89" customFormat="false" ht="15" hidden="false" customHeight="false" outlineLevel="0" collapsed="false">
      <c r="A89" s="12"/>
      <c r="B89" s="12"/>
      <c r="C89" s="12"/>
      <c r="D89" s="13"/>
      <c r="E89" s="13"/>
      <c r="F89" s="14"/>
      <c r="G89" s="12"/>
      <c r="H89" s="12"/>
      <c r="I89" s="12"/>
      <c r="J89" s="14"/>
      <c r="K89" s="15" t="str">
        <f aca="false">IF(OR(I89="",J89=""),"",I89*J89)</f>
        <v/>
      </c>
      <c r="L89" s="12"/>
      <c r="M89" s="16"/>
      <c r="N89" s="15" t="str">
        <f aca="false">IF(OR(L89="",M89="",K89=""),"",IF(L89="GANANCIA",(K89-F89)*M89,IF(L89="BRUTO",K89*M89,"")))</f>
        <v/>
      </c>
      <c r="O89" s="17" t="str">
        <f aca="false">IF(D89="","",D89+30)</f>
        <v/>
      </c>
      <c r="P89" s="18" t="str">
        <f aca="false">IF(I89="","",IF(COUNTIF(Q89:AN89,TRUE())&gt;=I89,"PAGADO",IF(COUNTIF(Q89:AN89,TRUE())&gt;0,"PARCIAL","VIGENTE")))</f>
        <v/>
      </c>
      <c r="Q89" s="19" t="str">
        <f aca="false">IF(OR(I89="",I89&lt;1,O89=""),"",O89+0)</f>
        <v/>
      </c>
      <c r="R89" s="19" t="str">
        <f aca="false">IF(OR(I89="",I89&lt;2,O89=""),"",O89+30)</f>
        <v/>
      </c>
      <c r="S89" s="19" t="str">
        <f aca="false">IF(OR(I89="",I89&lt;3,O89=""),"",O89+60)</f>
        <v/>
      </c>
      <c r="T89" s="19" t="str">
        <f aca="false">IF(OR(I89="",I89&lt;4,O89=""),"",O89+90)</f>
        <v/>
      </c>
      <c r="U89" s="19" t="str">
        <f aca="false">IF(OR(I89="",I89&lt;5,O89=""),"",O89+120)</f>
        <v/>
      </c>
      <c r="V89" s="19" t="str">
        <f aca="false">IF(OR(I89="",I89&lt;6,O89=""),"",O89+150)</f>
        <v/>
      </c>
      <c r="W89" s="19" t="str">
        <f aca="false">IF(OR(I89="",I89&lt;7,O89=""),"",O89+180)</f>
        <v/>
      </c>
      <c r="X89" s="19" t="str">
        <f aca="false">IF(OR(I89="",I89&lt;8,O89=""),"",O89+210)</f>
        <v/>
      </c>
      <c r="Y89" s="19" t="str">
        <f aca="false">IF(OR(I89="",I89&lt;9,O89=""),"",O89+240)</f>
        <v/>
      </c>
      <c r="Z89" s="19" t="str">
        <f aca="false">IF(OR(I89="",I89&lt;10,O89=""),"",O89+270)</f>
        <v/>
      </c>
      <c r="AA89" s="19" t="str">
        <f aca="false">IF(OR(I89="",I89&lt;11,O89=""),"",O89+300)</f>
        <v/>
      </c>
      <c r="AB89" s="19" t="str">
        <f aca="false">IF(OR(I89="",I89&lt;12,O89=""),"",O89+330)</f>
        <v/>
      </c>
      <c r="AC89" s="19" t="str">
        <f aca="false">IF(OR(I89="",I89&lt;13,O89=""),"",O89+360)</f>
        <v/>
      </c>
      <c r="AD89" s="19" t="str">
        <f aca="false">IF(OR(I89="",I89&lt;14,O89=""),"",O89+390)</f>
        <v/>
      </c>
      <c r="AE89" s="19" t="str">
        <f aca="false">IF(OR(I89="",I89&lt;15,O89=""),"",O89+420)</f>
        <v/>
      </c>
      <c r="AF89" s="19" t="str">
        <f aca="false">IF(OR(I89="",I89&lt;16,O89=""),"",O89+450)</f>
        <v/>
      </c>
      <c r="AG89" s="19" t="str">
        <f aca="false">IF(OR(I89="",I89&lt;17,O89=""),"",O89+480)</f>
        <v/>
      </c>
      <c r="AH89" s="19" t="str">
        <f aca="false">IF(OR(I89="",I89&lt;18,O89=""),"",O89+510)</f>
        <v/>
      </c>
      <c r="AI89" s="19" t="str">
        <f aca="false">IF(OR(I89="",I89&lt;19,O89=""),"",O89+540)</f>
        <v/>
      </c>
      <c r="AJ89" s="19" t="str">
        <f aca="false">IF(OR(I89="",I89&lt;20,O89=""),"",O89+570)</f>
        <v/>
      </c>
      <c r="AK89" s="19" t="str">
        <f aca="false">IF(OR(I89="",I89&lt;21,O89=""),"",O89+600)</f>
        <v/>
      </c>
      <c r="AL89" s="19" t="str">
        <f aca="false">IF(OR(I89="",I89&lt;22,O89=""),"",O89+630)</f>
        <v/>
      </c>
      <c r="AM89" s="19" t="str">
        <f aca="false">IF(OR(I89="",I89&lt;23,O89=""),"",O89+660)</f>
        <v/>
      </c>
      <c r="AN89" s="19" t="str">
        <f aca="false">IF(OR(I89="",I89&lt;24,O89=""),"",O89+690)</f>
        <v/>
      </c>
      <c r="AO89" s="15" t="str">
        <f aca="false">IF(J89="","",COUNTIF(Q89:AN89,TRUE())*J89)</f>
        <v/>
      </c>
      <c r="AP89" s="15" t="str">
        <f aca="false">IF(K89="","",K89-AO89)</f>
        <v/>
      </c>
      <c r="AQ89" s="15" t="str">
        <f aca="false">IF(K89="","",K89-F89-IF(N89="",0,N89))</f>
        <v/>
      </c>
    </row>
    <row r="90" customFormat="false" ht="15" hidden="false" customHeight="false" outlineLevel="0" collapsed="false">
      <c r="A90" s="4"/>
      <c r="B90" s="4"/>
      <c r="C90" s="4"/>
      <c r="D90" s="5"/>
      <c r="E90" s="5"/>
      <c r="F90" s="6"/>
      <c r="G90" s="4"/>
      <c r="H90" s="4"/>
      <c r="I90" s="4"/>
      <c r="J90" s="6"/>
      <c r="K90" s="7" t="str">
        <f aca="false">IF(OR(I90="",J90=""),"",I90*J90)</f>
        <v/>
      </c>
      <c r="L90" s="4"/>
      <c r="M90" s="8"/>
      <c r="N90" s="7" t="str">
        <f aca="false">IF(OR(L90="",M90="",K90=""),"",IF(L90="GANANCIA",(K90-F90)*M90,IF(L90="BRUTO",K90*M90,"")))</f>
        <v/>
      </c>
      <c r="O90" s="9" t="str">
        <f aca="false">IF(D90="","",D90+30)</f>
        <v/>
      </c>
      <c r="P90" s="10" t="str">
        <f aca="false">IF(I90="","",IF(COUNTIF(Q90:AN90,TRUE())&gt;=I90,"PAGADO",IF(COUNTIF(Q90:AN90,TRUE())&gt;0,"PARCIAL","VIGENTE")))</f>
        <v/>
      </c>
      <c r="Q90" s="11" t="str">
        <f aca="false">IF(OR(I90="",I90&lt;1,O90=""),"",O90+0)</f>
        <v/>
      </c>
      <c r="R90" s="11" t="str">
        <f aca="false">IF(OR(I90="",I90&lt;2,O90=""),"",O90+30)</f>
        <v/>
      </c>
      <c r="S90" s="11" t="str">
        <f aca="false">IF(OR(I90="",I90&lt;3,O90=""),"",O90+60)</f>
        <v/>
      </c>
      <c r="T90" s="11" t="str">
        <f aca="false">IF(OR(I90="",I90&lt;4,O90=""),"",O90+90)</f>
        <v/>
      </c>
      <c r="U90" s="11" t="str">
        <f aca="false">IF(OR(I90="",I90&lt;5,O90=""),"",O90+120)</f>
        <v/>
      </c>
      <c r="V90" s="11" t="str">
        <f aca="false">IF(OR(I90="",I90&lt;6,O90=""),"",O90+150)</f>
        <v/>
      </c>
      <c r="W90" s="11" t="str">
        <f aca="false">IF(OR(I90="",I90&lt;7,O90=""),"",O90+180)</f>
        <v/>
      </c>
      <c r="X90" s="11" t="str">
        <f aca="false">IF(OR(I90="",I90&lt;8,O90=""),"",O90+210)</f>
        <v/>
      </c>
      <c r="Y90" s="11" t="str">
        <f aca="false">IF(OR(I90="",I90&lt;9,O90=""),"",O90+240)</f>
        <v/>
      </c>
      <c r="Z90" s="11" t="str">
        <f aca="false">IF(OR(I90="",I90&lt;10,O90=""),"",O90+270)</f>
        <v/>
      </c>
      <c r="AA90" s="11" t="str">
        <f aca="false">IF(OR(I90="",I90&lt;11,O90=""),"",O90+300)</f>
        <v/>
      </c>
      <c r="AB90" s="11" t="str">
        <f aca="false">IF(OR(I90="",I90&lt;12,O90=""),"",O90+330)</f>
        <v/>
      </c>
      <c r="AC90" s="11" t="str">
        <f aca="false">IF(OR(I90="",I90&lt;13,O90=""),"",O90+360)</f>
        <v/>
      </c>
      <c r="AD90" s="11" t="str">
        <f aca="false">IF(OR(I90="",I90&lt;14,O90=""),"",O90+390)</f>
        <v/>
      </c>
      <c r="AE90" s="11" t="str">
        <f aca="false">IF(OR(I90="",I90&lt;15,O90=""),"",O90+420)</f>
        <v/>
      </c>
      <c r="AF90" s="11" t="str">
        <f aca="false">IF(OR(I90="",I90&lt;16,O90=""),"",O90+450)</f>
        <v/>
      </c>
      <c r="AG90" s="11" t="str">
        <f aca="false">IF(OR(I90="",I90&lt;17,O90=""),"",O90+480)</f>
        <v/>
      </c>
      <c r="AH90" s="11" t="str">
        <f aca="false">IF(OR(I90="",I90&lt;18,O90=""),"",O90+510)</f>
        <v/>
      </c>
      <c r="AI90" s="11" t="str">
        <f aca="false">IF(OR(I90="",I90&lt;19,O90=""),"",O90+540)</f>
        <v/>
      </c>
      <c r="AJ90" s="11" t="str">
        <f aca="false">IF(OR(I90="",I90&lt;20,O90=""),"",O90+570)</f>
        <v/>
      </c>
      <c r="AK90" s="11" t="str">
        <f aca="false">IF(OR(I90="",I90&lt;21,O90=""),"",O90+600)</f>
        <v/>
      </c>
      <c r="AL90" s="11" t="str">
        <f aca="false">IF(OR(I90="",I90&lt;22,O90=""),"",O90+630)</f>
        <v/>
      </c>
      <c r="AM90" s="11" t="str">
        <f aca="false">IF(OR(I90="",I90&lt;23,O90=""),"",O90+660)</f>
        <v/>
      </c>
      <c r="AN90" s="11" t="str">
        <f aca="false">IF(OR(I90="",I90&lt;24,O90=""),"",O90+690)</f>
        <v/>
      </c>
      <c r="AO90" s="7" t="str">
        <f aca="false">IF(J90="","",COUNTIF(Q90:AN90,TRUE())*J90)</f>
        <v/>
      </c>
      <c r="AP90" s="7" t="str">
        <f aca="false">IF(K90="","",K90-AO90)</f>
        <v/>
      </c>
      <c r="AQ90" s="7" t="str">
        <f aca="false">IF(K90="","",K90-F90-IF(N90="",0,N90))</f>
        <v/>
      </c>
    </row>
    <row r="91" customFormat="false" ht="15" hidden="false" customHeight="false" outlineLevel="0" collapsed="false">
      <c r="A91" s="12"/>
      <c r="B91" s="12"/>
      <c r="C91" s="12"/>
      <c r="D91" s="13"/>
      <c r="E91" s="13"/>
      <c r="F91" s="14"/>
      <c r="G91" s="12"/>
      <c r="H91" s="12"/>
      <c r="I91" s="12"/>
      <c r="J91" s="14"/>
      <c r="K91" s="15" t="str">
        <f aca="false">IF(OR(I91="",J91=""),"",I91*J91)</f>
        <v/>
      </c>
      <c r="L91" s="12"/>
      <c r="M91" s="16"/>
      <c r="N91" s="15" t="str">
        <f aca="false">IF(OR(L91="",M91="",K91=""),"",IF(L91="GANANCIA",(K91-F91)*M91,IF(L91="BRUTO",K91*M91,"")))</f>
        <v/>
      </c>
      <c r="O91" s="17" t="str">
        <f aca="false">IF(D91="","",D91+30)</f>
        <v/>
      </c>
      <c r="P91" s="18" t="str">
        <f aca="false">IF(I91="","",IF(COUNTIF(Q91:AN91,TRUE())&gt;=I91,"PAGADO",IF(COUNTIF(Q91:AN91,TRUE())&gt;0,"PARCIAL","VIGENTE")))</f>
        <v/>
      </c>
      <c r="Q91" s="19" t="str">
        <f aca="false">IF(OR(I91="",I91&lt;1,O91=""),"",O91+0)</f>
        <v/>
      </c>
      <c r="R91" s="19" t="str">
        <f aca="false">IF(OR(I91="",I91&lt;2,O91=""),"",O91+30)</f>
        <v/>
      </c>
      <c r="S91" s="19" t="str">
        <f aca="false">IF(OR(I91="",I91&lt;3,O91=""),"",O91+60)</f>
        <v/>
      </c>
      <c r="T91" s="19" t="str">
        <f aca="false">IF(OR(I91="",I91&lt;4,O91=""),"",O91+90)</f>
        <v/>
      </c>
      <c r="U91" s="19" t="str">
        <f aca="false">IF(OR(I91="",I91&lt;5,O91=""),"",O91+120)</f>
        <v/>
      </c>
      <c r="V91" s="19" t="str">
        <f aca="false">IF(OR(I91="",I91&lt;6,O91=""),"",O91+150)</f>
        <v/>
      </c>
      <c r="W91" s="19" t="str">
        <f aca="false">IF(OR(I91="",I91&lt;7,O91=""),"",O91+180)</f>
        <v/>
      </c>
      <c r="X91" s="19" t="str">
        <f aca="false">IF(OR(I91="",I91&lt;8,O91=""),"",O91+210)</f>
        <v/>
      </c>
      <c r="Y91" s="19" t="str">
        <f aca="false">IF(OR(I91="",I91&lt;9,O91=""),"",O91+240)</f>
        <v/>
      </c>
      <c r="Z91" s="19" t="str">
        <f aca="false">IF(OR(I91="",I91&lt;10,O91=""),"",O91+270)</f>
        <v/>
      </c>
      <c r="AA91" s="19" t="str">
        <f aca="false">IF(OR(I91="",I91&lt;11,O91=""),"",O91+300)</f>
        <v/>
      </c>
      <c r="AB91" s="19" t="str">
        <f aca="false">IF(OR(I91="",I91&lt;12,O91=""),"",O91+330)</f>
        <v/>
      </c>
      <c r="AC91" s="19" t="str">
        <f aca="false">IF(OR(I91="",I91&lt;13,O91=""),"",O91+360)</f>
        <v/>
      </c>
      <c r="AD91" s="19" t="str">
        <f aca="false">IF(OR(I91="",I91&lt;14,O91=""),"",O91+390)</f>
        <v/>
      </c>
      <c r="AE91" s="19" t="str">
        <f aca="false">IF(OR(I91="",I91&lt;15,O91=""),"",O91+420)</f>
        <v/>
      </c>
      <c r="AF91" s="19" t="str">
        <f aca="false">IF(OR(I91="",I91&lt;16,O91=""),"",O91+450)</f>
        <v/>
      </c>
      <c r="AG91" s="19" t="str">
        <f aca="false">IF(OR(I91="",I91&lt;17,O91=""),"",O91+480)</f>
        <v/>
      </c>
      <c r="AH91" s="19" t="str">
        <f aca="false">IF(OR(I91="",I91&lt;18,O91=""),"",O91+510)</f>
        <v/>
      </c>
      <c r="AI91" s="19" t="str">
        <f aca="false">IF(OR(I91="",I91&lt;19,O91=""),"",O91+540)</f>
        <v/>
      </c>
      <c r="AJ91" s="19" t="str">
        <f aca="false">IF(OR(I91="",I91&lt;20,O91=""),"",O91+570)</f>
        <v/>
      </c>
      <c r="AK91" s="19" t="str">
        <f aca="false">IF(OR(I91="",I91&lt;21,O91=""),"",O91+600)</f>
        <v/>
      </c>
      <c r="AL91" s="19" t="str">
        <f aca="false">IF(OR(I91="",I91&lt;22,O91=""),"",O91+630)</f>
        <v/>
      </c>
      <c r="AM91" s="19" t="str">
        <f aca="false">IF(OR(I91="",I91&lt;23,O91=""),"",O91+660)</f>
        <v/>
      </c>
      <c r="AN91" s="19" t="str">
        <f aca="false">IF(OR(I91="",I91&lt;24,O91=""),"",O91+690)</f>
        <v/>
      </c>
      <c r="AO91" s="15" t="str">
        <f aca="false">IF(J91="","",COUNTIF(Q91:AN91,TRUE())*J91)</f>
        <v/>
      </c>
      <c r="AP91" s="15" t="str">
        <f aca="false">IF(K91="","",K91-AO91)</f>
        <v/>
      </c>
      <c r="AQ91" s="15" t="str">
        <f aca="false">IF(K91="","",K91-F91-IF(N91="",0,N91))</f>
        <v/>
      </c>
    </row>
    <row r="92" customFormat="false" ht="15" hidden="false" customHeight="false" outlineLevel="0" collapsed="false">
      <c r="A92" s="4"/>
      <c r="B92" s="4"/>
      <c r="C92" s="4"/>
      <c r="D92" s="5"/>
      <c r="E92" s="5"/>
      <c r="F92" s="6"/>
      <c r="G92" s="4"/>
      <c r="H92" s="4"/>
      <c r="I92" s="4"/>
      <c r="J92" s="6"/>
      <c r="K92" s="7" t="str">
        <f aca="false">IF(OR(I92="",J92=""),"",I92*J92)</f>
        <v/>
      </c>
      <c r="L92" s="4"/>
      <c r="M92" s="8"/>
      <c r="N92" s="7" t="str">
        <f aca="false">IF(OR(L92="",M92="",K92=""),"",IF(L92="GANANCIA",(K92-F92)*M92,IF(L92="BRUTO",K92*M92,"")))</f>
        <v/>
      </c>
      <c r="O92" s="9" t="str">
        <f aca="false">IF(D92="","",D92+30)</f>
        <v/>
      </c>
      <c r="P92" s="10" t="str">
        <f aca="false">IF(I92="","",IF(COUNTIF(Q92:AN92,TRUE())&gt;=I92,"PAGADO",IF(COUNTIF(Q92:AN92,TRUE())&gt;0,"PARCIAL","VIGENTE")))</f>
        <v/>
      </c>
      <c r="Q92" s="11" t="str">
        <f aca="false">IF(OR(I92="",I92&lt;1,O92=""),"",O92+0)</f>
        <v/>
      </c>
      <c r="R92" s="11" t="str">
        <f aca="false">IF(OR(I92="",I92&lt;2,O92=""),"",O92+30)</f>
        <v/>
      </c>
      <c r="S92" s="11" t="str">
        <f aca="false">IF(OR(I92="",I92&lt;3,O92=""),"",O92+60)</f>
        <v/>
      </c>
      <c r="T92" s="11" t="str">
        <f aca="false">IF(OR(I92="",I92&lt;4,O92=""),"",O92+90)</f>
        <v/>
      </c>
      <c r="U92" s="11" t="str">
        <f aca="false">IF(OR(I92="",I92&lt;5,O92=""),"",O92+120)</f>
        <v/>
      </c>
      <c r="V92" s="11" t="str">
        <f aca="false">IF(OR(I92="",I92&lt;6,O92=""),"",O92+150)</f>
        <v/>
      </c>
      <c r="W92" s="11" t="str">
        <f aca="false">IF(OR(I92="",I92&lt;7,O92=""),"",O92+180)</f>
        <v/>
      </c>
      <c r="X92" s="11" t="str">
        <f aca="false">IF(OR(I92="",I92&lt;8,O92=""),"",O92+210)</f>
        <v/>
      </c>
      <c r="Y92" s="11" t="str">
        <f aca="false">IF(OR(I92="",I92&lt;9,O92=""),"",O92+240)</f>
        <v/>
      </c>
      <c r="Z92" s="11" t="str">
        <f aca="false">IF(OR(I92="",I92&lt;10,O92=""),"",O92+270)</f>
        <v/>
      </c>
      <c r="AA92" s="11" t="str">
        <f aca="false">IF(OR(I92="",I92&lt;11,O92=""),"",O92+300)</f>
        <v/>
      </c>
      <c r="AB92" s="11" t="str">
        <f aca="false">IF(OR(I92="",I92&lt;12,O92=""),"",O92+330)</f>
        <v/>
      </c>
      <c r="AC92" s="11" t="str">
        <f aca="false">IF(OR(I92="",I92&lt;13,O92=""),"",O92+360)</f>
        <v/>
      </c>
      <c r="AD92" s="11" t="str">
        <f aca="false">IF(OR(I92="",I92&lt;14,O92=""),"",O92+390)</f>
        <v/>
      </c>
      <c r="AE92" s="11" t="str">
        <f aca="false">IF(OR(I92="",I92&lt;15,O92=""),"",O92+420)</f>
        <v/>
      </c>
      <c r="AF92" s="11" t="str">
        <f aca="false">IF(OR(I92="",I92&lt;16,O92=""),"",O92+450)</f>
        <v/>
      </c>
      <c r="AG92" s="11" t="str">
        <f aca="false">IF(OR(I92="",I92&lt;17,O92=""),"",O92+480)</f>
        <v/>
      </c>
      <c r="AH92" s="11" t="str">
        <f aca="false">IF(OR(I92="",I92&lt;18,O92=""),"",O92+510)</f>
        <v/>
      </c>
      <c r="AI92" s="11" t="str">
        <f aca="false">IF(OR(I92="",I92&lt;19,O92=""),"",O92+540)</f>
        <v/>
      </c>
      <c r="AJ92" s="11" t="str">
        <f aca="false">IF(OR(I92="",I92&lt;20,O92=""),"",O92+570)</f>
        <v/>
      </c>
      <c r="AK92" s="11" t="str">
        <f aca="false">IF(OR(I92="",I92&lt;21,O92=""),"",O92+600)</f>
        <v/>
      </c>
      <c r="AL92" s="11" t="str">
        <f aca="false">IF(OR(I92="",I92&lt;22,O92=""),"",O92+630)</f>
        <v/>
      </c>
      <c r="AM92" s="11" t="str">
        <f aca="false">IF(OR(I92="",I92&lt;23,O92=""),"",O92+660)</f>
        <v/>
      </c>
      <c r="AN92" s="11" t="str">
        <f aca="false">IF(OR(I92="",I92&lt;24,O92=""),"",O92+690)</f>
        <v/>
      </c>
      <c r="AO92" s="7" t="str">
        <f aca="false">IF(J92="","",COUNTIF(Q92:AN92,TRUE())*J92)</f>
        <v/>
      </c>
      <c r="AP92" s="7" t="str">
        <f aca="false">IF(K92="","",K92-AO92)</f>
        <v/>
      </c>
      <c r="AQ92" s="7" t="str">
        <f aca="false">IF(K92="","",K92-F92-IF(N92="",0,N92))</f>
        <v/>
      </c>
    </row>
    <row r="93" customFormat="false" ht="15" hidden="false" customHeight="false" outlineLevel="0" collapsed="false">
      <c r="A93" s="12"/>
      <c r="B93" s="12"/>
      <c r="C93" s="12"/>
      <c r="D93" s="13"/>
      <c r="E93" s="13"/>
      <c r="F93" s="14"/>
      <c r="G93" s="12"/>
      <c r="H93" s="12"/>
      <c r="I93" s="12"/>
      <c r="J93" s="14"/>
      <c r="K93" s="15" t="str">
        <f aca="false">IF(OR(I93="",J93=""),"",I93*J93)</f>
        <v/>
      </c>
      <c r="L93" s="12"/>
      <c r="M93" s="16"/>
      <c r="N93" s="15" t="str">
        <f aca="false">IF(OR(L93="",M93="",K93=""),"",IF(L93="GANANCIA",(K93-F93)*M93,IF(L93="BRUTO",K93*M93,"")))</f>
        <v/>
      </c>
      <c r="O93" s="17" t="str">
        <f aca="false">IF(D93="","",D93+30)</f>
        <v/>
      </c>
      <c r="P93" s="18" t="str">
        <f aca="false">IF(I93="","",IF(COUNTIF(Q93:AN93,TRUE())&gt;=I93,"PAGADO",IF(COUNTIF(Q93:AN93,TRUE())&gt;0,"PARCIAL","VIGENTE")))</f>
        <v/>
      </c>
      <c r="Q93" s="19" t="str">
        <f aca="false">IF(OR(I93="",I93&lt;1,O93=""),"",O93+0)</f>
        <v/>
      </c>
      <c r="R93" s="19" t="str">
        <f aca="false">IF(OR(I93="",I93&lt;2,O93=""),"",O93+30)</f>
        <v/>
      </c>
      <c r="S93" s="19" t="str">
        <f aca="false">IF(OR(I93="",I93&lt;3,O93=""),"",O93+60)</f>
        <v/>
      </c>
      <c r="T93" s="19" t="str">
        <f aca="false">IF(OR(I93="",I93&lt;4,O93=""),"",O93+90)</f>
        <v/>
      </c>
      <c r="U93" s="19" t="str">
        <f aca="false">IF(OR(I93="",I93&lt;5,O93=""),"",O93+120)</f>
        <v/>
      </c>
      <c r="V93" s="19" t="str">
        <f aca="false">IF(OR(I93="",I93&lt;6,O93=""),"",O93+150)</f>
        <v/>
      </c>
      <c r="W93" s="19" t="str">
        <f aca="false">IF(OR(I93="",I93&lt;7,O93=""),"",O93+180)</f>
        <v/>
      </c>
      <c r="X93" s="19" t="str">
        <f aca="false">IF(OR(I93="",I93&lt;8,O93=""),"",O93+210)</f>
        <v/>
      </c>
      <c r="Y93" s="19" t="str">
        <f aca="false">IF(OR(I93="",I93&lt;9,O93=""),"",O93+240)</f>
        <v/>
      </c>
      <c r="Z93" s="19" t="str">
        <f aca="false">IF(OR(I93="",I93&lt;10,O93=""),"",O93+270)</f>
        <v/>
      </c>
      <c r="AA93" s="19" t="str">
        <f aca="false">IF(OR(I93="",I93&lt;11,O93=""),"",O93+300)</f>
        <v/>
      </c>
      <c r="AB93" s="19" t="str">
        <f aca="false">IF(OR(I93="",I93&lt;12,O93=""),"",O93+330)</f>
        <v/>
      </c>
      <c r="AC93" s="19" t="str">
        <f aca="false">IF(OR(I93="",I93&lt;13,O93=""),"",O93+360)</f>
        <v/>
      </c>
      <c r="AD93" s="19" t="str">
        <f aca="false">IF(OR(I93="",I93&lt;14,O93=""),"",O93+390)</f>
        <v/>
      </c>
      <c r="AE93" s="19" t="str">
        <f aca="false">IF(OR(I93="",I93&lt;15,O93=""),"",O93+420)</f>
        <v/>
      </c>
      <c r="AF93" s="19" t="str">
        <f aca="false">IF(OR(I93="",I93&lt;16,O93=""),"",O93+450)</f>
        <v/>
      </c>
      <c r="AG93" s="19" t="str">
        <f aca="false">IF(OR(I93="",I93&lt;17,O93=""),"",O93+480)</f>
        <v/>
      </c>
      <c r="AH93" s="19" t="str">
        <f aca="false">IF(OR(I93="",I93&lt;18,O93=""),"",O93+510)</f>
        <v/>
      </c>
      <c r="AI93" s="19" t="str">
        <f aca="false">IF(OR(I93="",I93&lt;19,O93=""),"",O93+540)</f>
        <v/>
      </c>
      <c r="AJ93" s="19" t="str">
        <f aca="false">IF(OR(I93="",I93&lt;20,O93=""),"",O93+570)</f>
        <v/>
      </c>
      <c r="AK93" s="19" t="str">
        <f aca="false">IF(OR(I93="",I93&lt;21,O93=""),"",O93+600)</f>
        <v/>
      </c>
      <c r="AL93" s="19" t="str">
        <f aca="false">IF(OR(I93="",I93&lt;22,O93=""),"",O93+630)</f>
        <v/>
      </c>
      <c r="AM93" s="19" t="str">
        <f aca="false">IF(OR(I93="",I93&lt;23,O93=""),"",O93+660)</f>
        <v/>
      </c>
      <c r="AN93" s="19" t="str">
        <f aca="false">IF(OR(I93="",I93&lt;24,O93=""),"",O93+690)</f>
        <v/>
      </c>
      <c r="AO93" s="15" t="str">
        <f aca="false">IF(J93="","",COUNTIF(Q93:AN93,TRUE())*J93)</f>
        <v/>
      </c>
      <c r="AP93" s="15" t="str">
        <f aca="false">IF(K93="","",K93-AO93)</f>
        <v/>
      </c>
      <c r="AQ93" s="15" t="str">
        <f aca="false">IF(K93="","",K93-F93-IF(N93="",0,N93))</f>
        <v/>
      </c>
    </row>
    <row r="94" customFormat="false" ht="15" hidden="false" customHeight="false" outlineLevel="0" collapsed="false">
      <c r="A94" s="4"/>
      <c r="B94" s="4"/>
      <c r="C94" s="4"/>
      <c r="D94" s="5"/>
      <c r="E94" s="5"/>
      <c r="F94" s="6"/>
      <c r="G94" s="4"/>
      <c r="H94" s="4"/>
      <c r="I94" s="4"/>
      <c r="J94" s="6"/>
      <c r="K94" s="7" t="str">
        <f aca="false">IF(OR(I94="",J94=""),"",I94*J94)</f>
        <v/>
      </c>
      <c r="L94" s="4"/>
      <c r="M94" s="8"/>
      <c r="N94" s="7" t="str">
        <f aca="false">IF(OR(L94="",M94="",K94=""),"",IF(L94="GANANCIA",(K94-F94)*M94,IF(L94="BRUTO",K94*M94,"")))</f>
        <v/>
      </c>
      <c r="O94" s="9" t="str">
        <f aca="false">IF(D94="","",D94+30)</f>
        <v/>
      </c>
      <c r="P94" s="10" t="str">
        <f aca="false">IF(I94="","",IF(COUNTIF(Q94:AN94,TRUE())&gt;=I94,"PAGADO",IF(COUNTIF(Q94:AN94,TRUE())&gt;0,"PARCIAL","VIGENTE")))</f>
        <v/>
      </c>
      <c r="Q94" s="11" t="str">
        <f aca="false">IF(OR(I94="",I94&lt;1,O94=""),"",O94+0)</f>
        <v/>
      </c>
      <c r="R94" s="11" t="str">
        <f aca="false">IF(OR(I94="",I94&lt;2,O94=""),"",O94+30)</f>
        <v/>
      </c>
      <c r="S94" s="11" t="str">
        <f aca="false">IF(OR(I94="",I94&lt;3,O94=""),"",O94+60)</f>
        <v/>
      </c>
      <c r="T94" s="11" t="str">
        <f aca="false">IF(OR(I94="",I94&lt;4,O94=""),"",O94+90)</f>
        <v/>
      </c>
      <c r="U94" s="11" t="str">
        <f aca="false">IF(OR(I94="",I94&lt;5,O94=""),"",O94+120)</f>
        <v/>
      </c>
      <c r="V94" s="11" t="str">
        <f aca="false">IF(OR(I94="",I94&lt;6,O94=""),"",O94+150)</f>
        <v/>
      </c>
      <c r="W94" s="11" t="str">
        <f aca="false">IF(OR(I94="",I94&lt;7,O94=""),"",O94+180)</f>
        <v/>
      </c>
      <c r="X94" s="11" t="str">
        <f aca="false">IF(OR(I94="",I94&lt;8,O94=""),"",O94+210)</f>
        <v/>
      </c>
      <c r="Y94" s="11" t="str">
        <f aca="false">IF(OR(I94="",I94&lt;9,O94=""),"",O94+240)</f>
        <v/>
      </c>
      <c r="Z94" s="11" t="str">
        <f aca="false">IF(OR(I94="",I94&lt;10,O94=""),"",O94+270)</f>
        <v/>
      </c>
      <c r="AA94" s="11" t="str">
        <f aca="false">IF(OR(I94="",I94&lt;11,O94=""),"",O94+300)</f>
        <v/>
      </c>
      <c r="AB94" s="11" t="str">
        <f aca="false">IF(OR(I94="",I94&lt;12,O94=""),"",O94+330)</f>
        <v/>
      </c>
      <c r="AC94" s="11" t="str">
        <f aca="false">IF(OR(I94="",I94&lt;13,O94=""),"",O94+360)</f>
        <v/>
      </c>
      <c r="AD94" s="11" t="str">
        <f aca="false">IF(OR(I94="",I94&lt;14,O94=""),"",O94+390)</f>
        <v/>
      </c>
      <c r="AE94" s="11" t="str">
        <f aca="false">IF(OR(I94="",I94&lt;15,O94=""),"",O94+420)</f>
        <v/>
      </c>
      <c r="AF94" s="11" t="str">
        <f aca="false">IF(OR(I94="",I94&lt;16,O94=""),"",O94+450)</f>
        <v/>
      </c>
      <c r="AG94" s="11" t="str">
        <f aca="false">IF(OR(I94="",I94&lt;17,O94=""),"",O94+480)</f>
        <v/>
      </c>
      <c r="AH94" s="11" t="str">
        <f aca="false">IF(OR(I94="",I94&lt;18,O94=""),"",O94+510)</f>
        <v/>
      </c>
      <c r="AI94" s="11" t="str">
        <f aca="false">IF(OR(I94="",I94&lt;19,O94=""),"",O94+540)</f>
        <v/>
      </c>
      <c r="AJ94" s="11" t="str">
        <f aca="false">IF(OR(I94="",I94&lt;20,O94=""),"",O94+570)</f>
        <v/>
      </c>
      <c r="AK94" s="11" t="str">
        <f aca="false">IF(OR(I94="",I94&lt;21,O94=""),"",O94+600)</f>
        <v/>
      </c>
      <c r="AL94" s="11" t="str">
        <f aca="false">IF(OR(I94="",I94&lt;22,O94=""),"",O94+630)</f>
        <v/>
      </c>
      <c r="AM94" s="11" t="str">
        <f aca="false">IF(OR(I94="",I94&lt;23,O94=""),"",O94+660)</f>
        <v/>
      </c>
      <c r="AN94" s="11" t="str">
        <f aca="false">IF(OR(I94="",I94&lt;24,O94=""),"",O94+690)</f>
        <v/>
      </c>
      <c r="AO94" s="7" t="str">
        <f aca="false">IF(J94="","",COUNTIF(Q94:AN94,TRUE())*J94)</f>
        <v/>
      </c>
      <c r="AP94" s="7" t="str">
        <f aca="false">IF(K94="","",K94-AO94)</f>
        <v/>
      </c>
      <c r="AQ94" s="7" t="str">
        <f aca="false">IF(K94="","",K94-F94-IF(N94="",0,N94))</f>
        <v/>
      </c>
    </row>
    <row r="95" customFormat="false" ht="15" hidden="false" customHeight="false" outlineLevel="0" collapsed="false">
      <c r="A95" s="12"/>
      <c r="B95" s="12"/>
      <c r="C95" s="12"/>
      <c r="D95" s="13"/>
      <c r="E95" s="13"/>
      <c r="F95" s="14"/>
      <c r="G95" s="12"/>
      <c r="H95" s="12"/>
      <c r="I95" s="12"/>
      <c r="J95" s="14"/>
      <c r="K95" s="15" t="str">
        <f aca="false">IF(OR(I95="",J95=""),"",I95*J95)</f>
        <v/>
      </c>
      <c r="L95" s="12"/>
      <c r="M95" s="16"/>
      <c r="N95" s="15" t="str">
        <f aca="false">IF(OR(L95="",M95="",K95=""),"",IF(L95="GANANCIA",(K95-F95)*M95,IF(L95="BRUTO",K95*M95,"")))</f>
        <v/>
      </c>
      <c r="O95" s="17" t="str">
        <f aca="false">IF(D95="","",D95+30)</f>
        <v/>
      </c>
      <c r="P95" s="18" t="str">
        <f aca="false">IF(I95="","",IF(COUNTIF(Q95:AN95,TRUE())&gt;=I95,"PAGADO",IF(COUNTIF(Q95:AN95,TRUE())&gt;0,"PARCIAL","VIGENTE")))</f>
        <v/>
      </c>
      <c r="Q95" s="19" t="str">
        <f aca="false">IF(OR(I95="",I95&lt;1,O95=""),"",O95+0)</f>
        <v/>
      </c>
      <c r="R95" s="19" t="str">
        <f aca="false">IF(OR(I95="",I95&lt;2,O95=""),"",O95+30)</f>
        <v/>
      </c>
      <c r="S95" s="19" t="str">
        <f aca="false">IF(OR(I95="",I95&lt;3,O95=""),"",O95+60)</f>
        <v/>
      </c>
      <c r="T95" s="19" t="str">
        <f aca="false">IF(OR(I95="",I95&lt;4,O95=""),"",O95+90)</f>
        <v/>
      </c>
      <c r="U95" s="19" t="str">
        <f aca="false">IF(OR(I95="",I95&lt;5,O95=""),"",O95+120)</f>
        <v/>
      </c>
      <c r="V95" s="19" t="str">
        <f aca="false">IF(OR(I95="",I95&lt;6,O95=""),"",O95+150)</f>
        <v/>
      </c>
      <c r="W95" s="19" t="str">
        <f aca="false">IF(OR(I95="",I95&lt;7,O95=""),"",O95+180)</f>
        <v/>
      </c>
      <c r="X95" s="19" t="str">
        <f aca="false">IF(OR(I95="",I95&lt;8,O95=""),"",O95+210)</f>
        <v/>
      </c>
      <c r="Y95" s="19" t="str">
        <f aca="false">IF(OR(I95="",I95&lt;9,O95=""),"",O95+240)</f>
        <v/>
      </c>
      <c r="Z95" s="19" t="str">
        <f aca="false">IF(OR(I95="",I95&lt;10,O95=""),"",O95+270)</f>
        <v/>
      </c>
      <c r="AA95" s="19" t="str">
        <f aca="false">IF(OR(I95="",I95&lt;11,O95=""),"",O95+300)</f>
        <v/>
      </c>
      <c r="AB95" s="19" t="str">
        <f aca="false">IF(OR(I95="",I95&lt;12,O95=""),"",O95+330)</f>
        <v/>
      </c>
      <c r="AC95" s="19" t="str">
        <f aca="false">IF(OR(I95="",I95&lt;13,O95=""),"",O95+360)</f>
        <v/>
      </c>
      <c r="AD95" s="19" t="str">
        <f aca="false">IF(OR(I95="",I95&lt;14,O95=""),"",O95+390)</f>
        <v/>
      </c>
      <c r="AE95" s="19" t="str">
        <f aca="false">IF(OR(I95="",I95&lt;15,O95=""),"",O95+420)</f>
        <v/>
      </c>
      <c r="AF95" s="19" t="str">
        <f aca="false">IF(OR(I95="",I95&lt;16,O95=""),"",O95+450)</f>
        <v/>
      </c>
      <c r="AG95" s="19" t="str">
        <f aca="false">IF(OR(I95="",I95&lt;17,O95=""),"",O95+480)</f>
        <v/>
      </c>
      <c r="AH95" s="19" t="str">
        <f aca="false">IF(OR(I95="",I95&lt;18,O95=""),"",O95+510)</f>
        <v/>
      </c>
      <c r="AI95" s="19" t="str">
        <f aca="false">IF(OR(I95="",I95&lt;19,O95=""),"",O95+540)</f>
        <v/>
      </c>
      <c r="AJ95" s="19" t="str">
        <f aca="false">IF(OR(I95="",I95&lt;20,O95=""),"",O95+570)</f>
        <v/>
      </c>
      <c r="AK95" s="19" t="str">
        <f aca="false">IF(OR(I95="",I95&lt;21,O95=""),"",O95+600)</f>
        <v/>
      </c>
      <c r="AL95" s="19" t="str">
        <f aca="false">IF(OR(I95="",I95&lt;22,O95=""),"",O95+630)</f>
        <v/>
      </c>
      <c r="AM95" s="19" t="str">
        <f aca="false">IF(OR(I95="",I95&lt;23,O95=""),"",O95+660)</f>
        <v/>
      </c>
      <c r="AN95" s="19" t="str">
        <f aca="false">IF(OR(I95="",I95&lt;24,O95=""),"",O95+690)</f>
        <v/>
      </c>
      <c r="AO95" s="15" t="str">
        <f aca="false">IF(J95="","",COUNTIF(Q95:AN95,TRUE())*J95)</f>
        <v/>
      </c>
      <c r="AP95" s="15" t="str">
        <f aca="false">IF(K95="","",K95-AO95)</f>
        <v/>
      </c>
      <c r="AQ95" s="15" t="str">
        <f aca="false">IF(K95="","",K95-F95-IF(N95="",0,N95))</f>
        <v/>
      </c>
    </row>
    <row r="96" customFormat="false" ht="15" hidden="false" customHeight="false" outlineLevel="0" collapsed="false">
      <c r="A96" s="4"/>
      <c r="B96" s="4"/>
      <c r="C96" s="4"/>
      <c r="D96" s="5"/>
      <c r="E96" s="5"/>
      <c r="F96" s="6"/>
      <c r="G96" s="4"/>
      <c r="H96" s="4"/>
      <c r="I96" s="4"/>
      <c r="J96" s="6"/>
      <c r="K96" s="7" t="str">
        <f aca="false">IF(OR(I96="",J96=""),"",I96*J96)</f>
        <v/>
      </c>
      <c r="L96" s="4"/>
      <c r="M96" s="8"/>
      <c r="N96" s="7" t="str">
        <f aca="false">IF(OR(L96="",M96="",K96=""),"",IF(L96="GANANCIA",(K96-F96)*M96,IF(L96="BRUTO",K96*M96,"")))</f>
        <v/>
      </c>
      <c r="O96" s="9" t="str">
        <f aca="false">IF(D96="","",D96+30)</f>
        <v/>
      </c>
      <c r="P96" s="10" t="str">
        <f aca="false">IF(I96="","",IF(COUNTIF(Q96:AN96,TRUE())&gt;=I96,"PAGADO",IF(COUNTIF(Q96:AN96,TRUE())&gt;0,"PARCIAL","VIGENTE")))</f>
        <v/>
      </c>
      <c r="Q96" s="11" t="str">
        <f aca="false">IF(OR(I96="",I96&lt;1,O96=""),"",O96+0)</f>
        <v/>
      </c>
      <c r="R96" s="11" t="str">
        <f aca="false">IF(OR(I96="",I96&lt;2,O96=""),"",O96+30)</f>
        <v/>
      </c>
      <c r="S96" s="11" t="str">
        <f aca="false">IF(OR(I96="",I96&lt;3,O96=""),"",O96+60)</f>
        <v/>
      </c>
      <c r="T96" s="11" t="str">
        <f aca="false">IF(OR(I96="",I96&lt;4,O96=""),"",O96+90)</f>
        <v/>
      </c>
      <c r="U96" s="11" t="str">
        <f aca="false">IF(OR(I96="",I96&lt;5,O96=""),"",O96+120)</f>
        <v/>
      </c>
      <c r="V96" s="11" t="str">
        <f aca="false">IF(OR(I96="",I96&lt;6,O96=""),"",O96+150)</f>
        <v/>
      </c>
      <c r="W96" s="11" t="str">
        <f aca="false">IF(OR(I96="",I96&lt;7,O96=""),"",O96+180)</f>
        <v/>
      </c>
      <c r="X96" s="11" t="str">
        <f aca="false">IF(OR(I96="",I96&lt;8,O96=""),"",O96+210)</f>
        <v/>
      </c>
      <c r="Y96" s="11" t="str">
        <f aca="false">IF(OR(I96="",I96&lt;9,O96=""),"",O96+240)</f>
        <v/>
      </c>
      <c r="Z96" s="11" t="str">
        <f aca="false">IF(OR(I96="",I96&lt;10,O96=""),"",O96+270)</f>
        <v/>
      </c>
      <c r="AA96" s="11" t="str">
        <f aca="false">IF(OR(I96="",I96&lt;11,O96=""),"",O96+300)</f>
        <v/>
      </c>
      <c r="AB96" s="11" t="str">
        <f aca="false">IF(OR(I96="",I96&lt;12,O96=""),"",O96+330)</f>
        <v/>
      </c>
      <c r="AC96" s="11" t="str">
        <f aca="false">IF(OR(I96="",I96&lt;13,O96=""),"",O96+360)</f>
        <v/>
      </c>
      <c r="AD96" s="11" t="str">
        <f aca="false">IF(OR(I96="",I96&lt;14,O96=""),"",O96+390)</f>
        <v/>
      </c>
      <c r="AE96" s="11" t="str">
        <f aca="false">IF(OR(I96="",I96&lt;15,O96=""),"",O96+420)</f>
        <v/>
      </c>
      <c r="AF96" s="11" t="str">
        <f aca="false">IF(OR(I96="",I96&lt;16,O96=""),"",O96+450)</f>
        <v/>
      </c>
      <c r="AG96" s="11" t="str">
        <f aca="false">IF(OR(I96="",I96&lt;17,O96=""),"",O96+480)</f>
        <v/>
      </c>
      <c r="AH96" s="11" t="str">
        <f aca="false">IF(OR(I96="",I96&lt;18,O96=""),"",O96+510)</f>
        <v/>
      </c>
      <c r="AI96" s="11" t="str">
        <f aca="false">IF(OR(I96="",I96&lt;19,O96=""),"",O96+540)</f>
        <v/>
      </c>
      <c r="AJ96" s="11" t="str">
        <f aca="false">IF(OR(I96="",I96&lt;20,O96=""),"",O96+570)</f>
        <v/>
      </c>
      <c r="AK96" s="11" t="str">
        <f aca="false">IF(OR(I96="",I96&lt;21,O96=""),"",O96+600)</f>
        <v/>
      </c>
      <c r="AL96" s="11" t="str">
        <f aca="false">IF(OR(I96="",I96&lt;22,O96=""),"",O96+630)</f>
        <v/>
      </c>
      <c r="AM96" s="11" t="str">
        <f aca="false">IF(OR(I96="",I96&lt;23,O96=""),"",O96+660)</f>
        <v/>
      </c>
      <c r="AN96" s="11" t="str">
        <f aca="false">IF(OR(I96="",I96&lt;24,O96=""),"",O96+690)</f>
        <v/>
      </c>
      <c r="AO96" s="7" t="str">
        <f aca="false">IF(J96="","",COUNTIF(Q96:AN96,TRUE())*J96)</f>
        <v/>
      </c>
      <c r="AP96" s="7" t="str">
        <f aca="false">IF(K96="","",K96-AO96)</f>
        <v/>
      </c>
      <c r="AQ96" s="7" t="str">
        <f aca="false">IF(K96="","",K96-F96-IF(N96="",0,N96))</f>
        <v/>
      </c>
    </row>
    <row r="97" customFormat="false" ht="15" hidden="false" customHeight="false" outlineLevel="0" collapsed="false">
      <c r="A97" s="12"/>
      <c r="B97" s="12"/>
      <c r="C97" s="12"/>
      <c r="D97" s="13"/>
      <c r="E97" s="13"/>
      <c r="F97" s="14"/>
      <c r="G97" s="12"/>
      <c r="H97" s="12"/>
      <c r="I97" s="12"/>
      <c r="J97" s="14"/>
      <c r="K97" s="15" t="str">
        <f aca="false">IF(OR(I97="",J97=""),"",I97*J97)</f>
        <v/>
      </c>
      <c r="L97" s="12"/>
      <c r="M97" s="16"/>
      <c r="N97" s="15" t="str">
        <f aca="false">IF(OR(L97="",M97="",K97=""),"",IF(L97="GANANCIA",(K97-F97)*M97,IF(L97="BRUTO",K97*M97,"")))</f>
        <v/>
      </c>
      <c r="O97" s="17" t="str">
        <f aca="false">IF(D97="","",D97+30)</f>
        <v/>
      </c>
      <c r="P97" s="18" t="str">
        <f aca="false">IF(I97="","",IF(COUNTIF(Q97:AN97,TRUE())&gt;=I97,"PAGADO",IF(COUNTIF(Q97:AN97,TRUE())&gt;0,"PARCIAL","VIGENTE")))</f>
        <v/>
      </c>
      <c r="Q97" s="19" t="str">
        <f aca="false">IF(OR(I97="",I97&lt;1,O97=""),"",O97+0)</f>
        <v/>
      </c>
      <c r="R97" s="19" t="str">
        <f aca="false">IF(OR(I97="",I97&lt;2,O97=""),"",O97+30)</f>
        <v/>
      </c>
      <c r="S97" s="19" t="str">
        <f aca="false">IF(OR(I97="",I97&lt;3,O97=""),"",O97+60)</f>
        <v/>
      </c>
      <c r="T97" s="19" t="str">
        <f aca="false">IF(OR(I97="",I97&lt;4,O97=""),"",O97+90)</f>
        <v/>
      </c>
      <c r="U97" s="19" t="str">
        <f aca="false">IF(OR(I97="",I97&lt;5,O97=""),"",O97+120)</f>
        <v/>
      </c>
      <c r="V97" s="19" t="str">
        <f aca="false">IF(OR(I97="",I97&lt;6,O97=""),"",O97+150)</f>
        <v/>
      </c>
      <c r="W97" s="19" t="str">
        <f aca="false">IF(OR(I97="",I97&lt;7,O97=""),"",O97+180)</f>
        <v/>
      </c>
      <c r="X97" s="19" t="str">
        <f aca="false">IF(OR(I97="",I97&lt;8,O97=""),"",O97+210)</f>
        <v/>
      </c>
      <c r="Y97" s="19" t="str">
        <f aca="false">IF(OR(I97="",I97&lt;9,O97=""),"",O97+240)</f>
        <v/>
      </c>
      <c r="Z97" s="19" t="str">
        <f aca="false">IF(OR(I97="",I97&lt;10,O97=""),"",O97+270)</f>
        <v/>
      </c>
      <c r="AA97" s="19" t="str">
        <f aca="false">IF(OR(I97="",I97&lt;11,O97=""),"",O97+300)</f>
        <v/>
      </c>
      <c r="AB97" s="19" t="str">
        <f aca="false">IF(OR(I97="",I97&lt;12,O97=""),"",O97+330)</f>
        <v/>
      </c>
      <c r="AC97" s="19" t="str">
        <f aca="false">IF(OR(I97="",I97&lt;13,O97=""),"",O97+360)</f>
        <v/>
      </c>
      <c r="AD97" s="19" t="str">
        <f aca="false">IF(OR(I97="",I97&lt;14,O97=""),"",O97+390)</f>
        <v/>
      </c>
      <c r="AE97" s="19" t="str">
        <f aca="false">IF(OR(I97="",I97&lt;15,O97=""),"",O97+420)</f>
        <v/>
      </c>
      <c r="AF97" s="19" t="str">
        <f aca="false">IF(OR(I97="",I97&lt;16,O97=""),"",O97+450)</f>
        <v/>
      </c>
      <c r="AG97" s="19" t="str">
        <f aca="false">IF(OR(I97="",I97&lt;17,O97=""),"",O97+480)</f>
        <v/>
      </c>
      <c r="AH97" s="19" t="str">
        <f aca="false">IF(OR(I97="",I97&lt;18,O97=""),"",O97+510)</f>
        <v/>
      </c>
      <c r="AI97" s="19" t="str">
        <f aca="false">IF(OR(I97="",I97&lt;19,O97=""),"",O97+540)</f>
        <v/>
      </c>
      <c r="AJ97" s="19" t="str">
        <f aca="false">IF(OR(I97="",I97&lt;20,O97=""),"",O97+570)</f>
        <v/>
      </c>
      <c r="AK97" s="19" t="str">
        <f aca="false">IF(OR(I97="",I97&lt;21,O97=""),"",O97+600)</f>
        <v/>
      </c>
      <c r="AL97" s="19" t="str">
        <f aca="false">IF(OR(I97="",I97&lt;22,O97=""),"",O97+630)</f>
        <v/>
      </c>
      <c r="AM97" s="19" t="str">
        <f aca="false">IF(OR(I97="",I97&lt;23,O97=""),"",O97+660)</f>
        <v/>
      </c>
      <c r="AN97" s="19" t="str">
        <f aca="false">IF(OR(I97="",I97&lt;24,O97=""),"",O97+690)</f>
        <v/>
      </c>
      <c r="AO97" s="15" t="str">
        <f aca="false">IF(J97="","",COUNTIF(Q97:AN97,TRUE())*J97)</f>
        <v/>
      </c>
      <c r="AP97" s="15" t="str">
        <f aca="false">IF(K97="","",K97-AO97)</f>
        <v/>
      </c>
      <c r="AQ97" s="15" t="str">
        <f aca="false">IF(K97="","",K97-F97-IF(N97="",0,N97))</f>
        <v/>
      </c>
    </row>
    <row r="98" customFormat="false" ht="15" hidden="false" customHeight="false" outlineLevel="0" collapsed="false">
      <c r="A98" s="4"/>
      <c r="B98" s="4"/>
      <c r="C98" s="4"/>
      <c r="D98" s="5"/>
      <c r="E98" s="5"/>
      <c r="F98" s="6"/>
      <c r="G98" s="4"/>
      <c r="H98" s="4"/>
      <c r="I98" s="4"/>
      <c r="J98" s="6"/>
      <c r="K98" s="7" t="str">
        <f aca="false">IF(OR(I98="",J98=""),"",I98*J98)</f>
        <v/>
      </c>
      <c r="L98" s="4"/>
      <c r="M98" s="8"/>
      <c r="N98" s="7" t="str">
        <f aca="false">IF(OR(L98="",M98="",K98=""),"",IF(L98="GANANCIA",(K98-F98)*M98,IF(L98="BRUTO",K98*M98,"")))</f>
        <v/>
      </c>
      <c r="O98" s="9" t="str">
        <f aca="false">IF(D98="","",D98+30)</f>
        <v/>
      </c>
      <c r="P98" s="10" t="str">
        <f aca="false">IF(I98="","",IF(COUNTIF(Q98:AN98,TRUE())&gt;=I98,"PAGADO",IF(COUNTIF(Q98:AN98,TRUE())&gt;0,"PARCIAL","VIGENTE")))</f>
        <v/>
      </c>
      <c r="Q98" s="11" t="str">
        <f aca="false">IF(OR(I98="",I98&lt;1,O98=""),"",O98+0)</f>
        <v/>
      </c>
      <c r="R98" s="11" t="str">
        <f aca="false">IF(OR(I98="",I98&lt;2,O98=""),"",O98+30)</f>
        <v/>
      </c>
      <c r="S98" s="11" t="str">
        <f aca="false">IF(OR(I98="",I98&lt;3,O98=""),"",O98+60)</f>
        <v/>
      </c>
      <c r="T98" s="11" t="str">
        <f aca="false">IF(OR(I98="",I98&lt;4,O98=""),"",O98+90)</f>
        <v/>
      </c>
      <c r="U98" s="11" t="str">
        <f aca="false">IF(OR(I98="",I98&lt;5,O98=""),"",O98+120)</f>
        <v/>
      </c>
      <c r="V98" s="11" t="str">
        <f aca="false">IF(OR(I98="",I98&lt;6,O98=""),"",O98+150)</f>
        <v/>
      </c>
      <c r="W98" s="11" t="str">
        <f aca="false">IF(OR(I98="",I98&lt;7,O98=""),"",O98+180)</f>
        <v/>
      </c>
      <c r="X98" s="11" t="str">
        <f aca="false">IF(OR(I98="",I98&lt;8,O98=""),"",O98+210)</f>
        <v/>
      </c>
      <c r="Y98" s="11" t="str">
        <f aca="false">IF(OR(I98="",I98&lt;9,O98=""),"",O98+240)</f>
        <v/>
      </c>
      <c r="Z98" s="11" t="str">
        <f aca="false">IF(OR(I98="",I98&lt;10,O98=""),"",O98+270)</f>
        <v/>
      </c>
      <c r="AA98" s="11" t="str">
        <f aca="false">IF(OR(I98="",I98&lt;11,O98=""),"",O98+300)</f>
        <v/>
      </c>
      <c r="AB98" s="11" t="str">
        <f aca="false">IF(OR(I98="",I98&lt;12,O98=""),"",O98+330)</f>
        <v/>
      </c>
      <c r="AC98" s="11" t="str">
        <f aca="false">IF(OR(I98="",I98&lt;13,O98=""),"",O98+360)</f>
        <v/>
      </c>
      <c r="AD98" s="11" t="str">
        <f aca="false">IF(OR(I98="",I98&lt;14,O98=""),"",O98+390)</f>
        <v/>
      </c>
      <c r="AE98" s="11" t="str">
        <f aca="false">IF(OR(I98="",I98&lt;15,O98=""),"",O98+420)</f>
        <v/>
      </c>
      <c r="AF98" s="11" t="str">
        <f aca="false">IF(OR(I98="",I98&lt;16,O98=""),"",O98+450)</f>
        <v/>
      </c>
      <c r="AG98" s="11" t="str">
        <f aca="false">IF(OR(I98="",I98&lt;17,O98=""),"",O98+480)</f>
        <v/>
      </c>
      <c r="AH98" s="11" t="str">
        <f aca="false">IF(OR(I98="",I98&lt;18,O98=""),"",O98+510)</f>
        <v/>
      </c>
      <c r="AI98" s="11" t="str">
        <f aca="false">IF(OR(I98="",I98&lt;19,O98=""),"",O98+540)</f>
        <v/>
      </c>
      <c r="AJ98" s="11" t="str">
        <f aca="false">IF(OR(I98="",I98&lt;20,O98=""),"",O98+570)</f>
        <v/>
      </c>
      <c r="AK98" s="11" t="str">
        <f aca="false">IF(OR(I98="",I98&lt;21,O98=""),"",O98+600)</f>
        <v/>
      </c>
      <c r="AL98" s="11" t="str">
        <f aca="false">IF(OR(I98="",I98&lt;22,O98=""),"",O98+630)</f>
        <v/>
      </c>
      <c r="AM98" s="11" t="str">
        <f aca="false">IF(OR(I98="",I98&lt;23,O98=""),"",O98+660)</f>
        <v/>
      </c>
      <c r="AN98" s="11" t="str">
        <f aca="false">IF(OR(I98="",I98&lt;24,O98=""),"",O98+690)</f>
        <v/>
      </c>
      <c r="AO98" s="7" t="str">
        <f aca="false">IF(J98="","",COUNTIF(Q98:AN98,TRUE())*J98)</f>
        <v/>
      </c>
      <c r="AP98" s="7" t="str">
        <f aca="false">IF(K98="","",K98-AO98)</f>
        <v/>
      </c>
      <c r="AQ98" s="7" t="str">
        <f aca="false">IF(K98="","",K98-F98-IF(N98="",0,N98))</f>
        <v/>
      </c>
    </row>
    <row r="99" customFormat="false" ht="15" hidden="false" customHeight="false" outlineLevel="0" collapsed="false">
      <c r="A99" s="12"/>
      <c r="B99" s="12"/>
      <c r="C99" s="12"/>
      <c r="D99" s="13"/>
      <c r="E99" s="13"/>
      <c r="F99" s="14"/>
      <c r="G99" s="12"/>
      <c r="H99" s="12"/>
      <c r="I99" s="12"/>
      <c r="J99" s="14"/>
      <c r="K99" s="15" t="str">
        <f aca="false">IF(OR(I99="",J99=""),"",I99*J99)</f>
        <v/>
      </c>
      <c r="L99" s="12"/>
      <c r="M99" s="16"/>
      <c r="N99" s="15" t="str">
        <f aca="false">IF(OR(L99="",M99="",K99=""),"",IF(L99="GANANCIA",(K99-F99)*M99,IF(L99="BRUTO",K99*M99,"")))</f>
        <v/>
      </c>
      <c r="O99" s="17" t="str">
        <f aca="false">IF(D99="","",D99+30)</f>
        <v/>
      </c>
      <c r="P99" s="18" t="str">
        <f aca="false">IF(I99="","",IF(COUNTIF(Q99:AN99,TRUE())&gt;=I99,"PAGADO",IF(COUNTIF(Q99:AN99,TRUE())&gt;0,"PARCIAL","VIGENTE")))</f>
        <v/>
      </c>
      <c r="Q99" s="19" t="str">
        <f aca="false">IF(OR(I99="",I99&lt;1,O99=""),"",O99+0)</f>
        <v/>
      </c>
      <c r="R99" s="19" t="str">
        <f aca="false">IF(OR(I99="",I99&lt;2,O99=""),"",O99+30)</f>
        <v/>
      </c>
      <c r="S99" s="19" t="str">
        <f aca="false">IF(OR(I99="",I99&lt;3,O99=""),"",O99+60)</f>
        <v/>
      </c>
      <c r="T99" s="19" t="str">
        <f aca="false">IF(OR(I99="",I99&lt;4,O99=""),"",O99+90)</f>
        <v/>
      </c>
      <c r="U99" s="19" t="str">
        <f aca="false">IF(OR(I99="",I99&lt;5,O99=""),"",O99+120)</f>
        <v/>
      </c>
      <c r="V99" s="19" t="str">
        <f aca="false">IF(OR(I99="",I99&lt;6,O99=""),"",O99+150)</f>
        <v/>
      </c>
      <c r="W99" s="19" t="str">
        <f aca="false">IF(OR(I99="",I99&lt;7,O99=""),"",O99+180)</f>
        <v/>
      </c>
      <c r="X99" s="19" t="str">
        <f aca="false">IF(OR(I99="",I99&lt;8,O99=""),"",O99+210)</f>
        <v/>
      </c>
      <c r="Y99" s="19" t="str">
        <f aca="false">IF(OR(I99="",I99&lt;9,O99=""),"",O99+240)</f>
        <v/>
      </c>
      <c r="Z99" s="19" t="str">
        <f aca="false">IF(OR(I99="",I99&lt;10,O99=""),"",O99+270)</f>
        <v/>
      </c>
      <c r="AA99" s="19" t="str">
        <f aca="false">IF(OR(I99="",I99&lt;11,O99=""),"",O99+300)</f>
        <v/>
      </c>
      <c r="AB99" s="19" t="str">
        <f aca="false">IF(OR(I99="",I99&lt;12,O99=""),"",O99+330)</f>
        <v/>
      </c>
      <c r="AC99" s="19" t="str">
        <f aca="false">IF(OR(I99="",I99&lt;13,O99=""),"",O99+360)</f>
        <v/>
      </c>
      <c r="AD99" s="19" t="str">
        <f aca="false">IF(OR(I99="",I99&lt;14,O99=""),"",O99+390)</f>
        <v/>
      </c>
      <c r="AE99" s="19" t="str">
        <f aca="false">IF(OR(I99="",I99&lt;15,O99=""),"",O99+420)</f>
        <v/>
      </c>
      <c r="AF99" s="19" t="str">
        <f aca="false">IF(OR(I99="",I99&lt;16,O99=""),"",O99+450)</f>
        <v/>
      </c>
      <c r="AG99" s="19" t="str">
        <f aca="false">IF(OR(I99="",I99&lt;17,O99=""),"",O99+480)</f>
        <v/>
      </c>
      <c r="AH99" s="19" t="str">
        <f aca="false">IF(OR(I99="",I99&lt;18,O99=""),"",O99+510)</f>
        <v/>
      </c>
      <c r="AI99" s="19" t="str">
        <f aca="false">IF(OR(I99="",I99&lt;19,O99=""),"",O99+540)</f>
        <v/>
      </c>
      <c r="AJ99" s="19" t="str">
        <f aca="false">IF(OR(I99="",I99&lt;20,O99=""),"",O99+570)</f>
        <v/>
      </c>
      <c r="AK99" s="19" t="str">
        <f aca="false">IF(OR(I99="",I99&lt;21,O99=""),"",O99+600)</f>
        <v/>
      </c>
      <c r="AL99" s="19" t="str">
        <f aca="false">IF(OR(I99="",I99&lt;22,O99=""),"",O99+630)</f>
        <v/>
      </c>
      <c r="AM99" s="19" t="str">
        <f aca="false">IF(OR(I99="",I99&lt;23,O99=""),"",O99+660)</f>
        <v/>
      </c>
      <c r="AN99" s="19" t="str">
        <f aca="false">IF(OR(I99="",I99&lt;24,O99=""),"",O99+690)</f>
        <v/>
      </c>
      <c r="AO99" s="15" t="str">
        <f aca="false">IF(J99="","",COUNTIF(Q99:AN99,TRUE())*J99)</f>
        <v/>
      </c>
      <c r="AP99" s="15" t="str">
        <f aca="false">IF(K99="","",K99-AO99)</f>
        <v/>
      </c>
      <c r="AQ99" s="15" t="str">
        <f aca="false">IF(K99="","",K99-F99-IF(N99="",0,N99))</f>
        <v/>
      </c>
    </row>
    <row r="100" customFormat="false" ht="15" hidden="false" customHeight="false" outlineLevel="0" collapsed="false">
      <c r="A100" s="4"/>
      <c r="B100" s="4"/>
      <c r="C100" s="4"/>
      <c r="D100" s="5"/>
      <c r="E100" s="5"/>
      <c r="F100" s="6"/>
      <c r="G100" s="4"/>
      <c r="H100" s="4"/>
      <c r="I100" s="4"/>
      <c r="J100" s="6"/>
      <c r="K100" s="7" t="str">
        <f aca="false">IF(OR(I100="",J100=""),"",I100*J100)</f>
        <v/>
      </c>
      <c r="L100" s="4"/>
      <c r="M100" s="8"/>
      <c r="N100" s="7" t="str">
        <f aca="false">IF(OR(L100="",M100="",K100=""),"",IF(L100="GANANCIA",(K100-F100)*M100,IF(L100="BRUTO",K100*M100,"")))</f>
        <v/>
      </c>
      <c r="O100" s="9" t="str">
        <f aca="false">IF(D100="","",D100+30)</f>
        <v/>
      </c>
      <c r="P100" s="10" t="str">
        <f aca="false">IF(I100="","",IF(COUNTIF(Q100:AN100,TRUE())&gt;=I100,"PAGADO",IF(COUNTIF(Q100:AN100,TRUE())&gt;0,"PARCIAL","VIGENTE")))</f>
        <v/>
      </c>
      <c r="Q100" s="11" t="str">
        <f aca="false">IF(OR(I100="",I100&lt;1,O100=""),"",O100+0)</f>
        <v/>
      </c>
      <c r="R100" s="11" t="str">
        <f aca="false">IF(OR(I100="",I100&lt;2,O100=""),"",O100+30)</f>
        <v/>
      </c>
      <c r="S100" s="11" t="str">
        <f aca="false">IF(OR(I100="",I100&lt;3,O100=""),"",O100+60)</f>
        <v/>
      </c>
      <c r="T100" s="11" t="str">
        <f aca="false">IF(OR(I100="",I100&lt;4,O100=""),"",O100+90)</f>
        <v/>
      </c>
      <c r="U100" s="11" t="str">
        <f aca="false">IF(OR(I100="",I100&lt;5,O100=""),"",O100+120)</f>
        <v/>
      </c>
      <c r="V100" s="11" t="str">
        <f aca="false">IF(OR(I100="",I100&lt;6,O100=""),"",O100+150)</f>
        <v/>
      </c>
      <c r="W100" s="11" t="str">
        <f aca="false">IF(OR(I100="",I100&lt;7,O100=""),"",O100+180)</f>
        <v/>
      </c>
      <c r="X100" s="11" t="str">
        <f aca="false">IF(OR(I100="",I100&lt;8,O100=""),"",O100+210)</f>
        <v/>
      </c>
      <c r="Y100" s="11" t="str">
        <f aca="false">IF(OR(I100="",I100&lt;9,O100=""),"",O100+240)</f>
        <v/>
      </c>
      <c r="Z100" s="11" t="str">
        <f aca="false">IF(OR(I100="",I100&lt;10,O100=""),"",O100+270)</f>
        <v/>
      </c>
      <c r="AA100" s="11" t="str">
        <f aca="false">IF(OR(I100="",I100&lt;11,O100=""),"",O100+300)</f>
        <v/>
      </c>
      <c r="AB100" s="11" t="str">
        <f aca="false">IF(OR(I100="",I100&lt;12,O100=""),"",O100+330)</f>
        <v/>
      </c>
      <c r="AC100" s="11" t="str">
        <f aca="false">IF(OR(I100="",I100&lt;13,O100=""),"",O100+360)</f>
        <v/>
      </c>
      <c r="AD100" s="11" t="str">
        <f aca="false">IF(OR(I100="",I100&lt;14,O100=""),"",O100+390)</f>
        <v/>
      </c>
      <c r="AE100" s="11" t="str">
        <f aca="false">IF(OR(I100="",I100&lt;15,O100=""),"",O100+420)</f>
        <v/>
      </c>
      <c r="AF100" s="11" t="str">
        <f aca="false">IF(OR(I100="",I100&lt;16,O100=""),"",O100+450)</f>
        <v/>
      </c>
      <c r="AG100" s="11" t="str">
        <f aca="false">IF(OR(I100="",I100&lt;17,O100=""),"",O100+480)</f>
        <v/>
      </c>
      <c r="AH100" s="11" t="str">
        <f aca="false">IF(OR(I100="",I100&lt;18,O100=""),"",O100+510)</f>
        <v/>
      </c>
      <c r="AI100" s="11" t="str">
        <f aca="false">IF(OR(I100="",I100&lt;19,O100=""),"",O100+540)</f>
        <v/>
      </c>
      <c r="AJ100" s="11" t="str">
        <f aca="false">IF(OR(I100="",I100&lt;20,O100=""),"",O100+570)</f>
        <v/>
      </c>
      <c r="AK100" s="11" t="str">
        <f aca="false">IF(OR(I100="",I100&lt;21,O100=""),"",O100+600)</f>
        <v/>
      </c>
      <c r="AL100" s="11" t="str">
        <f aca="false">IF(OR(I100="",I100&lt;22,O100=""),"",O100+630)</f>
        <v/>
      </c>
      <c r="AM100" s="11" t="str">
        <f aca="false">IF(OR(I100="",I100&lt;23,O100=""),"",O100+660)</f>
        <v/>
      </c>
      <c r="AN100" s="11" t="str">
        <f aca="false">IF(OR(I100="",I100&lt;24,O100=""),"",O100+690)</f>
        <v/>
      </c>
      <c r="AO100" s="7" t="str">
        <f aca="false">IF(J100="","",COUNTIF(Q100:AN100,TRUE())*J100)</f>
        <v/>
      </c>
      <c r="AP100" s="7" t="str">
        <f aca="false">IF(K100="","",K100-AO100)</f>
        <v/>
      </c>
      <c r="AQ100" s="7" t="str">
        <f aca="false">IF(K100="","",K100-F100-IF(N100="",0,N100))</f>
        <v/>
      </c>
    </row>
    <row r="101" customFormat="false" ht="15" hidden="false" customHeight="false" outlineLevel="0" collapsed="false">
      <c r="A101" s="12"/>
      <c r="B101" s="12"/>
      <c r="C101" s="12"/>
      <c r="D101" s="13"/>
      <c r="E101" s="13"/>
      <c r="F101" s="14"/>
      <c r="G101" s="12"/>
      <c r="H101" s="12"/>
      <c r="I101" s="12"/>
      <c r="J101" s="14"/>
      <c r="K101" s="15" t="str">
        <f aca="false">IF(OR(I101="",J101=""),"",I101*J101)</f>
        <v/>
      </c>
      <c r="L101" s="12"/>
      <c r="M101" s="16"/>
      <c r="N101" s="15" t="str">
        <f aca="false">IF(OR(L101="",M101="",K101=""),"",IF(L101="GANANCIA",(K101-F101)*M101,IF(L101="BRUTO",K101*M101,"")))</f>
        <v/>
      </c>
      <c r="O101" s="17" t="str">
        <f aca="false">IF(D101="","",D101+30)</f>
        <v/>
      </c>
      <c r="P101" s="18" t="str">
        <f aca="false">IF(I101="","",IF(COUNTIF(Q101:AN101,TRUE())&gt;=I101,"PAGADO",IF(COUNTIF(Q101:AN101,TRUE())&gt;0,"PARCIAL","VIGENTE")))</f>
        <v/>
      </c>
      <c r="Q101" s="19" t="str">
        <f aca="false">IF(OR(I101="",I101&lt;1,O101=""),"",O101+0)</f>
        <v/>
      </c>
      <c r="R101" s="19" t="str">
        <f aca="false">IF(OR(I101="",I101&lt;2,O101=""),"",O101+30)</f>
        <v/>
      </c>
      <c r="S101" s="19" t="str">
        <f aca="false">IF(OR(I101="",I101&lt;3,O101=""),"",O101+60)</f>
        <v/>
      </c>
      <c r="T101" s="19" t="str">
        <f aca="false">IF(OR(I101="",I101&lt;4,O101=""),"",O101+90)</f>
        <v/>
      </c>
      <c r="U101" s="19" t="str">
        <f aca="false">IF(OR(I101="",I101&lt;5,O101=""),"",O101+120)</f>
        <v/>
      </c>
      <c r="V101" s="19" t="str">
        <f aca="false">IF(OR(I101="",I101&lt;6,O101=""),"",O101+150)</f>
        <v/>
      </c>
      <c r="W101" s="19" t="str">
        <f aca="false">IF(OR(I101="",I101&lt;7,O101=""),"",O101+180)</f>
        <v/>
      </c>
      <c r="X101" s="19" t="str">
        <f aca="false">IF(OR(I101="",I101&lt;8,O101=""),"",O101+210)</f>
        <v/>
      </c>
      <c r="Y101" s="19" t="str">
        <f aca="false">IF(OR(I101="",I101&lt;9,O101=""),"",O101+240)</f>
        <v/>
      </c>
      <c r="Z101" s="19" t="str">
        <f aca="false">IF(OR(I101="",I101&lt;10,O101=""),"",O101+270)</f>
        <v/>
      </c>
      <c r="AA101" s="19" t="str">
        <f aca="false">IF(OR(I101="",I101&lt;11,O101=""),"",O101+300)</f>
        <v/>
      </c>
      <c r="AB101" s="19" t="str">
        <f aca="false">IF(OR(I101="",I101&lt;12,O101=""),"",O101+330)</f>
        <v/>
      </c>
      <c r="AC101" s="19" t="str">
        <f aca="false">IF(OR(I101="",I101&lt;13,O101=""),"",O101+360)</f>
        <v/>
      </c>
      <c r="AD101" s="19" t="str">
        <f aca="false">IF(OR(I101="",I101&lt;14,O101=""),"",O101+390)</f>
        <v/>
      </c>
      <c r="AE101" s="19" t="str">
        <f aca="false">IF(OR(I101="",I101&lt;15,O101=""),"",O101+420)</f>
        <v/>
      </c>
      <c r="AF101" s="19" t="str">
        <f aca="false">IF(OR(I101="",I101&lt;16,O101=""),"",O101+450)</f>
        <v/>
      </c>
      <c r="AG101" s="19" t="str">
        <f aca="false">IF(OR(I101="",I101&lt;17,O101=""),"",O101+480)</f>
        <v/>
      </c>
      <c r="AH101" s="19" t="str">
        <f aca="false">IF(OR(I101="",I101&lt;18,O101=""),"",O101+510)</f>
        <v/>
      </c>
      <c r="AI101" s="19" t="str">
        <f aca="false">IF(OR(I101="",I101&lt;19,O101=""),"",O101+540)</f>
        <v/>
      </c>
      <c r="AJ101" s="19" t="str">
        <f aca="false">IF(OR(I101="",I101&lt;20,O101=""),"",O101+570)</f>
        <v/>
      </c>
      <c r="AK101" s="19" t="str">
        <f aca="false">IF(OR(I101="",I101&lt;21,O101=""),"",O101+600)</f>
        <v/>
      </c>
      <c r="AL101" s="19" t="str">
        <f aca="false">IF(OR(I101="",I101&lt;22,O101=""),"",O101+630)</f>
        <v/>
      </c>
      <c r="AM101" s="19" t="str">
        <f aca="false">IF(OR(I101="",I101&lt;23,O101=""),"",O101+660)</f>
        <v/>
      </c>
      <c r="AN101" s="19" t="str">
        <f aca="false">IF(OR(I101="",I101&lt;24,O101=""),"",O101+690)</f>
        <v/>
      </c>
      <c r="AO101" s="15" t="str">
        <f aca="false">IF(J101="","",COUNTIF(Q101:AN101,TRUE())*J101)</f>
        <v/>
      </c>
      <c r="AP101" s="15" t="str">
        <f aca="false">IF(K101="","",K101-AO101)</f>
        <v/>
      </c>
      <c r="AQ101" s="15" t="str">
        <f aca="false">IF(K101="","",K101-F101-IF(N101="",0,N101))</f>
        <v/>
      </c>
    </row>
    <row r="102" customFormat="false" ht="15" hidden="false" customHeight="false" outlineLevel="0" collapsed="false">
      <c r="A102" s="4"/>
      <c r="B102" s="4"/>
      <c r="C102" s="4"/>
      <c r="D102" s="5"/>
      <c r="E102" s="5"/>
      <c r="F102" s="6"/>
      <c r="G102" s="4"/>
      <c r="H102" s="4"/>
      <c r="I102" s="4"/>
      <c r="J102" s="6"/>
      <c r="K102" s="7" t="str">
        <f aca="false">IF(OR(I102="",J102=""),"",I102*J102)</f>
        <v/>
      </c>
      <c r="L102" s="4"/>
      <c r="M102" s="8"/>
      <c r="N102" s="7" t="str">
        <f aca="false">IF(OR(L102="",M102="",K102=""),"",IF(L102="GANANCIA",(K102-F102)*M102,IF(L102="BRUTO",K102*M102,"")))</f>
        <v/>
      </c>
      <c r="O102" s="9" t="str">
        <f aca="false">IF(D102="","",D102+30)</f>
        <v/>
      </c>
      <c r="P102" s="10" t="str">
        <f aca="false">IF(I102="","",IF(COUNTIF(Q102:AN102,TRUE())&gt;=I102,"PAGADO",IF(COUNTIF(Q102:AN102,TRUE())&gt;0,"PARCIAL","VIGENTE")))</f>
        <v/>
      </c>
      <c r="Q102" s="11" t="str">
        <f aca="false">IF(OR(I102="",I102&lt;1,O102=""),"",O102+0)</f>
        <v/>
      </c>
      <c r="R102" s="11" t="str">
        <f aca="false">IF(OR(I102="",I102&lt;2,O102=""),"",O102+30)</f>
        <v/>
      </c>
      <c r="S102" s="11" t="str">
        <f aca="false">IF(OR(I102="",I102&lt;3,O102=""),"",O102+60)</f>
        <v/>
      </c>
      <c r="T102" s="11" t="str">
        <f aca="false">IF(OR(I102="",I102&lt;4,O102=""),"",O102+90)</f>
        <v/>
      </c>
      <c r="U102" s="11" t="str">
        <f aca="false">IF(OR(I102="",I102&lt;5,O102=""),"",O102+120)</f>
        <v/>
      </c>
      <c r="V102" s="11" t="str">
        <f aca="false">IF(OR(I102="",I102&lt;6,O102=""),"",O102+150)</f>
        <v/>
      </c>
      <c r="W102" s="11" t="str">
        <f aca="false">IF(OR(I102="",I102&lt;7,O102=""),"",O102+180)</f>
        <v/>
      </c>
      <c r="X102" s="11" t="str">
        <f aca="false">IF(OR(I102="",I102&lt;8,O102=""),"",O102+210)</f>
        <v/>
      </c>
      <c r="Y102" s="11" t="str">
        <f aca="false">IF(OR(I102="",I102&lt;9,O102=""),"",O102+240)</f>
        <v/>
      </c>
      <c r="Z102" s="11" t="str">
        <f aca="false">IF(OR(I102="",I102&lt;10,O102=""),"",O102+270)</f>
        <v/>
      </c>
      <c r="AA102" s="11" t="str">
        <f aca="false">IF(OR(I102="",I102&lt;11,O102=""),"",O102+300)</f>
        <v/>
      </c>
      <c r="AB102" s="11" t="str">
        <f aca="false">IF(OR(I102="",I102&lt;12,O102=""),"",O102+330)</f>
        <v/>
      </c>
      <c r="AC102" s="11" t="str">
        <f aca="false">IF(OR(I102="",I102&lt;13,O102=""),"",O102+360)</f>
        <v/>
      </c>
      <c r="AD102" s="11" t="str">
        <f aca="false">IF(OR(I102="",I102&lt;14,O102=""),"",O102+390)</f>
        <v/>
      </c>
      <c r="AE102" s="11" t="str">
        <f aca="false">IF(OR(I102="",I102&lt;15,O102=""),"",O102+420)</f>
        <v/>
      </c>
      <c r="AF102" s="11" t="str">
        <f aca="false">IF(OR(I102="",I102&lt;16,O102=""),"",O102+450)</f>
        <v/>
      </c>
      <c r="AG102" s="11" t="str">
        <f aca="false">IF(OR(I102="",I102&lt;17,O102=""),"",O102+480)</f>
        <v/>
      </c>
      <c r="AH102" s="11" t="str">
        <f aca="false">IF(OR(I102="",I102&lt;18,O102=""),"",O102+510)</f>
        <v/>
      </c>
      <c r="AI102" s="11" t="str">
        <f aca="false">IF(OR(I102="",I102&lt;19,O102=""),"",O102+540)</f>
        <v/>
      </c>
      <c r="AJ102" s="11" t="str">
        <f aca="false">IF(OR(I102="",I102&lt;20,O102=""),"",O102+570)</f>
        <v/>
      </c>
      <c r="AK102" s="11" t="str">
        <f aca="false">IF(OR(I102="",I102&lt;21,O102=""),"",O102+600)</f>
        <v/>
      </c>
      <c r="AL102" s="11" t="str">
        <f aca="false">IF(OR(I102="",I102&lt;22,O102=""),"",O102+630)</f>
        <v/>
      </c>
      <c r="AM102" s="11" t="str">
        <f aca="false">IF(OR(I102="",I102&lt;23,O102=""),"",O102+660)</f>
        <v/>
      </c>
      <c r="AN102" s="11" t="str">
        <f aca="false">IF(OR(I102="",I102&lt;24,O102=""),"",O102+690)</f>
        <v/>
      </c>
      <c r="AO102" s="7" t="str">
        <f aca="false">IF(J102="","",COUNTIF(Q102:AN102,TRUE())*J102)</f>
        <v/>
      </c>
      <c r="AP102" s="7" t="str">
        <f aca="false">IF(K102="","",K102-AO102)</f>
        <v/>
      </c>
      <c r="AQ102" s="7" t="str">
        <f aca="false">IF(K102="","",K102-F102-IF(N102="",0,N102))</f>
        <v/>
      </c>
    </row>
    <row r="103" customFormat="false" ht="15" hidden="false" customHeight="false" outlineLevel="0" collapsed="false">
      <c r="A103" s="12"/>
      <c r="B103" s="12"/>
      <c r="C103" s="12"/>
      <c r="D103" s="13"/>
      <c r="E103" s="13"/>
      <c r="F103" s="14"/>
      <c r="G103" s="12"/>
      <c r="H103" s="12"/>
      <c r="I103" s="12"/>
      <c r="J103" s="14"/>
      <c r="K103" s="15" t="str">
        <f aca="false">IF(OR(I103="",J103=""),"",I103*J103)</f>
        <v/>
      </c>
      <c r="L103" s="12"/>
      <c r="M103" s="16"/>
      <c r="N103" s="15" t="str">
        <f aca="false">IF(OR(L103="",M103="",K103=""),"",IF(L103="GANANCIA",(K103-F103)*M103,IF(L103="BRUTO",K103*M103,"")))</f>
        <v/>
      </c>
      <c r="O103" s="17" t="str">
        <f aca="false">IF(D103="","",D103+30)</f>
        <v/>
      </c>
      <c r="P103" s="18" t="str">
        <f aca="false">IF(I103="","",IF(COUNTIF(Q103:AN103,TRUE())&gt;=I103,"PAGADO",IF(COUNTIF(Q103:AN103,TRUE())&gt;0,"PARCIAL","VIGENTE")))</f>
        <v/>
      </c>
      <c r="Q103" s="19" t="str">
        <f aca="false">IF(OR(I103="",I103&lt;1,O103=""),"",O103+0)</f>
        <v/>
      </c>
      <c r="R103" s="19" t="str">
        <f aca="false">IF(OR(I103="",I103&lt;2,O103=""),"",O103+30)</f>
        <v/>
      </c>
      <c r="S103" s="19" t="str">
        <f aca="false">IF(OR(I103="",I103&lt;3,O103=""),"",O103+60)</f>
        <v/>
      </c>
      <c r="T103" s="19" t="str">
        <f aca="false">IF(OR(I103="",I103&lt;4,O103=""),"",O103+90)</f>
        <v/>
      </c>
      <c r="U103" s="19" t="str">
        <f aca="false">IF(OR(I103="",I103&lt;5,O103=""),"",O103+120)</f>
        <v/>
      </c>
      <c r="V103" s="19" t="str">
        <f aca="false">IF(OR(I103="",I103&lt;6,O103=""),"",O103+150)</f>
        <v/>
      </c>
      <c r="W103" s="19" t="str">
        <f aca="false">IF(OR(I103="",I103&lt;7,O103=""),"",O103+180)</f>
        <v/>
      </c>
      <c r="X103" s="19" t="str">
        <f aca="false">IF(OR(I103="",I103&lt;8,O103=""),"",O103+210)</f>
        <v/>
      </c>
      <c r="Y103" s="19" t="str">
        <f aca="false">IF(OR(I103="",I103&lt;9,O103=""),"",O103+240)</f>
        <v/>
      </c>
      <c r="Z103" s="19" t="str">
        <f aca="false">IF(OR(I103="",I103&lt;10,O103=""),"",O103+270)</f>
        <v/>
      </c>
      <c r="AA103" s="19" t="str">
        <f aca="false">IF(OR(I103="",I103&lt;11,O103=""),"",O103+300)</f>
        <v/>
      </c>
      <c r="AB103" s="19" t="str">
        <f aca="false">IF(OR(I103="",I103&lt;12,O103=""),"",O103+330)</f>
        <v/>
      </c>
      <c r="AC103" s="19" t="str">
        <f aca="false">IF(OR(I103="",I103&lt;13,O103=""),"",O103+360)</f>
        <v/>
      </c>
      <c r="AD103" s="19" t="str">
        <f aca="false">IF(OR(I103="",I103&lt;14,O103=""),"",O103+390)</f>
        <v/>
      </c>
      <c r="AE103" s="19" t="str">
        <f aca="false">IF(OR(I103="",I103&lt;15,O103=""),"",O103+420)</f>
        <v/>
      </c>
      <c r="AF103" s="19" t="str">
        <f aca="false">IF(OR(I103="",I103&lt;16,O103=""),"",O103+450)</f>
        <v/>
      </c>
      <c r="AG103" s="19" t="str">
        <f aca="false">IF(OR(I103="",I103&lt;17,O103=""),"",O103+480)</f>
        <v/>
      </c>
      <c r="AH103" s="19" t="str">
        <f aca="false">IF(OR(I103="",I103&lt;18,O103=""),"",O103+510)</f>
        <v/>
      </c>
      <c r="AI103" s="19" t="str">
        <f aca="false">IF(OR(I103="",I103&lt;19,O103=""),"",O103+540)</f>
        <v/>
      </c>
      <c r="AJ103" s="19" t="str">
        <f aca="false">IF(OR(I103="",I103&lt;20,O103=""),"",O103+570)</f>
        <v/>
      </c>
      <c r="AK103" s="19" t="str">
        <f aca="false">IF(OR(I103="",I103&lt;21,O103=""),"",O103+600)</f>
        <v/>
      </c>
      <c r="AL103" s="19" t="str">
        <f aca="false">IF(OR(I103="",I103&lt;22,O103=""),"",O103+630)</f>
        <v/>
      </c>
      <c r="AM103" s="19" t="str">
        <f aca="false">IF(OR(I103="",I103&lt;23,O103=""),"",O103+660)</f>
        <v/>
      </c>
      <c r="AN103" s="19" t="str">
        <f aca="false">IF(OR(I103="",I103&lt;24,O103=""),"",O103+690)</f>
        <v/>
      </c>
      <c r="AO103" s="15" t="str">
        <f aca="false">IF(J103="","",COUNTIF(Q103:AN103,TRUE())*J103)</f>
        <v/>
      </c>
      <c r="AP103" s="15" t="str">
        <f aca="false">IF(K103="","",K103-AO103)</f>
        <v/>
      </c>
      <c r="AQ103" s="15" t="str">
        <f aca="false">IF(K103="","",K103-F103-IF(N103="",0,N103))</f>
        <v/>
      </c>
    </row>
    <row r="104" customFormat="false" ht="15" hidden="false" customHeight="false" outlineLevel="0" collapsed="false">
      <c r="A104" s="4"/>
      <c r="B104" s="4"/>
      <c r="C104" s="4"/>
      <c r="D104" s="5"/>
      <c r="E104" s="5"/>
      <c r="F104" s="6"/>
      <c r="G104" s="4"/>
      <c r="H104" s="4"/>
      <c r="I104" s="4"/>
      <c r="J104" s="6"/>
      <c r="K104" s="7" t="str">
        <f aca="false">IF(OR(I104="",J104=""),"",I104*J104)</f>
        <v/>
      </c>
      <c r="L104" s="4"/>
      <c r="M104" s="8"/>
      <c r="N104" s="7" t="str">
        <f aca="false">IF(OR(L104="",M104="",K104=""),"",IF(L104="GANANCIA",(K104-F104)*M104,IF(L104="BRUTO",K104*M104,"")))</f>
        <v/>
      </c>
      <c r="O104" s="9" t="str">
        <f aca="false">IF(D104="","",D104+30)</f>
        <v/>
      </c>
      <c r="P104" s="10" t="str">
        <f aca="false">IF(I104="","",IF(COUNTIF(Q104:AN104,TRUE())&gt;=I104,"PAGADO",IF(COUNTIF(Q104:AN104,TRUE())&gt;0,"PARCIAL","VIGENTE")))</f>
        <v/>
      </c>
      <c r="Q104" s="11" t="str">
        <f aca="false">IF(OR(I104="",I104&lt;1,O104=""),"",O104+0)</f>
        <v/>
      </c>
      <c r="R104" s="11" t="str">
        <f aca="false">IF(OR(I104="",I104&lt;2,O104=""),"",O104+30)</f>
        <v/>
      </c>
      <c r="S104" s="11" t="str">
        <f aca="false">IF(OR(I104="",I104&lt;3,O104=""),"",O104+60)</f>
        <v/>
      </c>
      <c r="T104" s="11" t="str">
        <f aca="false">IF(OR(I104="",I104&lt;4,O104=""),"",O104+90)</f>
        <v/>
      </c>
      <c r="U104" s="11" t="str">
        <f aca="false">IF(OR(I104="",I104&lt;5,O104=""),"",O104+120)</f>
        <v/>
      </c>
      <c r="V104" s="11" t="str">
        <f aca="false">IF(OR(I104="",I104&lt;6,O104=""),"",O104+150)</f>
        <v/>
      </c>
      <c r="W104" s="11" t="str">
        <f aca="false">IF(OR(I104="",I104&lt;7,O104=""),"",O104+180)</f>
        <v/>
      </c>
      <c r="X104" s="11" t="str">
        <f aca="false">IF(OR(I104="",I104&lt;8,O104=""),"",O104+210)</f>
        <v/>
      </c>
      <c r="Y104" s="11" t="str">
        <f aca="false">IF(OR(I104="",I104&lt;9,O104=""),"",O104+240)</f>
        <v/>
      </c>
      <c r="Z104" s="11" t="str">
        <f aca="false">IF(OR(I104="",I104&lt;10,O104=""),"",O104+270)</f>
        <v/>
      </c>
      <c r="AA104" s="11" t="str">
        <f aca="false">IF(OR(I104="",I104&lt;11,O104=""),"",O104+300)</f>
        <v/>
      </c>
      <c r="AB104" s="11" t="str">
        <f aca="false">IF(OR(I104="",I104&lt;12,O104=""),"",O104+330)</f>
        <v/>
      </c>
      <c r="AC104" s="11" t="str">
        <f aca="false">IF(OR(I104="",I104&lt;13,O104=""),"",O104+360)</f>
        <v/>
      </c>
      <c r="AD104" s="11" t="str">
        <f aca="false">IF(OR(I104="",I104&lt;14,O104=""),"",O104+390)</f>
        <v/>
      </c>
      <c r="AE104" s="11" t="str">
        <f aca="false">IF(OR(I104="",I104&lt;15,O104=""),"",O104+420)</f>
        <v/>
      </c>
      <c r="AF104" s="11" t="str">
        <f aca="false">IF(OR(I104="",I104&lt;16,O104=""),"",O104+450)</f>
        <v/>
      </c>
      <c r="AG104" s="11" t="str">
        <f aca="false">IF(OR(I104="",I104&lt;17,O104=""),"",O104+480)</f>
        <v/>
      </c>
      <c r="AH104" s="11" t="str">
        <f aca="false">IF(OR(I104="",I104&lt;18,O104=""),"",O104+510)</f>
        <v/>
      </c>
      <c r="AI104" s="11" t="str">
        <f aca="false">IF(OR(I104="",I104&lt;19,O104=""),"",O104+540)</f>
        <v/>
      </c>
      <c r="AJ104" s="11" t="str">
        <f aca="false">IF(OR(I104="",I104&lt;20,O104=""),"",O104+570)</f>
        <v/>
      </c>
      <c r="AK104" s="11" t="str">
        <f aca="false">IF(OR(I104="",I104&lt;21,O104=""),"",O104+600)</f>
        <v/>
      </c>
      <c r="AL104" s="11" t="str">
        <f aca="false">IF(OR(I104="",I104&lt;22,O104=""),"",O104+630)</f>
        <v/>
      </c>
      <c r="AM104" s="11" t="str">
        <f aca="false">IF(OR(I104="",I104&lt;23,O104=""),"",O104+660)</f>
        <v/>
      </c>
      <c r="AN104" s="11" t="str">
        <f aca="false">IF(OR(I104="",I104&lt;24,O104=""),"",O104+690)</f>
        <v/>
      </c>
      <c r="AO104" s="7" t="str">
        <f aca="false">IF(J104="","",COUNTIF(Q104:AN104,TRUE())*J104)</f>
        <v/>
      </c>
      <c r="AP104" s="7" t="str">
        <f aca="false">IF(K104="","",K104-AO104)</f>
        <v/>
      </c>
      <c r="AQ104" s="7" t="str">
        <f aca="false">IF(K104="","",K104-F104-IF(N104="",0,N104))</f>
        <v/>
      </c>
    </row>
    <row r="105" customFormat="false" ht="15" hidden="false" customHeight="false" outlineLevel="0" collapsed="false">
      <c r="A105" s="12"/>
      <c r="B105" s="12"/>
      <c r="C105" s="12"/>
      <c r="D105" s="13"/>
      <c r="E105" s="13"/>
      <c r="F105" s="14"/>
      <c r="G105" s="12"/>
      <c r="H105" s="12"/>
      <c r="I105" s="12"/>
      <c r="J105" s="14"/>
      <c r="K105" s="15" t="str">
        <f aca="false">IF(OR(I105="",J105=""),"",I105*J105)</f>
        <v/>
      </c>
      <c r="L105" s="12"/>
      <c r="M105" s="16"/>
      <c r="N105" s="15" t="str">
        <f aca="false">IF(OR(L105="",M105="",K105=""),"",IF(L105="GANANCIA",(K105-F105)*M105,IF(L105="BRUTO",K105*M105,"")))</f>
        <v/>
      </c>
      <c r="O105" s="17" t="str">
        <f aca="false">IF(D105="","",D105+30)</f>
        <v/>
      </c>
      <c r="P105" s="18" t="str">
        <f aca="false">IF(I105="","",IF(COUNTIF(Q105:AN105,TRUE())&gt;=I105,"PAGADO",IF(COUNTIF(Q105:AN105,TRUE())&gt;0,"PARCIAL","VIGENTE")))</f>
        <v/>
      </c>
      <c r="Q105" s="19" t="str">
        <f aca="false">IF(OR(I105="",I105&lt;1,O105=""),"",O105+0)</f>
        <v/>
      </c>
      <c r="R105" s="19" t="str">
        <f aca="false">IF(OR(I105="",I105&lt;2,O105=""),"",O105+30)</f>
        <v/>
      </c>
      <c r="S105" s="19" t="str">
        <f aca="false">IF(OR(I105="",I105&lt;3,O105=""),"",O105+60)</f>
        <v/>
      </c>
      <c r="T105" s="19" t="str">
        <f aca="false">IF(OR(I105="",I105&lt;4,O105=""),"",O105+90)</f>
        <v/>
      </c>
      <c r="U105" s="19" t="str">
        <f aca="false">IF(OR(I105="",I105&lt;5,O105=""),"",O105+120)</f>
        <v/>
      </c>
      <c r="V105" s="19" t="str">
        <f aca="false">IF(OR(I105="",I105&lt;6,O105=""),"",O105+150)</f>
        <v/>
      </c>
      <c r="W105" s="19" t="str">
        <f aca="false">IF(OR(I105="",I105&lt;7,O105=""),"",O105+180)</f>
        <v/>
      </c>
      <c r="X105" s="19" t="str">
        <f aca="false">IF(OR(I105="",I105&lt;8,O105=""),"",O105+210)</f>
        <v/>
      </c>
      <c r="Y105" s="19" t="str">
        <f aca="false">IF(OR(I105="",I105&lt;9,O105=""),"",O105+240)</f>
        <v/>
      </c>
      <c r="Z105" s="19" t="str">
        <f aca="false">IF(OR(I105="",I105&lt;10,O105=""),"",O105+270)</f>
        <v/>
      </c>
      <c r="AA105" s="19" t="str">
        <f aca="false">IF(OR(I105="",I105&lt;11,O105=""),"",O105+300)</f>
        <v/>
      </c>
      <c r="AB105" s="19" t="str">
        <f aca="false">IF(OR(I105="",I105&lt;12,O105=""),"",O105+330)</f>
        <v/>
      </c>
      <c r="AC105" s="19" t="str">
        <f aca="false">IF(OR(I105="",I105&lt;13,O105=""),"",O105+360)</f>
        <v/>
      </c>
      <c r="AD105" s="19" t="str">
        <f aca="false">IF(OR(I105="",I105&lt;14,O105=""),"",O105+390)</f>
        <v/>
      </c>
      <c r="AE105" s="19" t="str">
        <f aca="false">IF(OR(I105="",I105&lt;15,O105=""),"",O105+420)</f>
        <v/>
      </c>
      <c r="AF105" s="19" t="str">
        <f aca="false">IF(OR(I105="",I105&lt;16,O105=""),"",O105+450)</f>
        <v/>
      </c>
      <c r="AG105" s="19" t="str">
        <f aca="false">IF(OR(I105="",I105&lt;17,O105=""),"",O105+480)</f>
        <v/>
      </c>
      <c r="AH105" s="19" t="str">
        <f aca="false">IF(OR(I105="",I105&lt;18,O105=""),"",O105+510)</f>
        <v/>
      </c>
      <c r="AI105" s="19" t="str">
        <f aca="false">IF(OR(I105="",I105&lt;19,O105=""),"",O105+540)</f>
        <v/>
      </c>
      <c r="AJ105" s="19" t="str">
        <f aca="false">IF(OR(I105="",I105&lt;20,O105=""),"",O105+570)</f>
        <v/>
      </c>
      <c r="AK105" s="19" t="str">
        <f aca="false">IF(OR(I105="",I105&lt;21,O105=""),"",O105+600)</f>
        <v/>
      </c>
      <c r="AL105" s="19" t="str">
        <f aca="false">IF(OR(I105="",I105&lt;22,O105=""),"",O105+630)</f>
        <v/>
      </c>
      <c r="AM105" s="19" t="str">
        <f aca="false">IF(OR(I105="",I105&lt;23,O105=""),"",O105+660)</f>
        <v/>
      </c>
      <c r="AN105" s="19" t="str">
        <f aca="false">IF(OR(I105="",I105&lt;24,O105=""),"",O105+690)</f>
        <v/>
      </c>
      <c r="AO105" s="15" t="str">
        <f aca="false">IF(J105="","",COUNTIF(Q105:AN105,TRUE())*J105)</f>
        <v/>
      </c>
      <c r="AP105" s="15" t="str">
        <f aca="false">IF(K105="","",K105-AO105)</f>
        <v/>
      </c>
      <c r="AQ105" s="15" t="str">
        <f aca="false">IF(K105="","",K105-F105-IF(N105="",0,N105))</f>
        <v/>
      </c>
    </row>
    <row r="106" customFormat="false" ht="15" hidden="false" customHeight="false" outlineLevel="0" collapsed="false">
      <c r="A106" s="4"/>
      <c r="B106" s="4"/>
      <c r="C106" s="4"/>
      <c r="D106" s="5"/>
      <c r="E106" s="5"/>
      <c r="F106" s="6"/>
      <c r="G106" s="4"/>
      <c r="H106" s="4"/>
      <c r="I106" s="4"/>
      <c r="J106" s="6"/>
      <c r="K106" s="7" t="str">
        <f aca="false">IF(OR(I106="",J106=""),"",I106*J106)</f>
        <v/>
      </c>
      <c r="L106" s="4"/>
      <c r="M106" s="8"/>
      <c r="N106" s="7" t="str">
        <f aca="false">IF(OR(L106="",M106="",K106=""),"",IF(L106="GANANCIA",(K106-F106)*M106,IF(L106="BRUTO",K106*M106,"")))</f>
        <v/>
      </c>
      <c r="O106" s="9" t="str">
        <f aca="false">IF(D106="","",D106+30)</f>
        <v/>
      </c>
      <c r="P106" s="10" t="str">
        <f aca="false">IF(I106="","",IF(COUNTIF(Q106:AN106,TRUE())&gt;=I106,"PAGADO",IF(COUNTIF(Q106:AN106,TRUE())&gt;0,"PARCIAL","VIGENTE")))</f>
        <v/>
      </c>
      <c r="Q106" s="11" t="str">
        <f aca="false">IF(OR(I106="",I106&lt;1,O106=""),"",O106+0)</f>
        <v/>
      </c>
      <c r="R106" s="11" t="str">
        <f aca="false">IF(OR(I106="",I106&lt;2,O106=""),"",O106+30)</f>
        <v/>
      </c>
      <c r="S106" s="11" t="str">
        <f aca="false">IF(OR(I106="",I106&lt;3,O106=""),"",O106+60)</f>
        <v/>
      </c>
      <c r="T106" s="11" t="str">
        <f aca="false">IF(OR(I106="",I106&lt;4,O106=""),"",O106+90)</f>
        <v/>
      </c>
      <c r="U106" s="11" t="str">
        <f aca="false">IF(OR(I106="",I106&lt;5,O106=""),"",O106+120)</f>
        <v/>
      </c>
      <c r="V106" s="11" t="str">
        <f aca="false">IF(OR(I106="",I106&lt;6,O106=""),"",O106+150)</f>
        <v/>
      </c>
      <c r="W106" s="11" t="str">
        <f aca="false">IF(OR(I106="",I106&lt;7,O106=""),"",O106+180)</f>
        <v/>
      </c>
      <c r="X106" s="11" t="str">
        <f aca="false">IF(OR(I106="",I106&lt;8,O106=""),"",O106+210)</f>
        <v/>
      </c>
      <c r="Y106" s="11" t="str">
        <f aca="false">IF(OR(I106="",I106&lt;9,O106=""),"",O106+240)</f>
        <v/>
      </c>
      <c r="Z106" s="11" t="str">
        <f aca="false">IF(OR(I106="",I106&lt;10,O106=""),"",O106+270)</f>
        <v/>
      </c>
      <c r="AA106" s="11" t="str">
        <f aca="false">IF(OR(I106="",I106&lt;11,O106=""),"",O106+300)</f>
        <v/>
      </c>
      <c r="AB106" s="11" t="str">
        <f aca="false">IF(OR(I106="",I106&lt;12,O106=""),"",O106+330)</f>
        <v/>
      </c>
      <c r="AC106" s="11" t="str">
        <f aca="false">IF(OR(I106="",I106&lt;13,O106=""),"",O106+360)</f>
        <v/>
      </c>
      <c r="AD106" s="11" t="str">
        <f aca="false">IF(OR(I106="",I106&lt;14,O106=""),"",O106+390)</f>
        <v/>
      </c>
      <c r="AE106" s="11" t="str">
        <f aca="false">IF(OR(I106="",I106&lt;15,O106=""),"",O106+420)</f>
        <v/>
      </c>
      <c r="AF106" s="11" t="str">
        <f aca="false">IF(OR(I106="",I106&lt;16,O106=""),"",O106+450)</f>
        <v/>
      </c>
      <c r="AG106" s="11" t="str">
        <f aca="false">IF(OR(I106="",I106&lt;17,O106=""),"",O106+480)</f>
        <v/>
      </c>
      <c r="AH106" s="11" t="str">
        <f aca="false">IF(OR(I106="",I106&lt;18,O106=""),"",O106+510)</f>
        <v/>
      </c>
      <c r="AI106" s="11" t="str">
        <f aca="false">IF(OR(I106="",I106&lt;19,O106=""),"",O106+540)</f>
        <v/>
      </c>
      <c r="AJ106" s="11" t="str">
        <f aca="false">IF(OR(I106="",I106&lt;20,O106=""),"",O106+570)</f>
        <v/>
      </c>
      <c r="AK106" s="11" t="str">
        <f aca="false">IF(OR(I106="",I106&lt;21,O106=""),"",O106+600)</f>
        <v/>
      </c>
      <c r="AL106" s="11" t="str">
        <f aca="false">IF(OR(I106="",I106&lt;22,O106=""),"",O106+630)</f>
        <v/>
      </c>
      <c r="AM106" s="11" t="str">
        <f aca="false">IF(OR(I106="",I106&lt;23,O106=""),"",O106+660)</f>
        <v/>
      </c>
      <c r="AN106" s="11" t="str">
        <f aca="false">IF(OR(I106="",I106&lt;24,O106=""),"",O106+690)</f>
        <v/>
      </c>
      <c r="AO106" s="7" t="str">
        <f aca="false">IF(J106="","",COUNTIF(Q106:AN106,TRUE())*J106)</f>
        <v/>
      </c>
      <c r="AP106" s="7" t="str">
        <f aca="false">IF(K106="","",K106-AO106)</f>
        <v/>
      </c>
      <c r="AQ106" s="7" t="str">
        <f aca="false">IF(K106="","",K106-F106-IF(N106="",0,N106))</f>
        <v/>
      </c>
    </row>
    <row r="107" customFormat="false" ht="15" hidden="false" customHeight="false" outlineLevel="0" collapsed="false">
      <c r="A107" s="12"/>
      <c r="B107" s="12"/>
      <c r="C107" s="12"/>
      <c r="D107" s="13"/>
      <c r="E107" s="13"/>
      <c r="F107" s="14"/>
      <c r="G107" s="12"/>
      <c r="H107" s="12"/>
      <c r="I107" s="12"/>
      <c r="J107" s="14"/>
      <c r="K107" s="15" t="str">
        <f aca="false">IF(OR(I107="",J107=""),"",I107*J107)</f>
        <v/>
      </c>
      <c r="L107" s="12"/>
      <c r="M107" s="16"/>
      <c r="N107" s="15" t="str">
        <f aca="false">IF(OR(L107="",M107="",K107=""),"",IF(L107="GANANCIA",(K107-F107)*M107,IF(L107="BRUTO",K107*M107,"")))</f>
        <v/>
      </c>
      <c r="O107" s="17" t="str">
        <f aca="false">IF(D107="","",D107+30)</f>
        <v/>
      </c>
      <c r="P107" s="18" t="str">
        <f aca="false">IF(I107="","",IF(COUNTIF(Q107:AN107,TRUE())&gt;=I107,"PAGADO",IF(COUNTIF(Q107:AN107,TRUE())&gt;0,"PARCIAL","VIGENTE")))</f>
        <v/>
      </c>
      <c r="Q107" s="19" t="str">
        <f aca="false">IF(OR(I107="",I107&lt;1,O107=""),"",O107+0)</f>
        <v/>
      </c>
      <c r="R107" s="19" t="str">
        <f aca="false">IF(OR(I107="",I107&lt;2,O107=""),"",O107+30)</f>
        <v/>
      </c>
      <c r="S107" s="19" t="str">
        <f aca="false">IF(OR(I107="",I107&lt;3,O107=""),"",O107+60)</f>
        <v/>
      </c>
      <c r="T107" s="19" t="str">
        <f aca="false">IF(OR(I107="",I107&lt;4,O107=""),"",O107+90)</f>
        <v/>
      </c>
      <c r="U107" s="19" t="str">
        <f aca="false">IF(OR(I107="",I107&lt;5,O107=""),"",O107+120)</f>
        <v/>
      </c>
      <c r="V107" s="19" t="str">
        <f aca="false">IF(OR(I107="",I107&lt;6,O107=""),"",O107+150)</f>
        <v/>
      </c>
      <c r="W107" s="19" t="str">
        <f aca="false">IF(OR(I107="",I107&lt;7,O107=""),"",O107+180)</f>
        <v/>
      </c>
      <c r="X107" s="19" t="str">
        <f aca="false">IF(OR(I107="",I107&lt;8,O107=""),"",O107+210)</f>
        <v/>
      </c>
      <c r="Y107" s="19" t="str">
        <f aca="false">IF(OR(I107="",I107&lt;9,O107=""),"",O107+240)</f>
        <v/>
      </c>
      <c r="Z107" s="19" t="str">
        <f aca="false">IF(OR(I107="",I107&lt;10,O107=""),"",O107+270)</f>
        <v/>
      </c>
      <c r="AA107" s="19" t="str">
        <f aca="false">IF(OR(I107="",I107&lt;11,O107=""),"",O107+300)</f>
        <v/>
      </c>
      <c r="AB107" s="19" t="str">
        <f aca="false">IF(OR(I107="",I107&lt;12,O107=""),"",O107+330)</f>
        <v/>
      </c>
      <c r="AC107" s="19" t="str">
        <f aca="false">IF(OR(I107="",I107&lt;13,O107=""),"",O107+360)</f>
        <v/>
      </c>
      <c r="AD107" s="19" t="str">
        <f aca="false">IF(OR(I107="",I107&lt;14,O107=""),"",O107+390)</f>
        <v/>
      </c>
      <c r="AE107" s="19" t="str">
        <f aca="false">IF(OR(I107="",I107&lt;15,O107=""),"",O107+420)</f>
        <v/>
      </c>
      <c r="AF107" s="19" t="str">
        <f aca="false">IF(OR(I107="",I107&lt;16,O107=""),"",O107+450)</f>
        <v/>
      </c>
      <c r="AG107" s="19" t="str">
        <f aca="false">IF(OR(I107="",I107&lt;17,O107=""),"",O107+480)</f>
        <v/>
      </c>
      <c r="AH107" s="19" t="str">
        <f aca="false">IF(OR(I107="",I107&lt;18,O107=""),"",O107+510)</f>
        <v/>
      </c>
      <c r="AI107" s="19" t="str">
        <f aca="false">IF(OR(I107="",I107&lt;19,O107=""),"",O107+540)</f>
        <v/>
      </c>
      <c r="AJ107" s="19" t="str">
        <f aca="false">IF(OR(I107="",I107&lt;20,O107=""),"",O107+570)</f>
        <v/>
      </c>
      <c r="AK107" s="19" t="str">
        <f aca="false">IF(OR(I107="",I107&lt;21,O107=""),"",O107+600)</f>
        <v/>
      </c>
      <c r="AL107" s="19" t="str">
        <f aca="false">IF(OR(I107="",I107&lt;22,O107=""),"",O107+630)</f>
        <v/>
      </c>
      <c r="AM107" s="19" t="str">
        <f aca="false">IF(OR(I107="",I107&lt;23,O107=""),"",O107+660)</f>
        <v/>
      </c>
      <c r="AN107" s="19" t="str">
        <f aca="false">IF(OR(I107="",I107&lt;24,O107=""),"",O107+690)</f>
        <v/>
      </c>
      <c r="AO107" s="15" t="str">
        <f aca="false">IF(J107="","",COUNTIF(Q107:AN107,TRUE())*J107)</f>
        <v/>
      </c>
      <c r="AP107" s="15" t="str">
        <f aca="false">IF(K107="","",K107-AO107)</f>
        <v/>
      </c>
      <c r="AQ107" s="15" t="str">
        <f aca="false">IF(K107="","",K107-F107-IF(N107="",0,N107))</f>
        <v/>
      </c>
    </row>
    <row r="108" customFormat="false" ht="15" hidden="false" customHeight="false" outlineLevel="0" collapsed="false">
      <c r="A108" s="4"/>
      <c r="B108" s="4"/>
      <c r="C108" s="4"/>
      <c r="D108" s="5"/>
      <c r="E108" s="5"/>
      <c r="F108" s="6"/>
      <c r="G108" s="4"/>
      <c r="H108" s="4"/>
      <c r="I108" s="4"/>
      <c r="J108" s="6"/>
      <c r="K108" s="7" t="str">
        <f aca="false">IF(OR(I108="",J108=""),"",I108*J108)</f>
        <v/>
      </c>
      <c r="L108" s="4"/>
      <c r="M108" s="8"/>
      <c r="N108" s="7" t="str">
        <f aca="false">IF(OR(L108="",M108="",K108=""),"",IF(L108="GANANCIA",(K108-F108)*M108,IF(L108="BRUTO",K108*M108,"")))</f>
        <v/>
      </c>
      <c r="O108" s="9" t="str">
        <f aca="false">IF(D108="","",D108+30)</f>
        <v/>
      </c>
      <c r="P108" s="10" t="str">
        <f aca="false">IF(I108="","",IF(COUNTIF(Q108:AN108,TRUE())&gt;=I108,"PAGADO",IF(COUNTIF(Q108:AN108,TRUE())&gt;0,"PARCIAL","VIGENTE")))</f>
        <v/>
      </c>
      <c r="Q108" s="11" t="str">
        <f aca="false">IF(OR(I108="",I108&lt;1,O108=""),"",O108+0)</f>
        <v/>
      </c>
      <c r="R108" s="11" t="str">
        <f aca="false">IF(OR(I108="",I108&lt;2,O108=""),"",O108+30)</f>
        <v/>
      </c>
      <c r="S108" s="11" t="str">
        <f aca="false">IF(OR(I108="",I108&lt;3,O108=""),"",O108+60)</f>
        <v/>
      </c>
      <c r="T108" s="11" t="str">
        <f aca="false">IF(OR(I108="",I108&lt;4,O108=""),"",O108+90)</f>
        <v/>
      </c>
      <c r="U108" s="11" t="str">
        <f aca="false">IF(OR(I108="",I108&lt;5,O108=""),"",O108+120)</f>
        <v/>
      </c>
      <c r="V108" s="11" t="str">
        <f aca="false">IF(OR(I108="",I108&lt;6,O108=""),"",O108+150)</f>
        <v/>
      </c>
      <c r="W108" s="11" t="str">
        <f aca="false">IF(OR(I108="",I108&lt;7,O108=""),"",O108+180)</f>
        <v/>
      </c>
      <c r="X108" s="11" t="str">
        <f aca="false">IF(OR(I108="",I108&lt;8,O108=""),"",O108+210)</f>
        <v/>
      </c>
      <c r="Y108" s="11" t="str">
        <f aca="false">IF(OR(I108="",I108&lt;9,O108=""),"",O108+240)</f>
        <v/>
      </c>
      <c r="Z108" s="11" t="str">
        <f aca="false">IF(OR(I108="",I108&lt;10,O108=""),"",O108+270)</f>
        <v/>
      </c>
      <c r="AA108" s="11" t="str">
        <f aca="false">IF(OR(I108="",I108&lt;11,O108=""),"",O108+300)</f>
        <v/>
      </c>
      <c r="AB108" s="11" t="str">
        <f aca="false">IF(OR(I108="",I108&lt;12,O108=""),"",O108+330)</f>
        <v/>
      </c>
      <c r="AC108" s="11" t="str">
        <f aca="false">IF(OR(I108="",I108&lt;13,O108=""),"",O108+360)</f>
        <v/>
      </c>
      <c r="AD108" s="11" t="str">
        <f aca="false">IF(OR(I108="",I108&lt;14,O108=""),"",O108+390)</f>
        <v/>
      </c>
      <c r="AE108" s="11" t="str">
        <f aca="false">IF(OR(I108="",I108&lt;15,O108=""),"",O108+420)</f>
        <v/>
      </c>
      <c r="AF108" s="11" t="str">
        <f aca="false">IF(OR(I108="",I108&lt;16,O108=""),"",O108+450)</f>
        <v/>
      </c>
      <c r="AG108" s="11" t="str">
        <f aca="false">IF(OR(I108="",I108&lt;17,O108=""),"",O108+480)</f>
        <v/>
      </c>
      <c r="AH108" s="11" t="str">
        <f aca="false">IF(OR(I108="",I108&lt;18,O108=""),"",O108+510)</f>
        <v/>
      </c>
      <c r="AI108" s="11" t="str">
        <f aca="false">IF(OR(I108="",I108&lt;19,O108=""),"",O108+540)</f>
        <v/>
      </c>
      <c r="AJ108" s="11" t="str">
        <f aca="false">IF(OR(I108="",I108&lt;20,O108=""),"",O108+570)</f>
        <v/>
      </c>
      <c r="AK108" s="11" t="str">
        <f aca="false">IF(OR(I108="",I108&lt;21,O108=""),"",O108+600)</f>
        <v/>
      </c>
      <c r="AL108" s="11" t="str">
        <f aca="false">IF(OR(I108="",I108&lt;22,O108=""),"",O108+630)</f>
        <v/>
      </c>
      <c r="AM108" s="11" t="str">
        <f aca="false">IF(OR(I108="",I108&lt;23,O108=""),"",O108+660)</f>
        <v/>
      </c>
      <c r="AN108" s="11" t="str">
        <f aca="false">IF(OR(I108="",I108&lt;24,O108=""),"",O108+690)</f>
        <v/>
      </c>
      <c r="AO108" s="7" t="str">
        <f aca="false">IF(J108="","",COUNTIF(Q108:AN108,TRUE())*J108)</f>
        <v/>
      </c>
      <c r="AP108" s="7" t="str">
        <f aca="false">IF(K108="","",K108-AO108)</f>
        <v/>
      </c>
      <c r="AQ108" s="7" t="str">
        <f aca="false">IF(K108="","",K108-F108-IF(N108="",0,N108))</f>
        <v/>
      </c>
    </row>
    <row r="109" customFormat="false" ht="15" hidden="false" customHeight="false" outlineLevel="0" collapsed="false">
      <c r="A109" s="12"/>
      <c r="B109" s="12"/>
      <c r="C109" s="12"/>
      <c r="D109" s="13"/>
      <c r="E109" s="13"/>
      <c r="F109" s="14"/>
      <c r="G109" s="12"/>
      <c r="H109" s="12"/>
      <c r="I109" s="12"/>
      <c r="J109" s="14"/>
      <c r="K109" s="15" t="str">
        <f aca="false">IF(OR(I109="",J109=""),"",I109*J109)</f>
        <v/>
      </c>
      <c r="L109" s="12"/>
      <c r="M109" s="16"/>
      <c r="N109" s="15" t="str">
        <f aca="false">IF(OR(L109="",M109="",K109=""),"",IF(L109="GANANCIA",(K109-F109)*M109,IF(L109="BRUTO",K109*M109,"")))</f>
        <v/>
      </c>
      <c r="O109" s="17" t="str">
        <f aca="false">IF(D109="","",D109+30)</f>
        <v/>
      </c>
      <c r="P109" s="18" t="str">
        <f aca="false">IF(I109="","",IF(COUNTIF(Q109:AN109,TRUE())&gt;=I109,"PAGADO",IF(COUNTIF(Q109:AN109,TRUE())&gt;0,"PARCIAL","VIGENTE")))</f>
        <v/>
      </c>
      <c r="Q109" s="19" t="str">
        <f aca="false">IF(OR(I109="",I109&lt;1,O109=""),"",O109+0)</f>
        <v/>
      </c>
      <c r="R109" s="19" t="str">
        <f aca="false">IF(OR(I109="",I109&lt;2,O109=""),"",O109+30)</f>
        <v/>
      </c>
      <c r="S109" s="19" t="str">
        <f aca="false">IF(OR(I109="",I109&lt;3,O109=""),"",O109+60)</f>
        <v/>
      </c>
      <c r="T109" s="19" t="str">
        <f aca="false">IF(OR(I109="",I109&lt;4,O109=""),"",O109+90)</f>
        <v/>
      </c>
      <c r="U109" s="19" t="str">
        <f aca="false">IF(OR(I109="",I109&lt;5,O109=""),"",O109+120)</f>
        <v/>
      </c>
      <c r="V109" s="19" t="str">
        <f aca="false">IF(OR(I109="",I109&lt;6,O109=""),"",O109+150)</f>
        <v/>
      </c>
      <c r="W109" s="19" t="str">
        <f aca="false">IF(OR(I109="",I109&lt;7,O109=""),"",O109+180)</f>
        <v/>
      </c>
      <c r="X109" s="19" t="str">
        <f aca="false">IF(OR(I109="",I109&lt;8,O109=""),"",O109+210)</f>
        <v/>
      </c>
      <c r="Y109" s="19" t="str">
        <f aca="false">IF(OR(I109="",I109&lt;9,O109=""),"",O109+240)</f>
        <v/>
      </c>
      <c r="Z109" s="19" t="str">
        <f aca="false">IF(OR(I109="",I109&lt;10,O109=""),"",O109+270)</f>
        <v/>
      </c>
      <c r="AA109" s="19" t="str">
        <f aca="false">IF(OR(I109="",I109&lt;11,O109=""),"",O109+300)</f>
        <v/>
      </c>
      <c r="AB109" s="19" t="str">
        <f aca="false">IF(OR(I109="",I109&lt;12,O109=""),"",O109+330)</f>
        <v/>
      </c>
      <c r="AC109" s="19" t="str">
        <f aca="false">IF(OR(I109="",I109&lt;13,O109=""),"",O109+360)</f>
        <v/>
      </c>
      <c r="AD109" s="19" t="str">
        <f aca="false">IF(OR(I109="",I109&lt;14,O109=""),"",O109+390)</f>
        <v/>
      </c>
      <c r="AE109" s="19" t="str">
        <f aca="false">IF(OR(I109="",I109&lt;15,O109=""),"",O109+420)</f>
        <v/>
      </c>
      <c r="AF109" s="19" t="str">
        <f aca="false">IF(OR(I109="",I109&lt;16,O109=""),"",O109+450)</f>
        <v/>
      </c>
      <c r="AG109" s="19" t="str">
        <f aca="false">IF(OR(I109="",I109&lt;17,O109=""),"",O109+480)</f>
        <v/>
      </c>
      <c r="AH109" s="19" t="str">
        <f aca="false">IF(OR(I109="",I109&lt;18,O109=""),"",O109+510)</f>
        <v/>
      </c>
      <c r="AI109" s="19" t="str">
        <f aca="false">IF(OR(I109="",I109&lt;19,O109=""),"",O109+540)</f>
        <v/>
      </c>
      <c r="AJ109" s="19" t="str">
        <f aca="false">IF(OR(I109="",I109&lt;20,O109=""),"",O109+570)</f>
        <v/>
      </c>
      <c r="AK109" s="19" t="str">
        <f aca="false">IF(OR(I109="",I109&lt;21,O109=""),"",O109+600)</f>
        <v/>
      </c>
      <c r="AL109" s="19" t="str">
        <f aca="false">IF(OR(I109="",I109&lt;22,O109=""),"",O109+630)</f>
        <v/>
      </c>
      <c r="AM109" s="19" t="str">
        <f aca="false">IF(OR(I109="",I109&lt;23,O109=""),"",O109+660)</f>
        <v/>
      </c>
      <c r="AN109" s="19" t="str">
        <f aca="false">IF(OR(I109="",I109&lt;24,O109=""),"",O109+690)</f>
        <v/>
      </c>
      <c r="AO109" s="15" t="str">
        <f aca="false">IF(J109="","",COUNTIF(Q109:AN109,TRUE())*J109)</f>
        <v/>
      </c>
      <c r="AP109" s="15" t="str">
        <f aca="false">IF(K109="","",K109-AO109)</f>
        <v/>
      </c>
      <c r="AQ109" s="15" t="str">
        <f aca="false">IF(K109="","",K109-F109-IF(N109="",0,N109))</f>
        <v/>
      </c>
    </row>
    <row r="110" customFormat="false" ht="15" hidden="false" customHeight="false" outlineLevel="0" collapsed="false">
      <c r="A110" s="4"/>
      <c r="B110" s="4"/>
      <c r="C110" s="4"/>
      <c r="D110" s="5"/>
      <c r="E110" s="5"/>
      <c r="F110" s="6"/>
      <c r="G110" s="4"/>
      <c r="H110" s="4"/>
      <c r="I110" s="4"/>
      <c r="J110" s="6"/>
      <c r="K110" s="7" t="str">
        <f aca="false">IF(OR(I110="",J110=""),"",I110*J110)</f>
        <v/>
      </c>
      <c r="L110" s="4"/>
      <c r="M110" s="8"/>
      <c r="N110" s="7" t="str">
        <f aca="false">IF(OR(L110="",M110="",K110=""),"",IF(L110="GANANCIA",(K110-F110)*M110,IF(L110="BRUTO",K110*M110,"")))</f>
        <v/>
      </c>
      <c r="O110" s="9" t="str">
        <f aca="false">IF(D110="","",D110+30)</f>
        <v/>
      </c>
      <c r="P110" s="10" t="str">
        <f aca="false">IF(I110="","",IF(COUNTIF(Q110:AN110,TRUE())&gt;=I110,"PAGADO",IF(COUNTIF(Q110:AN110,TRUE())&gt;0,"PARCIAL","VIGENTE")))</f>
        <v/>
      </c>
      <c r="Q110" s="11" t="str">
        <f aca="false">IF(OR(I110="",I110&lt;1,O110=""),"",O110+0)</f>
        <v/>
      </c>
      <c r="R110" s="11" t="str">
        <f aca="false">IF(OR(I110="",I110&lt;2,O110=""),"",O110+30)</f>
        <v/>
      </c>
      <c r="S110" s="11" t="str">
        <f aca="false">IF(OR(I110="",I110&lt;3,O110=""),"",O110+60)</f>
        <v/>
      </c>
      <c r="T110" s="11" t="str">
        <f aca="false">IF(OR(I110="",I110&lt;4,O110=""),"",O110+90)</f>
        <v/>
      </c>
      <c r="U110" s="11" t="str">
        <f aca="false">IF(OR(I110="",I110&lt;5,O110=""),"",O110+120)</f>
        <v/>
      </c>
      <c r="V110" s="11" t="str">
        <f aca="false">IF(OR(I110="",I110&lt;6,O110=""),"",O110+150)</f>
        <v/>
      </c>
      <c r="W110" s="11" t="str">
        <f aca="false">IF(OR(I110="",I110&lt;7,O110=""),"",O110+180)</f>
        <v/>
      </c>
      <c r="X110" s="11" t="str">
        <f aca="false">IF(OR(I110="",I110&lt;8,O110=""),"",O110+210)</f>
        <v/>
      </c>
      <c r="Y110" s="11" t="str">
        <f aca="false">IF(OR(I110="",I110&lt;9,O110=""),"",O110+240)</f>
        <v/>
      </c>
      <c r="Z110" s="11" t="str">
        <f aca="false">IF(OR(I110="",I110&lt;10,O110=""),"",O110+270)</f>
        <v/>
      </c>
      <c r="AA110" s="11" t="str">
        <f aca="false">IF(OR(I110="",I110&lt;11,O110=""),"",O110+300)</f>
        <v/>
      </c>
      <c r="AB110" s="11" t="str">
        <f aca="false">IF(OR(I110="",I110&lt;12,O110=""),"",O110+330)</f>
        <v/>
      </c>
      <c r="AC110" s="11" t="str">
        <f aca="false">IF(OR(I110="",I110&lt;13,O110=""),"",O110+360)</f>
        <v/>
      </c>
      <c r="AD110" s="11" t="str">
        <f aca="false">IF(OR(I110="",I110&lt;14,O110=""),"",O110+390)</f>
        <v/>
      </c>
      <c r="AE110" s="11" t="str">
        <f aca="false">IF(OR(I110="",I110&lt;15,O110=""),"",O110+420)</f>
        <v/>
      </c>
      <c r="AF110" s="11" t="str">
        <f aca="false">IF(OR(I110="",I110&lt;16,O110=""),"",O110+450)</f>
        <v/>
      </c>
      <c r="AG110" s="11" t="str">
        <f aca="false">IF(OR(I110="",I110&lt;17,O110=""),"",O110+480)</f>
        <v/>
      </c>
      <c r="AH110" s="11" t="str">
        <f aca="false">IF(OR(I110="",I110&lt;18,O110=""),"",O110+510)</f>
        <v/>
      </c>
      <c r="AI110" s="11" t="str">
        <f aca="false">IF(OR(I110="",I110&lt;19,O110=""),"",O110+540)</f>
        <v/>
      </c>
      <c r="AJ110" s="11" t="str">
        <f aca="false">IF(OR(I110="",I110&lt;20,O110=""),"",O110+570)</f>
        <v/>
      </c>
      <c r="AK110" s="11" t="str">
        <f aca="false">IF(OR(I110="",I110&lt;21,O110=""),"",O110+600)</f>
        <v/>
      </c>
      <c r="AL110" s="11" t="str">
        <f aca="false">IF(OR(I110="",I110&lt;22,O110=""),"",O110+630)</f>
        <v/>
      </c>
      <c r="AM110" s="11" t="str">
        <f aca="false">IF(OR(I110="",I110&lt;23,O110=""),"",O110+660)</f>
        <v/>
      </c>
      <c r="AN110" s="11" t="str">
        <f aca="false">IF(OR(I110="",I110&lt;24,O110=""),"",O110+690)</f>
        <v/>
      </c>
      <c r="AO110" s="7" t="str">
        <f aca="false">IF(J110="","",COUNTIF(Q110:AN110,TRUE())*J110)</f>
        <v/>
      </c>
      <c r="AP110" s="7" t="str">
        <f aca="false">IF(K110="","",K110-AO110)</f>
        <v/>
      </c>
      <c r="AQ110" s="7" t="str">
        <f aca="false">IF(K110="","",K110-F110-IF(N110="",0,N110))</f>
        <v/>
      </c>
    </row>
    <row r="111" customFormat="false" ht="15" hidden="false" customHeight="false" outlineLevel="0" collapsed="false">
      <c r="A111" s="12"/>
      <c r="B111" s="12"/>
      <c r="C111" s="12"/>
      <c r="D111" s="13"/>
      <c r="E111" s="13"/>
      <c r="F111" s="14"/>
      <c r="G111" s="12"/>
      <c r="H111" s="12"/>
      <c r="I111" s="12"/>
      <c r="J111" s="14"/>
      <c r="K111" s="15" t="str">
        <f aca="false">IF(OR(I111="",J111=""),"",I111*J111)</f>
        <v/>
      </c>
      <c r="L111" s="12"/>
      <c r="M111" s="16"/>
      <c r="N111" s="15" t="str">
        <f aca="false">IF(OR(L111="",M111="",K111=""),"",IF(L111="GANANCIA",(K111-F111)*M111,IF(L111="BRUTO",K111*M111,"")))</f>
        <v/>
      </c>
      <c r="O111" s="17" t="str">
        <f aca="false">IF(D111="","",D111+30)</f>
        <v/>
      </c>
      <c r="P111" s="18" t="str">
        <f aca="false">IF(I111="","",IF(COUNTIF(Q111:AN111,TRUE())&gt;=I111,"PAGADO",IF(COUNTIF(Q111:AN111,TRUE())&gt;0,"PARCIAL","VIGENTE")))</f>
        <v/>
      </c>
      <c r="Q111" s="19" t="str">
        <f aca="false">IF(OR(I111="",I111&lt;1,O111=""),"",O111+0)</f>
        <v/>
      </c>
      <c r="R111" s="19" t="str">
        <f aca="false">IF(OR(I111="",I111&lt;2,O111=""),"",O111+30)</f>
        <v/>
      </c>
      <c r="S111" s="19" t="str">
        <f aca="false">IF(OR(I111="",I111&lt;3,O111=""),"",O111+60)</f>
        <v/>
      </c>
      <c r="T111" s="19" t="str">
        <f aca="false">IF(OR(I111="",I111&lt;4,O111=""),"",O111+90)</f>
        <v/>
      </c>
      <c r="U111" s="19" t="str">
        <f aca="false">IF(OR(I111="",I111&lt;5,O111=""),"",O111+120)</f>
        <v/>
      </c>
      <c r="V111" s="19" t="str">
        <f aca="false">IF(OR(I111="",I111&lt;6,O111=""),"",O111+150)</f>
        <v/>
      </c>
      <c r="W111" s="19" t="str">
        <f aca="false">IF(OR(I111="",I111&lt;7,O111=""),"",O111+180)</f>
        <v/>
      </c>
      <c r="X111" s="19" t="str">
        <f aca="false">IF(OR(I111="",I111&lt;8,O111=""),"",O111+210)</f>
        <v/>
      </c>
      <c r="Y111" s="19" t="str">
        <f aca="false">IF(OR(I111="",I111&lt;9,O111=""),"",O111+240)</f>
        <v/>
      </c>
      <c r="Z111" s="19" t="str">
        <f aca="false">IF(OR(I111="",I111&lt;10,O111=""),"",O111+270)</f>
        <v/>
      </c>
      <c r="AA111" s="19" t="str">
        <f aca="false">IF(OR(I111="",I111&lt;11,O111=""),"",O111+300)</f>
        <v/>
      </c>
      <c r="AB111" s="19" t="str">
        <f aca="false">IF(OR(I111="",I111&lt;12,O111=""),"",O111+330)</f>
        <v/>
      </c>
      <c r="AC111" s="19" t="str">
        <f aca="false">IF(OR(I111="",I111&lt;13,O111=""),"",O111+360)</f>
        <v/>
      </c>
      <c r="AD111" s="19" t="str">
        <f aca="false">IF(OR(I111="",I111&lt;14,O111=""),"",O111+390)</f>
        <v/>
      </c>
      <c r="AE111" s="19" t="str">
        <f aca="false">IF(OR(I111="",I111&lt;15,O111=""),"",O111+420)</f>
        <v/>
      </c>
      <c r="AF111" s="19" t="str">
        <f aca="false">IF(OR(I111="",I111&lt;16,O111=""),"",O111+450)</f>
        <v/>
      </c>
      <c r="AG111" s="19" t="str">
        <f aca="false">IF(OR(I111="",I111&lt;17,O111=""),"",O111+480)</f>
        <v/>
      </c>
      <c r="AH111" s="19" t="str">
        <f aca="false">IF(OR(I111="",I111&lt;18,O111=""),"",O111+510)</f>
        <v/>
      </c>
      <c r="AI111" s="19" t="str">
        <f aca="false">IF(OR(I111="",I111&lt;19,O111=""),"",O111+540)</f>
        <v/>
      </c>
      <c r="AJ111" s="19" t="str">
        <f aca="false">IF(OR(I111="",I111&lt;20,O111=""),"",O111+570)</f>
        <v/>
      </c>
      <c r="AK111" s="19" t="str">
        <f aca="false">IF(OR(I111="",I111&lt;21,O111=""),"",O111+600)</f>
        <v/>
      </c>
      <c r="AL111" s="19" t="str">
        <f aca="false">IF(OR(I111="",I111&lt;22,O111=""),"",O111+630)</f>
        <v/>
      </c>
      <c r="AM111" s="19" t="str">
        <f aca="false">IF(OR(I111="",I111&lt;23,O111=""),"",O111+660)</f>
        <v/>
      </c>
      <c r="AN111" s="19" t="str">
        <f aca="false">IF(OR(I111="",I111&lt;24,O111=""),"",O111+690)</f>
        <v/>
      </c>
      <c r="AO111" s="15" t="str">
        <f aca="false">IF(J111="","",COUNTIF(Q111:AN111,TRUE())*J111)</f>
        <v/>
      </c>
      <c r="AP111" s="15" t="str">
        <f aca="false">IF(K111="","",K111-AO111)</f>
        <v/>
      </c>
      <c r="AQ111" s="15" t="str">
        <f aca="false">IF(K111="","",K111-F111-IF(N111="",0,N111))</f>
        <v/>
      </c>
    </row>
    <row r="112" customFormat="false" ht="15" hidden="false" customHeight="false" outlineLevel="0" collapsed="false">
      <c r="A112" s="4"/>
      <c r="B112" s="4"/>
      <c r="C112" s="4"/>
      <c r="D112" s="5"/>
      <c r="E112" s="5"/>
      <c r="F112" s="6"/>
      <c r="G112" s="4"/>
      <c r="H112" s="4"/>
      <c r="I112" s="4"/>
      <c r="J112" s="6"/>
      <c r="K112" s="7" t="str">
        <f aca="false">IF(OR(I112="",J112=""),"",I112*J112)</f>
        <v/>
      </c>
      <c r="L112" s="4"/>
      <c r="M112" s="8"/>
      <c r="N112" s="7" t="str">
        <f aca="false">IF(OR(L112="",M112="",K112=""),"",IF(L112="GANANCIA",(K112-F112)*M112,IF(L112="BRUTO",K112*M112,"")))</f>
        <v/>
      </c>
      <c r="O112" s="9" t="str">
        <f aca="false">IF(D112="","",D112+30)</f>
        <v/>
      </c>
      <c r="P112" s="10" t="str">
        <f aca="false">IF(I112="","",IF(COUNTIF(Q112:AN112,TRUE())&gt;=I112,"PAGADO",IF(COUNTIF(Q112:AN112,TRUE())&gt;0,"PARCIAL","VIGENTE")))</f>
        <v/>
      </c>
      <c r="Q112" s="11" t="str">
        <f aca="false">IF(OR(I112="",I112&lt;1,O112=""),"",O112+0)</f>
        <v/>
      </c>
      <c r="R112" s="11" t="str">
        <f aca="false">IF(OR(I112="",I112&lt;2,O112=""),"",O112+30)</f>
        <v/>
      </c>
      <c r="S112" s="11" t="str">
        <f aca="false">IF(OR(I112="",I112&lt;3,O112=""),"",O112+60)</f>
        <v/>
      </c>
      <c r="T112" s="11" t="str">
        <f aca="false">IF(OR(I112="",I112&lt;4,O112=""),"",O112+90)</f>
        <v/>
      </c>
      <c r="U112" s="11" t="str">
        <f aca="false">IF(OR(I112="",I112&lt;5,O112=""),"",O112+120)</f>
        <v/>
      </c>
      <c r="V112" s="11" t="str">
        <f aca="false">IF(OR(I112="",I112&lt;6,O112=""),"",O112+150)</f>
        <v/>
      </c>
      <c r="W112" s="11" t="str">
        <f aca="false">IF(OR(I112="",I112&lt;7,O112=""),"",O112+180)</f>
        <v/>
      </c>
      <c r="X112" s="11" t="str">
        <f aca="false">IF(OR(I112="",I112&lt;8,O112=""),"",O112+210)</f>
        <v/>
      </c>
      <c r="Y112" s="11" t="str">
        <f aca="false">IF(OR(I112="",I112&lt;9,O112=""),"",O112+240)</f>
        <v/>
      </c>
      <c r="Z112" s="11" t="str">
        <f aca="false">IF(OR(I112="",I112&lt;10,O112=""),"",O112+270)</f>
        <v/>
      </c>
      <c r="AA112" s="11" t="str">
        <f aca="false">IF(OR(I112="",I112&lt;11,O112=""),"",O112+300)</f>
        <v/>
      </c>
      <c r="AB112" s="11" t="str">
        <f aca="false">IF(OR(I112="",I112&lt;12,O112=""),"",O112+330)</f>
        <v/>
      </c>
      <c r="AC112" s="11" t="str">
        <f aca="false">IF(OR(I112="",I112&lt;13,O112=""),"",O112+360)</f>
        <v/>
      </c>
      <c r="AD112" s="11" t="str">
        <f aca="false">IF(OR(I112="",I112&lt;14,O112=""),"",O112+390)</f>
        <v/>
      </c>
      <c r="AE112" s="11" t="str">
        <f aca="false">IF(OR(I112="",I112&lt;15,O112=""),"",O112+420)</f>
        <v/>
      </c>
      <c r="AF112" s="11" t="str">
        <f aca="false">IF(OR(I112="",I112&lt;16,O112=""),"",O112+450)</f>
        <v/>
      </c>
      <c r="AG112" s="11" t="str">
        <f aca="false">IF(OR(I112="",I112&lt;17,O112=""),"",O112+480)</f>
        <v/>
      </c>
      <c r="AH112" s="11" t="str">
        <f aca="false">IF(OR(I112="",I112&lt;18,O112=""),"",O112+510)</f>
        <v/>
      </c>
      <c r="AI112" s="11" t="str">
        <f aca="false">IF(OR(I112="",I112&lt;19,O112=""),"",O112+540)</f>
        <v/>
      </c>
      <c r="AJ112" s="11" t="str">
        <f aca="false">IF(OR(I112="",I112&lt;20,O112=""),"",O112+570)</f>
        <v/>
      </c>
      <c r="AK112" s="11" t="str">
        <f aca="false">IF(OR(I112="",I112&lt;21,O112=""),"",O112+600)</f>
        <v/>
      </c>
      <c r="AL112" s="11" t="str">
        <f aca="false">IF(OR(I112="",I112&lt;22,O112=""),"",O112+630)</f>
        <v/>
      </c>
      <c r="AM112" s="11" t="str">
        <f aca="false">IF(OR(I112="",I112&lt;23,O112=""),"",O112+660)</f>
        <v/>
      </c>
      <c r="AN112" s="11" t="str">
        <f aca="false">IF(OR(I112="",I112&lt;24,O112=""),"",O112+690)</f>
        <v/>
      </c>
      <c r="AO112" s="7" t="str">
        <f aca="false">IF(J112="","",COUNTIF(Q112:AN112,TRUE())*J112)</f>
        <v/>
      </c>
      <c r="AP112" s="7" t="str">
        <f aca="false">IF(K112="","",K112-AO112)</f>
        <v/>
      </c>
      <c r="AQ112" s="7" t="str">
        <f aca="false">IF(K112="","",K112-F112-IF(N112="",0,N112))</f>
        <v/>
      </c>
    </row>
    <row r="113" customFormat="false" ht="15" hidden="false" customHeight="false" outlineLevel="0" collapsed="false">
      <c r="A113" s="12"/>
      <c r="B113" s="12"/>
      <c r="C113" s="12"/>
      <c r="D113" s="13"/>
      <c r="E113" s="13"/>
      <c r="F113" s="14"/>
      <c r="G113" s="12"/>
      <c r="H113" s="12"/>
      <c r="I113" s="12"/>
      <c r="J113" s="14"/>
      <c r="K113" s="15" t="str">
        <f aca="false">IF(OR(I113="",J113=""),"",I113*J113)</f>
        <v/>
      </c>
      <c r="L113" s="12"/>
      <c r="M113" s="16"/>
      <c r="N113" s="15" t="str">
        <f aca="false">IF(OR(L113="",M113="",K113=""),"",IF(L113="GANANCIA",(K113-F113)*M113,IF(L113="BRUTO",K113*M113,"")))</f>
        <v/>
      </c>
      <c r="O113" s="17" t="str">
        <f aca="false">IF(D113="","",D113+30)</f>
        <v/>
      </c>
      <c r="P113" s="18" t="str">
        <f aca="false">IF(I113="","",IF(COUNTIF(Q113:AN113,TRUE())&gt;=I113,"PAGADO",IF(COUNTIF(Q113:AN113,TRUE())&gt;0,"PARCIAL","VIGENTE")))</f>
        <v/>
      </c>
      <c r="Q113" s="19" t="str">
        <f aca="false">IF(OR(I113="",I113&lt;1,O113=""),"",O113+0)</f>
        <v/>
      </c>
      <c r="R113" s="19" t="str">
        <f aca="false">IF(OR(I113="",I113&lt;2,O113=""),"",O113+30)</f>
        <v/>
      </c>
      <c r="S113" s="19" t="str">
        <f aca="false">IF(OR(I113="",I113&lt;3,O113=""),"",O113+60)</f>
        <v/>
      </c>
      <c r="T113" s="19" t="str">
        <f aca="false">IF(OR(I113="",I113&lt;4,O113=""),"",O113+90)</f>
        <v/>
      </c>
      <c r="U113" s="19" t="str">
        <f aca="false">IF(OR(I113="",I113&lt;5,O113=""),"",O113+120)</f>
        <v/>
      </c>
      <c r="V113" s="19" t="str">
        <f aca="false">IF(OR(I113="",I113&lt;6,O113=""),"",O113+150)</f>
        <v/>
      </c>
      <c r="W113" s="19" t="str">
        <f aca="false">IF(OR(I113="",I113&lt;7,O113=""),"",O113+180)</f>
        <v/>
      </c>
      <c r="X113" s="19" t="str">
        <f aca="false">IF(OR(I113="",I113&lt;8,O113=""),"",O113+210)</f>
        <v/>
      </c>
      <c r="Y113" s="19" t="str">
        <f aca="false">IF(OR(I113="",I113&lt;9,O113=""),"",O113+240)</f>
        <v/>
      </c>
      <c r="Z113" s="19" t="str">
        <f aca="false">IF(OR(I113="",I113&lt;10,O113=""),"",O113+270)</f>
        <v/>
      </c>
      <c r="AA113" s="19" t="str">
        <f aca="false">IF(OR(I113="",I113&lt;11,O113=""),"",O113+300)</f>
        <v/>
      </c>
      <c r="AB113" s="19" t="str">
        <f aca="false">IF(OR(I113="",I113&lt;12,O113=""),"",O113+330)</f>
        <v/>
      </c>
      <c r="AC113" s="19" t="str">
        <f aca="false">IF(OR(I113="",I113&lt;13,O113=""),"",O113+360)</f>
        <v/>
      </c>
      <c r="AD113" s="19" t="str">
        <f aca="false">IF(OR(I113="",I113&lt;14,O113=""),"",O113+390)</f>
        <v/>
      </c>
      <c r="AE113" s="19" t="str">
        <f aca="false">IF(OR(I113="",I113&lt;15,O113=""),"",O113+420)</f>
        <v/>
      </c>
      <c r="AF113" s="19" t="str">
        <f aca="false">IF(OR(I113="",I113&lt;16,O113=""),"",O113+450)</f>
        <v/>
      </c>
      <c r="AG113" s="19" t="str">
        <f aca="false">IF(OR(I113="",I113&lt;17,O113=""),"",O113+480)</f>
        <v/>
      </c>
      <c r="AH113" s="19" t="str">
        <f aca="false">IF(OR(I113="",I113&lt;18,O113=""),"",O113+510)</f>
        <v/>
      </c>
      <c r="AI113" s="19" t="str">
        <f aca="false">IF(OR(I113="",I113&lt;19,O113=""),"",O113+540)</f>
        <v/>
      </c>
      <c r="AJ113" s="19" t="str">
        <f aca="false">IF(OR(I113="",I113&lt;20,O113=""),"",O113+570)</f>
        <v/>
      </c>
      <c r="AK113" s="19" t="str">
        <f aca="false">IF(OR(I113="",I113&lt;21,O113=""),"",O113+600)</f>
        <v/>
      </c>
      <c r="AL113" s="19" t="str">
        <f aca="false">IF(OR(I113="",I113&lt;22,O113=""),"",O113+630)</f>
        <v/>
      </c>
      <c r="AM113" s="19" t="str">
        <f aca="false">IF(OR(I113="",I113&lt;23,O113=""),"",O113+660)</f>
        <v/>
      </c>
      <c r="AN113" s="19" t="str">
        <f aca="false">IF(OR(I113="",I113&lt;24,O113=""),"",O113+690)</f>
        <v/>
      </c>
      <c r="AO113" s="15" t="str">
        <f aca="false">IF(J113="","",COUNTIF(Q113:AN113,TRUE())*J113)</f>
        <v/>
      </c>
      <c r="AP113" s="15" t="str">
        <f aca="false">IF(K113="","",K113-AO113)</f>
        <v/>
      </c>
      <c r="AQ113" s="15" t="str">
        <f aca="false">IF(K113="","",K113-F113-IF(N113="",0,N113))</f>
        <v/>
      </c>
    </row>
    <row r="114" customFormat="false" ht="15" hidden="false" customHeight="false" outlineLevel="0" collapsed="false">
      <c r="A114" s="4"/>
      <c r="B114" s="4"/>
      <c r="C114" s="4"/>
      <c r="D114" s="5"/>
      <c r="E114" s="5"/>
      <c r="F114" s="6"/>
      <c r="G114" s="4"/>
      <c r="H114" s="4"/>
      <c r="I114" s="4"/>
      <c r="J114" s="6"/>
      <c r="K114" s="7" t="str">
        <f aca="false">IF(OR(I114="",J114=""),"",I114*J114)</f>
        <v/>
      </c>
      <c r="L114" s="4"/>
      <c r="M114" s="8"/>
      <c r="N114" s="7" t="str">
        <f aca="false">IF(OR(L114="",M114="",K114=""),"",IF(L114="GANANCIA",(K114-F114)*M114,IF(L114="BRUTO",K114*M114,"")))</f>
        <v/>
      </c>
      <c r="O114" s="9" t="str">
        <f aca="false">IF(D114="","",D114+30)</f>
        <v/>
      </c>
      <c r="P114" s="10" t="str">
        <f aca="false">IF(I114="","",IF(COUNTIF(Q114:AN114,TRUE())&gt;=I114,"PAGADO",IF(COUNTIF(Q114:AN114,TRUE())&gt;0,"PARCIAL","VIGENTE")))</f>
        <v/>
      </c>
      <c r="Q114" s="11" t="str">
        <f aca="false">IF(OR(I114="",I114&lt;1,O114=""),"",O114+0)</f>
        <v/>
      </c>
      <c r="R114" s="11" t="str">
        <f aca="false">IF(OR(I114="",I114&lt;2,O114=""),"",O114+30)</f>
        <v/>
      </c>
      <c r="S114" s="11" t="str">
        <f aca="false">IF(OR(I114="",I114&lt;3,O114=""),"",O114+60)</f>
        <v/>
      </c>
      <c r="T114" s="11" t="str">
        <f aca="false">IF(OR(I114="",I114&lt;4,O114=""),"",O114+90)</f>
        <v/>
      </c>
      <c r="U114" s="11" t="str">
        <f aca="false">IF(OR(I114="",I114&lt;5,O114=""),"",O114+120)</f>
        <v/>
      </c>
      <c r="V114" s="11" t="str">
        <f aca="false">IF(OR(I114="",I114&lt;6,O114=""),"",O114+150)</f>
        <v/>
      </c>
      <c r="W114" s="11" t="str">
        <f aca="false">IF(OR(I114="",I114&lt;7,O114=""),"",O114+180)</f>
        <v/>
      </c>
      <c r="X114" s="11" t="str">
        <f aca="false">IF(OR(I114="",I114&lt;8,O114=""),"",O114+210)</f>
        <v/>
      </c>
      <c r="Y114" s="11" t="str">
        <f aca="false">IF(OR(I114="",I114&lt;9,O114=""),"",O114+240)</f>
        <v/>
      </c>
      <c r="Z114" s="11" t="str">
        <f aca="false">IF(OR(I114="",I114&lt;10,O114=""),"",O114+270)</f>
        <v/>
      </c>
      <c r="AA114" s="11" t="str">
        <f aca="false">IF(OR(I114="",I114&lt;11,O114=""),"",O114+300)</f>
        <v/>
      </c>
      <c r="AB114" s="11" t="str">
        <f aca="false">IF(OR(I114="",I114&lt;12,O114=""),"",O114+330)</f>
        <v/>
      </c>
      <c r="AC114" s="11" t="str">
        <f aca="false">IF(OR(I114="",I114&lt;13,O114=""),"",O114+360)</f>
        <v/>
      </c>
      <c r="AD114" s="11" t="str">
        <f aca="false">IF(OR(I114="",I114&lt;14,O114=""),"",O114+390)</f>
        <v/>
      </c>
      <c r="AE114" s="11" t="str">
        <f aca="false">IF(OR(I114="",I114&lt;15,O114=""),"",O114+420)</f>
        <v/>
      </c>
      <c r="AF114" s="11" t="str">
        <f aca="false">IF(OR(I114="",I114&lt;16,O114=""),"",O114+450)</f>
        <v/>
      </c>
      <c r="AG114" s="11" t="str">
        <f aca="false">IF(OR(I114="",I114&lt;17,O114=""),"",O114+480)</f>
        <v/>
      </c>
      <c r="AH114" s="11" t="str">
        <f aca="false">IF(OR(I114="",I114&lt;18,O114=""),"",O114+510)</f>
        <v/>
      </c>
      <c r="AI114" s="11" t="str">
        <f aca="false">IF(OR(I114="",I114&lt;19,O114=""),"",O114+540)</f>
        <v/>
      </c>
      <c r="AJ114" s="11" t="str">
        <f aca="false">IF(OR(I114="",I114&lt;20,O114=""),"",O114+570)</f>
        <v/>
      </c>
      <c r="AK114" s="11" t="str">
        <f aca="false">IF(OR(I114="",I114&lt;21,O114=""),"",O114+600)</f>
        <v/>
      </c>
      <c r="AL114" s="11" t="str">
        <f aca="false">IF(OR(I114="",I114&lt;22,O114=""),"",O114+630)</f>
        <v/>
      </c>
      <c r="AM114" s="11" t="str">
        <f aca="false">IF(OR(I114="",I114&lt;23,O114=""),"",O114+660)</f>
        <v/>
      </c>
      <c r="AN114" s="11" t="str">
        <f aca="false">IF(OR(I114="",I114&lt;24,O114=""),"",O114+690)</f>
        <v/>
      </c>
      <c r="AO114" s="7" t="str">
        <f aca="false">IF(J114="","",COUNTIF(Q114:AN114,TRUE())*J114)</f>
        <v/>
      </c>
      <c r="AP114" s="7" t="str">
        <f aca="false">IF(K114="","",K114-AO114)</f>
        <v/>
      </c>
      <c r="AQ114" s="7" t="str">
        <f aca="false">IF(K114="","",K114-F114-IF(N114="",0,N114))</f>
        <v/>
      </c>
    </row>
    <row r="115" customFormat="false" ht="15" hidden="false" customHeight="false" outlineLevel="0" collapsed="false">
      <c r="A115" s="12"/>
      <c r="B115" s="12"/>
      <c r="C115" s="12"/>
      <c r="D115" s="13"/>
      <c r="E115" s="13"/>
      <c r="F115" s="14"/>
      <c r="G115" s="12"/>
      <c r="H115" s="12"/>
      <c r="I115" s="12"/>
      <c r="J115" s="14"/>
      <c r="K115" s="15" t="str">
        <f aca="false">IF(OR(I115="",J115=""),"",I115*J115)</f>
        <v/>
      </c>
      <c r="L115" s="12"/>
      <c r="M115" s="16"/>
      <c r="N115" s="15" t="str">
        <f aca="false">IF(OR(L115="",M115="",K115=""),"",IF(L115="GANANCIA",(K115-F115)*M115,IF(L115="BRUTO",K115*M115,"")))</f>
        <v/>
      </c>
      <c r="O115" s="17" t="str">
        <f aca="false">IF(D115="","",D115+30)</f>
        <v/>
      </c>
      <c r="P115" s="18" t="str">
        <f aca="false">IF(I115="","",IF(COUNTIF(Q115:AN115,TRUE())&gt;=I115,"PAGADO",IF(COUNTIF(Q115:AN115,TRUE())&gt;0,"PARCIAL","VIGENTE")))</f>
        <v/>
      </c>
      <c r="Q115" s="19" t="str">
        <f aca="false">IF(OR(I115="",I115&lt;1,O115=""),"",O115+0)</f>
        <v/>
      </c>
      <c r="R115" s="19" t="str">
        <f aca="false">IF(OR(I115="",I115&lt;2,O115=""),"",O115+30)</f>
        <v/>
      </c>
      <c r="S115" s="19" t="str">
        <f aca="false">IF(OR(I115="",I115&lt;3,O115=""),"",O115+60)</f>
        <v/>
      </c>
      <c r="T115" s="19" t="str">
        <f aca="false">IF(OR(I115="",I115&lt;4,O115=""),"",O115+90)</f>
        <v/>
      </c>
      <c r="U115" s="19" t="str">
        <f aca="false">IF(OR(I115="",I115&lt;5,O115=""),"",O115+120)</f>
        <v/>
      </c>
      <c r="V115" s="19" t="str">
        <f aca="false">IF(OR(I115="",I115&lt;6,O115=""),"",O115+150)</f>
        <v/>
      </c>
      <c r="W115" s="19" t="str">
        <f aca="false">IF(OR(I115="",I115&lt;7,O115=""),"",O115+180)</f>
        <v/>
      </c>
      <c r="X115" s="19" t="str">
        <f aca="false">IF(OR(I115="",I115&lt;8,O115=""),"",O115+210)</f>
        <v/>
      </c>
      <c r="Y115" s="19" t="str">
        <f aca="false">IF(OR(I115="",I115&lt;9,O115=""),"",O115+240)</f>
        <v/>
      </c>
      <c r="Z115" s="19" t="str">
        <f aca="false">IF(OR(I115="",I115&lt;10,O115=""),"",O115+270)</f>
        <v/>
      </c>
      <c r="AA115" s="19" t="str">
        <f aca="false">IF(OR(I115="",I115&lt;11,O115=""),"",O115+300)</f>
        <v/>
      </c>
      <c r="AB115" s="19" t="str">
        <f aca="false">IF(OR(I115="",I115&lt;12,O115=""),"",O115+330)</f>
        <v/>
      </c>
      <c r="AC115" s="19" t="str">
        <f aca="false">IF(OR(I115="",I115&lt;13,O115=""),"",O115+360)</f>
        <v/>
      </c>
      <c r="AD115" s="19" t="str">
        <f aca="false">IF(OR(I115="",I115&lt;14,O115=""),"",O115+390)</f>
        <v/>
      </c>
      <c r="AE115" s="19" t="str">
        <f aca="false">IF(OR(I115="",I115&lt;15,O115=""),"",O115+420)</f>
        <v/>
      </c>
      <c r="AF115" s="19" t="str">
        <f aca="false">IF(OR(I115="",I115&lt;16,O115=""),"",O115+450)</f>
        <v/>
      </c>
      <c r="AG115" s="19" t="str">
        <f aca="false">IF(OR(I115="",I115&lt;17,O115=""),"",O115+480)</f>
        <v/>
      </c>
      <c r="AH115" s="19" t="str">
        <f aca="false">IF(OR(I115="",I115&lt;18,O115=""),"",O115+510)</f>
        <v/>
      </c>
      <c r="AI115" s="19" t="str">
        <f aca="false">IF(OR(I115="",I115&lt;19,O115=""),"",O115+540)</f>
        <v/>
      </c>
      <c r="AJ115" s="19" t="str">
        <f aca="false">IF(OR(I115="",I115&lt;20,O115=""),"",O115+570)</f>
        <v/>
      </c>
      <c r="AK115" s="19" t="str">
        <f aca="false">IF(OR(I115="",I115&lt;21,O115=""),"",O115+600)</f>
        <v/>
      </c>
      <c r="AL115" s="19" t="str">
        <f aca="false">IF(OR(I115="",I115&lt;22,O115=""),"",O115+630)</f>
        <v/>
      </c>
      <c r="AM115" s="19" t="str">
        <f aca="false">IF(OR(I115="",I115&lt;23,O115=""),"",O115+660)</f>
        <v/>
      </c>
      <c r="AN115" s="19" t="str">
        <f aca="false">IF(OR(I115="",I115&lt;24,O115=""),"",O115+690)</f>
        <v/>
      </c>
      <c r="AO115" s="15" t="str">
        <f aca="false">IF(J115="","",COUNTIF(Q115:AN115,TRUE())*J115)</f>
        <v/>
      </c>
      <c r="AP115" s="15" t="str">
        <f aca="false">IF(K115="","",K115-AO115)</f>
        <v/>
      </c>
      <c r="AQ115" s="15" t="str">
        <f aca="false">IF(K115="","",K115-F115-IF(N115="",0,N115))</f>
        <v/>
      </c>
    </row>
    <row r="116" customFormat="false" ht="15" hidden="false" customHeight="false" outlineLevel="0" collapsed="false">
      <c r="A116" s="4"/>
      <c r="B116" s="4"/>
      <c r="C116" s="4"/>
      <c r="D116" s="5"/>
      <c r="E116" s="5"/>
      <c r="F116" s="6"/>
      <c r="G116" s="4"/>
      <c r="H116" s="4"/>
      <c r="I116" s="4"/>
      <c r="J116" s="6"/>
      <c r="K116" s="7" t="str">
        <f aca="false">IF(OR(I116="",J116=""),"",I116*J116)</f>
        <v/>
      </c>
      <c r="L116" s="4"/>
      <c r="M116" s="8"/>
      <c r="N116" s="7" t="str">
        <f aca="false">IF(OR(L116="",M116="",K116=""),"",IF(L116="GANANCIA",(K116-F116)*M116,IF(L116="BRUTO",K116*M116,"")))</f>
        <v/>
      </c>
      <c r="O116" s="9" t="str">
        <f aca="false">IF(D116="","",D116+30)</f>
        <v/>
      </c>
      <c r="P116" s="10" t="str">
        <f aca="false">IF(I116="","",IF(COUNTIF(Q116:AN116,TRUE())&gt;=I116,"PAGADO",IF(COUNTIF(Q116:AN116,TRUE())&gt;0,"PARCIAL","VIGENTE")))</f>
        <v/>
      </c>
      <c r="Q116" s="11" t="str">
        <f aca="false">IF(OR(I116="",I116&lt;1,O116=""),"",O116+0)</f>
        <v/>
      </c>
      <c r="R116" s="11" t="str">
        <f aca="false">IF(OR(I116="",I116&lt;2,O116=""),"",O116+30)</f>
        <v/>
      </c>
      <c r="S116" s="11" t="str">
        <f aca="false">IF(OR(I116="",I116&lt;3,O116=""),"",O116+60)</f>
        <v/>
      </c>
      <c r="T116" s="11" t="str">
        <f aca="false">IF(OR(I116="",I116&lt;4,O116=""),"",O116+90)</f>
        <v/>
      </c>
      <c r="U116" s="11" t="str">
        <f aca="false">IF(OR(I116="",I116&lt;5,O116=""),"",O116+120)</f>
        <v/>
      </c>
      <c r="V116" s="11" t="str">
        <f aca="false">IF(OR(I116="",I116&lt;6,O116=""),"",O116+150)</f>
        <v/>
      </c>
      <c r="W116" s="11" t="str">
        <f aca="false">IF(OR(I116="",I116&lt;7,O116=""),"",O116+180)</f>
        <v/>
      </c>
      <c r="X116" s="11" t="str">
        <f aca="false">IF(OR(I116="",I116&lt;8,O116=""),"",O116+210)</f>
        <v/>
      </c>
      <c r="Y116" s="11" t="str">
        <f aca="false">IF(OR(I116="",I116&lt;9,O116=""),"",O116+240)</f>
        <v/>
      </c>
      <c r="Z116" s="11" t="str">
        <f aca="false">IF(OR(I116="",I116&lt;10,O116=""),"",O116+270)</f>
        <v/>
      </c>
      <c r="AA116" s="11" t="str">
        <f aca="false">IF(OR(I116="",I116&lt;11,O116=""),"",O116+300)</f>
        <v/>
      </c>
      <c r="AB116" s="11" t="str">
        <f aca="false">IF(OR(I116="",I116&lt;12,O116=""),"",O116+330)</f>
        <v/>
      </c>
      <c r="AC116" s="11" t="str">
        <f aca="false">IF(OR(I116="",I116&lt;13,O116=""),"",O116+360)</f>
        <v/>
      </c>
      <c r="AD116" s="11" t="str">
        <f aca="false">IF(OR(I116="",I116&lt;14,O116=""),"",O116+390)</f>
        <v/>
      </c>
      <c r="AE116" s="11" t="str">
        <f aca="false">IF(OR(I116="",I116&lt;15,O116=""),"",O116+420)</f>
        <v/>
      </c>
      <c r="AF116" s="11" t="str">
        <f aca="false">IF(OR(I116="",I116&lt;16,O116=""),"",O116+450)</f>
        <v/>
      </c>
      <c r="AG116" s="11" t="str">
        <f aca="false">IF(OR(I116="",I116&lt;17,O116=""),"",O116+480)</f>
        <v/>
      </c>
      <c r="AH116" s="11" t="str">
        <f aca="false">IF(OR(I116="",I116&lt;18,O116=""),"",O116+510)</f>
        <v/>
      </c>
      <c r="AI116" s="11" t="str">
        <f aca="false">IF(OR(I116="",I116&lt;19,O116=""),"",O116+540)</f>
        <v/>
      </c>
      <c r="AJ116" s="11" t="str">
        <f aca="false">IF(OR(I116="",I116&lt;20,O116=""),"",O116+570)</f>
        <v/>
      </c>
      <c r="AK116" s="11" t="str">
        <f aca="false">IF(OR(I116="",I116&lt;21,O116=""),"",O116+600)</f>
        <v/>
      </c>
      <c r="AL116" s="11" t="str">
        <f aca="false">IF(OR(I116="",I116&lt;22,O116=""),"",O116+630)</f>
        <v/>
      </c>
      <c r="AM116" s="11" t="str">
        <f aca="false">IF(OR(I116="",I116&lt;23,O116=""),"",O116+660)</f>
        <v/>
      </c>
      <c r="AN116" s="11" t="str">
        <f aca="false">IF(OR(I116="",I116&lt;24,O116=""),"",O116+690)</f>
        <v/>
      </c>
      <c r="AO116" s="7" t="str">
        <f aca="false">IF(J116="","",COUNTIF(Q116:AN116,TRUE())*J116)</f>
        <v/>
      </c>
      <c r="AP116" s="7" t="str">
        <f aca="false">IF(K116="","",K116-AO116)</f>
        <v/>
      </c>
      <c r="AQ116" s="7" t="str">
        <f aca="false">IF(K116="","",K116-F116-IF(N116="",0,N116))</f>
        <v/>
      </c>
    </row>
    <row r="117" customFormat="false" ht="15" hidden="false" customHeight="false" outlineLevel="0" collapsed="false">
      <c r="A117" s="12"/>
      <c r="B117" s="12"/>
      <c r="C117" s="12"/>
      <c r="D117" s="13"/>
      <c r="E117" s="13"/>
      <c r="F117" s="14"/>
      <c r="G117" s="12"/>
      <c r="H117" s="12"/>
      <c r="I117" s="12"/>
      <c r="J117" s="14"/>
      <c r="K117" s="15" t="str">
        <f aca="false">IF(OR(I117="",J117=""),"",I117*J117)</f>
        <v/>
      </c>
      <c r="L117" s="12"/>
      <c r="M117" s="16"/>
      <c r="N117" s="15" t="str">
        <f aca="false">IF(OR(L117="",M117="",K117=""),"",IF(L117="GANANCIA",(K117-F117)*M117,IF(L117="BRUTO",K117*M117,"")))</f>
        <v/>
      </c>
      <c r="O117" s="17" t="str">
        <f aca="false">IF(D117="","",D117+30)</f>
        <v/>
      </c>
      <c r="P117" s="18" t="str">
        <f aca="false">IF(I117="","",IF(COUNTIF(Q117:AN117,TRUE())&gt;=I117,"PAGADO",IF(COUNTIF(Q117:AN117,TRUE())&gt;0,"PARCIAL","VIGENTE")))</f>
        <v/>
      </c>
      <c r="Q117" s="19" t="str">
        <f aca="false">IF(OR(I117="",I117&lt;1,O117=""),"",O117+0)</f>
        <v/>
      </c>
      <c r="R117" s="19" t="str">
        <f aca="false">IF(OR(I117="",I117&lt;2,O117=""),"",O117+30)</f>
        <v/>
      </c>
      <c r="S117" s="19" t="str">
        <f aca="false">IF(OR(I117="",I117&lt;3,O117=""),"",O117+60)</f>
        <v/>
      </c>
      <c r="T117" s="19" t="str">
        <f aca="false">IF(OR(I117="",I117&lt;4,O117=""),"",O117+90)</f>
        <v/>
      </c>
      <c r="U117" s="19" t="str">
        <f aca="false">IF(OR(I117="",I117&lt;5,O117=""),"",O117+120)</f>
        <v/>
      </c>
      <c r="V117" s="19" t="str">
        <f aca="false">IF(OR(I117="",I117&lt;6,O117=""),"",O117+150)</f>
        <v/>
      </c>
      <c r="W117" s="19" t="str">
        <f aca="false">IF(OR(I117="",I117&lt;7,O117=""),"",O117+180)</f>
        <v/>
      </c>
      <c r="X117" s="19" t="str">
        <f aca="false">IF(OR(I117="",I117&lt;8,O117=""),"",O117+210)</f>
        <v/>
      </c>
      <c r="Y117" s="19" t="str">
        <f aca="false">IF(OR(I117="",I117&lt;9,O117=""),"",O117+240)</f>
        <v/>
      </c>
      <c r="Z117" s="19" t="str">
        <f aca="false">IF(OR(I117="",I117&lt;10,O117=""),"",O117+270)</f>
        <v/>
      </c>
      <c r="AA117" s="19" t="str">
        <f aca="false">IF(OR(I117="",I117&lt;11,O117=""),"",O117+300)</f>
        <v/>
      </c>
      <c r="AB117" s="19" t="str">
        <f aca="false">IF(OR(I117="",I117&lt;12,O117=""),"",O117+330)</f>
        <v/>
      </c>
      <c r="AC117" s="19" t="str">
        <f aca="false">IF(OR(I117="",I117&lt;13,O117=""),"",O117+360)</f>
        <v/>
      </c>
      <c r="AD117" s="19" t="str">
        <f aca="false">IF(OR(I117="",I117&lt;14,O117=""),"",O117+390)</f>
        <v/>
      </c>
      <c r="AE117" s="19" t="str">
        <f aca="false">IF(OR(I117="",I117&lt;15,O117=""),"",O117+420)</f>
        <v/>
      </c>
      <c r="AF117" s="19" t="str">
        <f aca="false">IF(OR(I117="",I117&lt;16,O117=""),"",O117+450)</f>
        <v/>
      </c>
      <c r="AG117" s="19" t="str">
        <f aca="false">IF(OR(I117="",I117&lt;17,O117=""),"",O117+480)</f>
        <v/>
      </c>
      <c r="AH117" s="19" t="str">
        <f aca="false">IF(OR(I117="",I117&lt;18,O117=""),"",O117+510)</f>
        <v/>
      </c>
      <c r="AI117" s="19" t="str">
        <f aca="false">IF(OR(I117="",I117&lt;19,O117=""),"",O117+540)</f>
        <v/>
      </c>
      <c r="AJ117" s="19" t="str">
        <f aca="false">IF(OR(I117="",I117&lt;20,O117=""),"",O117+570)</f>
        <v/>
      </c>
      <c r="AK117" s="19" t="str">
        <f aca="false">IF(OR(I117="",I117&lt;21,O117=""),"",O117+600)</f>
        <v/>
      </c>
      <c r="AL117" s="19" t="str">
        <f aca="false">IF(OR(I117="",I117&lt;22,O117=""),"",O117+630)</f>
        <v/>
      </c>
      <c r="AM117" s="19" t="str">
        <f aca="false">IF(OR(I117="",I117&lt;23,O117=""),"",O117+660)</f>
        <v/>
      </c>
      <c r="AN117" s="19" t="str">
        <f aca="false">IF(OR(I117="",I117&lt;24,O117=""),"",O117+690)</f>
        <v/>
      </c>
      <c r="AO117" s="15" t="str">
        <f aca="false">IF(J117="","",COUNTIF(Q117:AN117,TRUE())*J117)</f>
        <v/>
      </c>
      <c r="AP117" s="15" t="str">
        <f aca="false">IF(K117="","",K117-AO117)</f>
        <v/>
      </c>
      <c r="AQ117" s="15" t="str">
        <f aca="false">IF(K117="","",K117-F117-IF(N117="",0,N117))</f>
        <v/>
      </c>
    </row>
    <row r="118" customFormat="false" ht="15" hidden="false" customHeight="false" outlineLevel="0" collapsed="false">
      <c r="A118" s="4"/>
      <c r="B118" s="4"/>
      <c r="C118" s="4"/>
      <c r="D118" s="5"/>
      <c r="E118" s="5"/>
      <c r="F118" s="6"/>
      <c r="G118" s="4"/>
      <c r="H118" s="4"/>
      <c r="I118" s="4"/>
      <c r="J118" s="6"/>
      <c r="K118" s="7" t="str">
        <f aca="false">IF(OR(I118="",J118=""),"",I118*J118)</f>
        <v/>
      </c>
      <c r="L118" s="4"/>
      <c r="M118" s="8"/>
      <c r="N118" s="7" t="str">
        <f aca="false">IF(OR(L118="",M118="",K118=""),"",IF(L118="GANANCIA",(K118-F118)*M118,IF(L118="BRUTO",K118*M118,"")))</f>
        <v/>
      </c>
      <c r="O118" s="9" t="str">
        <f aca="false">IF(D118="","",D118+30)</f>
        <v/>
      </c>
      <c r="P118" s="10" t="str">
        <f aca="false">IF(I118="","",IF(COUNTIF(Q118:AN118,TRUE())&gt;=I118,"PAGADO",IF(COUNTIF(Q118:AN118,TRUE())&gt;0,"PARCIAL","VIGENTE")))</f>
        <v/>
      </c>
      <c r="Q118" s="11" t="str">
        <f aca="false">IF(OR(I118="",I118&lt;1,O118=""),"",O118+0)</f>
        <v/>
      </c>
      <c r="R118" s="11" t="str">
        <f aca="false">IF(OR(I118="",I118&lt;2,O118=""),"",O118+30)</f>
        <v/>
      </c>
      <c r="S118" s="11" t="str">
        <f aca="false">IF(OR(I118="",I118&lt;3,O118=""),"",O118+60)</f>
        <v/>
      </c>
      <c r="T118" s="11" t="str">
        <f aca="false">IF(OR(I118="",I118&lt;4,O118=""),"",O118+90)</f>
        <v/>
      </c>
      <c r="U118" s="11" t="str">
        <f aca="false">IF(OR(I118="",I118&lt;5,O118=""),"",O118+120)</f>
        <v/>
      </c>
      <c r="V118" s="11" t="str">
        <f aca="false">IF(OR(I118="",I118&lt;6,O118=""),"",O118+150)</f>
        <v/>
      </c>
      <c r="W118" s="11" t="str">
        <f aca="false">IF(OR(I118="",I118&lt;7,O118=""),"",O118+180)</f>
        <v/>
      </c>
      <c r="X118" s="11" t="str">
        <f aca="false">IF(OR(I118="",I118&lt;8,O118=""),"",O118+210)</f>
        <v/>
      </c>
      <c r="Y118" s="11" t="str">
        <f aca="false">IF(OR(I118="",I118&lt;9,O118=""),"",O118+240)</f>
        <v/>
      </c>
      <c r="Z118" s="11" t="str">
        <f aca="false">IF(OR(I118="",I118&lt;10,O118=""),"",O118+270)</f>
        <v/>
      </c>
      <c r="AA118" s="11" t="str">
        <f aca="false">IF(OR(I118="",I118&lt;11,O118=""),"",O118+300)</f>
        <v/>
      </c>
      <c r="AB118" s="11" t="str">
        <f aca="false">IF(OR(I118="",I118&lt;12,O118=""),"",O118+330)</f>
        <v/>
      </c>
      <c r="AC118" s="11" t="str">
        <f aca="false">IF(OR(I118="",I118&lt;13,O118=""),"",O118+360)</f>
        <v/>
      </c>
      <c r="AD118" s="11" t="str">
        <f aca="false">IF(OR(I118="",I118&lt;14,O118=""),"",O118+390)</f>
        <v/>
      </c>
      <c r="AE118" s="11" t="str">
        <f aca="false">IF(OR(I118="",I118&lt;15,O118=""),"",O118+420)</f>
        <v/>
      </c>
      <c r="AF118" s="11" t="str">
        <f aca="false">IF(OR(I118="",I118&lt;16,O118=""),"",O118+450)</f>
        <v/>
      </c>
      <c r="AG118" s="11" t="str">
        <f aca="false">IF(OR(I118="",I118&lt;17,O118=""),"",O118+480)</f>
        <v/>
      </c>
      <c r="AH118" s="11" t="str">
        <f aca="false">IF(OR(I118="",I118&lt;18,O118=""),"",O118+510)</f>
        <v/>
      </c>
      <c r="AI118" s="11" t="str">
        <f aca="false">IF(OR(I118="",I118&lt;19,O118=""),"",O118+540)</f>
        <v/>
      </c>
      <c r="AJ118" s="11" t="str">
        <f aca="false">IF(OR(I118="",I118&lt;20,O118=""),"",O118+570)</f>
        <v/>
      </c>
      <c r="AK118" s="11" t="str">
        <f aca="false">IF(OR(I118="",I118&lt;21,O118=""),"",O118+600)</f>
        <v/>
      </c>
      <c r="AL118" s="11" t="str">
        <f aca="false">IF(OR(I118="",I118&lt;22,O118=""),"",O118+630)</f>
        <v/>
      </c>
      <c r="AM118" s="11" t="str">
        <f aca="false">IF(OR(I118="",I118&lt;23,O118=""),"",O118+660)</f>
        <v/>
      </c>
      <c r="AN118" s="11" t="str">
        <f aca="false">IF(OR(I118="",I118&lt;24,O118=""),"",O118+690)</f>
        <v/>
      </c>
      <c r="AO118" s="7" t="str">
        <f aca="false">IF(J118="","",COUNTIF(Q118:AN118,TRUE())*J118)</f>
        <v/>
      </c>
      <c r="AP118" s="7" t="str">
        <f aca="false">IF(K118="","",K118-AO118)</f>
        <v/>
      </c>
      <c r="AQ118" s="7" t="str">
        <f aca="false">IF(K118="","",K118-F118-IF(N118="",0,N118))</f>
        <v/>
      </c>
    </row>
    <row r="119" customFormat="false" ht="15" hidden="false" customHeight="false" outlineLevel="0" collapsed="false">
      <c r="A119" s="12"/>
      <c r="B119" s="12"/>
      <c r="C119" s="12"/>
      <c r="D119" s="13"/>
      <c r="E119" s="13"/>
      <c r="F119" s="14"/>
      <c r="G119" s="12"/>
      <c r="H119" s="12"/>
      <c r="I119" s="12"/>
      <c r="J119" s="14"/>
      <c r="K119" s="15" t="str">
        <f aca="false">IF(OR(I119="",J119=""),"",I119*J119)</f>
        <v/>
      </c>
      <c r="L119" s="12"/>
      <c r="M119" s="16"/>
      <c r="N119" s="15" t="str">
        <f aca="false">IF(OR(L119="",M119="",K119=""),"",IF(L119="GANANCIA",(K119-F119)*M119,IF(L119="BRUTO",K119*M119,"")))</f>
        <v/>
      </c>
      <c r="O119" s="17" t="str">
        <f aca="false">IF(D119="","",D119+30)</f>
        <v/>
      </c>
      <c r="P119" s="18" t="str">
        <f aca="false">IF(I119="","",IF(COUNTIF(Q119:AN119,TRUE())&gt;=I119,"PAGADO",IF(COUNTIF(Q119:AN119,TRUE())&gt;0,"PARCIAL","VIGENTE")))</f>
        <v/>
      </c>
      <c r="Q119" s="19" t="str">
        <f aca="false">IF(OR(I119="",I119&lt;1,O119=""),"",O119+0)</f>
        <v/>
      </c>
      <c r="R119" s="19" t="str">
        <f aca="false">IF(OR(I119="",I119&lt;2,O119=""),"",O119+30)</f>
        <v/>
      </c>
      <c r="S119" s="19" t="str">
        <f aca="false">IF(OR(I119="",I119&lt;3,O119=""),"",O119+60)</f>
        <v/>
      </c>
      <c r="T119" s="19" t="str">
        <f aca="false">IF(OR(I119="",I119&lt;4,O119=""),"",O119+90)</f>
        <v/>
      </c>
      <c r="U119" s="19" t="str">
        <f aca="false">IF(OR(I119="",I119&lt;5,O119=""),"",O119+120)</f>
        <v/>
      </c>
      <c r="V119" s="19" t="str">
        <f aca="false">IF(OR(I119="",I119&lt;6,O119=""),"",O119+150)</f>
        <v/>
      </c>
      <c r="W119" s="19" t="str">
        <f aca="false">IF(OR(I119="",I119&lt;7,O119=""),"",O119+180)</f>
        <v/>
      </c>
      <c r="X119" s="19" t="str">
        <f aca="false">IF(OR(I119="",I119&lt;8,O119=""),"",O119+210)</f>
        <v/>
      </c>
      <c r="Y119" s="19" t="str">
        <f aca="false">IF(OR(I119="",I119&lt;9,O119=""),"",O119+240)</f>
        <v/>
      </c>
      <c r="Z119" s="19" t="str">
        <f aca="false">IF(OR(I119="",I119&lt;10,O119=""),"",O119+270)</f>
        <v/>
      </c>
      <c r="AA119" s="19" t="str">
        <f aca="false">IF(OR(I119="",I119&lt;11,O119=""),"",O119+300)</f>
        <v/>
      </c>
      <c r="AB119" s="19" t="str">
        <f aca="false">IF(OR(I119="",I119&lt;12,O119=""),"",O119+330)</f>
        <v/>
      </c>
      <c r="AC119" s="19" t="str">
        <f aca="false">IF(OR(I119="",I119&lt;13,O119=""),"",O119+360)</f>
        <v/>
      </c>
      <c r="AD119" s="19" t="str">
        <f aca="false">IF(OR(I119="",I119&lt;14,O119=""),"",O119+390)</f>
        <v/>
      </c>
      <c r="AE119" s="19" t="str">
        <f aca="false">IF(OR(I119="",I119&lt;15,O119=""),"",O119+420)</f>
        <v/>
      </c>
      <c r="AF119" s="19" t="str">
        <f aca="false">IF(OR(I119="",I119&lt;16,O119=""),"",O119+450)</f>
        <v/>
      </c>
      <c r="AG119" s="19" t="str">
        <f aca="false">IF(OR(I119="",I119&lt;17,O119=""),"",O119+480)</f>
        <v/>
      </c>
      <c r="AH119" s="19" t="str">
        <f aca="false">IF(OR(I119="",I119&lt;18,O119=""),"",O119+510)</f>
        <v/>
      </c>
      <c r="AI119" s="19" t="str">
        <f aca="false">IF(OR(I119="",I119&lt;19,O119=""),"",O119+540)</f>
        <v/>
      </c>
      <c r="AJ119" s="19" t="str">
        <f aca="false">IF(OR(I119="",I119&lt;20,O119=""),"",O119+570)</f>
        <v/>
      </c>
      <c r="AK119" s="19" t="str">
        <f aca="false">IF(OR(I119="",I119&lt;21,O119=""),"",O119+600)</f>
        <v/>
      </c>
      <c r="AL119" s="19" t="str">
        <f aca="false">IF(OR(I119="",I119&lt;22,O119=""),"",O119+630)</f>
        <v/>
      </c>
      <c r="AM119" s="19" t="str">
        <f aca="false">IF(OR(I119="",I119&lt;23,O119=""),"",O119+660)</f>
        <v/>
      </c>
      <c r="AN119" s="19" t="str">
        <f aca="false">IF(OR(I119="",I119&lt;24,O119=""),"",O119+690)</f>
        <v/>
      </c>
      <c r="AO119" s="15" t="str">
        <f aca="false">IF(J119="","",COUNTIF(Q119:AN119,TRUE())*J119)</f>
        <v/>
      </c>
      <c r="AP119" s="15" t="str">
        <f aca="false">IF(K119="","",K119-AO119)</f>
        <v/>
      </c>
      <c r="AQ119" s="15" t="str">
        <f aca="false">IF(K119="","",K119-F119-IF(N119="",0,N119))</f>
        <v/>
      </c>
    </row>
    <row r="120" customFormat="false" ht="15" hidden="false" customHeight="false" outlineLevel="0" collapsed="false">
      <c r="A120" s="4"/>
      <c r="B120" s="4"/>
      <c r="C120" s="4"/>
      <c r="D120" s="5"/>
      <c r="E120" s="5"/>
      <c r="F120" s="6"/>
      <c r="G120" s="4"/>
      <c r="H120" s="4"/>
      <c r="I120" s="4"/>
      <c r="J120" s="6"/>
      <c r="K120" s="7" t="str">
        <f aca="false">IF(OR(I120="",J120=""),"",I120*J120)</f>
        <v/>
      </c>
      <c r="L120" s="4"/>
      <c r="M120" s="8"/>
      <c r="N120" s="7" t="str">
        <f aca="false">IF(OR(L120="",M120="",K120=""),"",IF(L120="GANANCIA",(K120-F120)*M120,IF(L120="BRUTO",K120*M120,"")))</f>
        <v/>
      </c>
      <c r="O120" s="9" t="str">
        <f aca="false">IF(D120="","",D120+30)</f>
        <v/>
      </c>
      <c r="P120" s="10" t="str">
        <f aca="false">IF(I120="","",IF(COUNTIF(Q120:AN120,TRUE())&gt;=I120,"PAGADO",IF(COUNTIF(Q120:AN120,TRUE())&gt;0,"PARCIAL","VIGENTE")))</f>
        <v/>
      </c>
      <c r="Q120" s="11" t="str">
        <f aca="false">IF(OR(I120="",I120&lt;1,O120=""),"",O120+0)</f>
        <v/>
      </c>
      <c r="R120" s="11" t="str">
        <f aca="false">IF(OR(I120="",I120&lt;2,O120=""),"",O120+30)</f>
        <v/>
      </c>
      <c r="S120" s="11" t="str">
        <f aca="false">IF(OR(I120="",I120&lt;3,O120=""),"",O120+60)</f>
        <v/>
      </c>
      <c r="T120" s="11" t="str">
        <f aca="false">IF(OR(I120="",I120&lt;4,O120=""),"",O120+90)</f>
        <v/>
      </c>
      <c r="U120" s="11" t="str">
        <f aca="false">IF(OR(I120="",I120&lt;5,O120=""),"",O120+120)</f>
        <v/>
      </c>
      <c r="V120" s="11" t="str">
        <f aca="false">IF(OR(I120="",I120&lt;6,O120=""),"",O120+150)</f>
        <v/>
      </c>
      <c r="W120" s="11" t="str">
        <f aca="false">IF(OR(I120="",I120&lt;7,O120=""),"",O120+180)</f>
        <v/>
      </c>
      <c r="X120" s="11" t="str">
        <f aca="false">IF(OR(I120="",I120&lt;8,O120=""),"",O120+210)</f>
        <v/>
      </c>
      <c r="Y120" s="11" t="str">
        <f aca="false">IF(OR(I120="",I120&lt;9,O120=""),"",O120+240)</f>
        <v/>
      </c>
      <c r="Z120" s="11" t="str">
        <f aca="false">IF(OR(I120="",I120&lt;10,O120=""),"",O120+270)</f>
        <v/>
      </c>
      <c r="AA120" s="11" t="str">
        <f aca="false">IF(OR(I120="",I120&lt;11,O120=""),"",O120+300)</f>
        <v/>
      </c>
      <c r="AB120" s="11" t="str">
        <f aca="false">IF(OR(I120="",I120&lt;12,O120=""),"",O120+330)</f>
        <v/>
      </c>
      <c r="AC120" s="11" t="str">
        <f aca="false">IF(OR(I120="",I120&lt;13,O120=""),"",O120+360)</f>
        <v/>
      </c>
      <c r="AD120" s="11" t="str">
        <f aca="false">IF(OR(I120="",I120&lt;14,O120=""),"",O120+390)</f>
        <v/>
      </c>
      <c r="AE120" s="11" t="str">
        <f aca="false">IF(OR(I120="",I120&lt;15,O120=""),"",O120+420)</f>
        <v/>
      </c>
      <c r="AF120" s="11" t="str">
        <f aca="false">IF(OR(I120="",I120&lt;16,O120=""),"",O120+450)</f>
        <v/>
      </c>
      <c r="AG120" s="11" t="str">
        <f aca="false">IF(OR(I120="",I120&lt;17,O120=""),"",O120+480)</f>
        <v/>
      </c>
      <c r="AH120" s="11" t="str">
        <f aca="false">IF(OR(I120="",I120&lt;18,O120=""),"",O120+510)</f>
        <v/>
      </c>
      <c r="AI120" s="11" t="str">
        <f aca="false">IF(OR(I120="",I120&lt;19,O120=""),"",O120+540)</f>
        <v/>
      </c>
      <c r="AJ120" s="11" t="str">
        <f aca="false">IF(OR(I120="",I120&lt;20,O120=""),"",O120+570)</f>
        <v/>
      </c>
      <c r="AK120" s="11" t="str">
        <f aca="false">IF(OR(I120="",I120&lt;21,O120=""),"",O120+600)</f>
        <v/>
      </c>
      <c r="AL120" s="11" t="str">
        <f aca="false">IF(OR(I120="",I120&lt;22,O120=""),"",O120+630)</f>
        <v/>
      </c>
      <c r="AM120" s="11" t="str">
        <f aca="false">IF(OR(I120="",I120&lt;23,O120=""),"",O120+660)</f>
        <v/>
      </c>
      <c r="AN120" s="11" t="str">
        <f aca="false">IF(OR(I120="",I120&lt;24,O120=""),"",O120+690)</f>
        <v/>
      </c>
      <c r="AO120" s="7" t="str">
        <f aca="false">IF(J120="","",COUNTIF(Q120:AN120,TRUE())*J120)</f>
        <v/>
      </c>
      <c r="AP120" s="7" t="str">
        <f aca="false">IF(K120="","",K120-AO120)</f>
        <v/>
      </c>
      <c r="AQ120" s="7" t="str">
        <f aca="false">IF(K120="","",K120-F120-IF(N120="",0,N120))</f>
        <v/>
      </c>
    </row>
    <row r="121" customFormat="false" ht="15" hidden="false" customHeight="false" outlineLevel="0" collapsed="false">
      <c r="A121" s="12"/>
      <c r="B121" s="12"/>
      <c r="C121" s="12"/>
      <c r="D121" s="13"/>
      <c r="E121" s="13"/>
      <c r="F121" s="14"/>
      <c r="G121" s="12"/>
      <c r="H121" s="12"/>
      <c r="I121" s="12"/>
      <c r="J121" s="14"/>
      <c r="K121" s="15" t="str">
        <f aca="false">IF(OR(I121="",J121=""),"",I121*J121)</f>
        <v/>
      </c>
      <c r="L121" s="12"/>
      <c r="M121" s="16"/>
      <c r="N121" s="15" t="str">
        <f aca="false">IF(OR(L121="",M121="",K121=""),"",IF(L121="GANANCIA",(K121-F121)*M121,IF(L121="BRUTO",K121*M121,"")))</f>
        <v/>
      </c>
      <c r="O121" s="17" t="str">
        <f aca="false">IF(D121="","",D121+30)</f>
        <v/>
      </c>
      <c r="P121" s="18" t="str">
        <f aca="false">IF(I121="","",IF(COUNTIF(Q121:AN121,TRUE())&gt;=I121,"PAGADO",IF(COUNTIF(Q121:AN121,TRUE())&gt;0,"PARCIAL","VIGENTE")))</f>
        <v/>
      </c>
      <c r="Q121" s="19" t="str">
        <f aca="false">IF(OR(I121="",I121&lt;1,O121=""),"",O121+0)</f>
        <v/>
      </c>
      <c r="R121" s="19" t="str">
        <f aca="false">IF(OR(I121="",I121&lt;2,O121=""),"",O121+30)</f>
        <v/>
      </c>
      <c r="S121" s="19" t="str">
        <f aca="false">IF(OR(I121="",I121&lt;3,O121=""),"",O121+60)</f>
        <v/>
      </c>
      <c r="T121" s="19" t="str">
        <f aca="false">IF(OR(I121="",I121&lt;4,O121=""),"",O121+90)</f>
        <v/>
      </c>
      <c r="U121" s="19" t="str">
        <f aca="false">IF(OR(I121="",I121&lt;5,O121=""),"",O121+120)</f>
        <v/>
      </c>
      <c r="V121" s="19" t="str">
        <f aca="false">IF(OR(I121="",I121&lt;6,O121=""),"",O121+150)</f>
        <v/>
      </c>
      <c r="W121" s="19" t="str">
        <f aca="false">IF(OR(I121="",I121&lt;7,O121=""),"",O121+180)</f>
        <v/>
      </c>
      <c r="X121" s="19" t="str">
        <f aca="false">IF(OR(I121="",I121&lt;8,O121=""),"",O121+210)</f>
        <v/>
      </c>
      <c r="Y121" s="19" t="str">
        <f aca="false">IF(OR(I121="",I121&lt;9,O121=""),"",O121+240)</f>
        <v/>
      </c>
      <c r="Z121" s="19" t="str">
        <f aca="false">IF(OR(I121="",I121&lt;10,O121=""),"",O121+270)</f>
        <v/>
      </c>
      <c r="AA121" s="19" t="str">
        <f aca="false">IF(OR(I121="",I121&lt;11,O121=""),"",O121+300)</f>
        <v/>
      </c>
      <c r="AB121" s="19" t="str">
        <f aca="false">IF(OR(I121="",I121&lt;12,O121=""),"",O121+330)</f>
        <v/>
      </c>
      <c r="AC121" s="19" t="str">
        <f aca="false">IF(OR(I121="",I121&lt;13,O121=""),"",O121+360)</f>
        <v/>
      </c>
      <c r="AD121" s="19" t="str">
        <f aca="false">IF(OR(I121="",I121&lt;14,O121=""),"",O121+390)</f>
        <v/>
      </c>
      <c r="AE121" s="19" t="str">
        <f aca="false">IF(OR(I121="",I121&lt;15,O121=""),"",O121+420)</f>
        <v/>
      </c>
      <c r="AF121" s="19" t="str">
        <f aca="false">IF(OR(I121="",I121&lt;16,O121=""),"",O121+450)</f>
        <v/>
      </c>
      <c r="AG121" s="19" t="str">
        <f aca="false">IF(OR(I121="",I121&lt;17,O121=""),"",O121+480)</f>
        <v/>
      </c>
      <c r="AH121" s="19" t="str">
        <f aca="false">IF(OR(I121="",I121&lt;18,O121=""),"",O121+510)</f>
        <v/>
      </c>
      <c r="AI121" s="19" t="str">
        <f aca="false">IF(OR(I121="",I121&lt;19,O121=""),"",O121+540)</f>
        <v/>
      </c>
      <c r="AJ121" s="19" t="str">
        <f aca="false">IF(OR(I121="",I121&lt;20,O121=""),"",O121+570)</f>
        <v/>
      </c>
      <c r="AK121" s="19" t="str">
        <f aca="false">IF(OR(I121="",I121&lt;21,O121=""),"",O121+600)</f>
        <v/>
      </c>
      <c r="AL121" s="19" t="str">
        <f aca="false">IF(OR(I121="",I121&lt;22,O121=""),"",O121+630)</f>
        <v/>
      </c>
      <c r="AM121" s="19" t="str">
        <f aca="false">IF(OR(I121="",I121&lt;23,O121=""),"",O121+660)</f>
        <v/>
      </c>
      <c r="AN121" s="19" t="str">
        <f aca="false">IF(OR(I121="",I121&lt;24,O121=""),"",O121+690)</f>
        <v/>
      </c>
      <c r="AO121" s="15" t="str">
        <f aca="false">IF(J121="","",COUNTIF(Q121:AN121,TRUE())*J121)</f>
        <v/>
      </c>
      <c r="AP121" s="15" t="str">
        <f aca="false">IF(K121="","",K121-AO121)</f>
        <v/>
      </c>
      <c r="AQ121" s="15" t="str">
        <f aca="false">IF(K121="","",K121-F121-IF(N121="",0,N121))</f>
        <v/>
      </c>
    </row>
    <row r="122" customFormat="false" ht="15" hidden="false" customHeight="false" outlineLevel="0" collapsed="false">
      <c r="A122" s="4"/>
      <c r="B122" s="4"/>
      <c r="C122" s="4"/>
      <c r="D122" s="5"/>
      <c r="E122" s="5"/>
      <c r="F122" s="6"/>
      <c r="G122" s="4"/>
      <c r="H122" s="4"/>
      <c r="I122" s="4"/>
      <c r="J122" s="6"/>
      <c r="K122" s="7" t="str">
        <f aca="false">IF(OR(I122="",J122=""),"",I122*J122)</f>
        <v/>
      </c>
      <c r="L122" s="4"/>
      <c r="M122" s="8"/>
      <c r="N122" s="7" t="str">
        <f aca="false">IF(OR(L122="",M122="",K122=""),"",IF(L122="GANANCIA",(K122-F122)*M122,IF(L122="BRUTO",K122*M122,"")))</f>
        <v/>
      </c>
      <c r="O122" s="9" t="str">
        <f aca="false">IF(D122="","",D122+30)</f>
        <v/>
      </c>
      <c r="P122" s="10" t="str">
        <f aca="false">IF(I122="","",IF(COUNTIF(Q122:AN122,TRUE())&gt;=I122,"PAGADO",IF(COUNTIF(Q122:AN122,TRUE())&gt;0,"PARCIAL","VIGENTE")))</f>
        <v/>
      </c>
      <c r="Q122" s="11" t="str">
        <f aca="false">IF(OR(I122="",I122&lt;1,O122=""),"",O122+0)</f>
        <v/>
      </c>
      <c r="R122" s="11" t="str">
        <f aca="false">IF(OR(I122="",I122&lt;2,O122=""),"",O122+30)</f>
        <v/>
      </c>
      <c r="S122" s="11" t="str">
        <f aca="false">IF(OR(I122="",I122&lt;3,O122=""),"",O122+60)</f>
        <v/>
      </c>
      <c r="T122" s="11" t="str">
        <f aca="false">IF(OR(I122="",I122&lt;4,O122=""),"",O122+90)</f>
        <v/>
      </c>
      <c r="U122" s="11" t="str">
        <f aca="false">IF(OR(I122="",I122&lt;5,O122=""),"",O122+120)</f>
        <v/>
      </c>
      <c r="V122" s="11" t="str">
        <f aca="false">IF(OR(I122="",I122&lt;6,O122=""),"",O122+150)</f>
        <v/>
      </c>
      <c r="W122" s="11" t="str">
        <f aca="false">IF(OR(I122="",I122&lt;7,O122=""),"",O122+180)</f>
        <v/>
      </c>
      <c r="X122" s="11" t="str">
        <f aca="false">IF(OR(I122="",I122&lt;8,O122=""),"",O122+210)</f>
        <v/>
      </c>
      <c r="Y122" s="11" t="str">
        <f aca="false">IF(OR(I122="",I122&lt;9,O122=""),"",O122+240)</f>
        <v/>
      </c>
      <c r="Z122" s="11" t="str">
        <f aca="false">IF(OR(I122="",I122&lt;10,O122=""),"",O122+270)</f>
        <v/>
      </c>
      <c r="AA122" s="11" t="str">
        <f aca="false">IF(OR(I122="",I122&lt;11,O122=""),"",O122+300)</f>
        <v/>
      </c>
      <c r="AB122" s="11" t="str">
        <f aca="false">IF(OR(I122="",I122&lt;12,O122=""),"",O122+330)</f>
        <v/>
      </c>
      <c r="AC122" s="11" t="str">
        <f aca="false">IF(OR(I122="",I122&lt;13,O122=""),"",O122+360)</f>
        <v/>
      </c>
      <c r="AD122" s="11" t="str">
        <f aca="false">IF(OR(I122="",I122&lt;14,O122=""),"",O122+390)</f>
        <v/>
      </c>
      <c r="AE122" s="11" t="str">
        <f aca="false">IF(OR(I122="",I122&lt;15,O122=""),"",O122+420)</f>
        <v/>
      </c>
      <c r="AF122" s="11" t="str">
        <f aca="false">IF(OR(I122="",I122&lt;16,O122=""),"",O122+450)</f>
        <v/>
      </c>
      <c r="AG122" s="11" t="str">
        <f aca="false">IF(OR(I122="",I122&lt;17,O122=""),"",O122+480)</f>
        <v/>
      </c>
      <c r="AH122" s="11" t="str">
        <f aca="false">IF(OR(I122="",I122&lt;18,O122=""),"",O122+510)</f>
        <v/>
      </c>
      <c r="AI122" s="11" t="str">
        <f aca="false">IF(OR(I122="",I122&lt;19,O122=""),"",O122+540)</f>
        <v/>
      </c>
      <c r="AJ122" s="11" t="str">
        <f aca="false">IF(OR(I122="",I122&lt;20,O122=""),"",O122+570)</f>
        <v/>
      </c>
      <c r="AK122" s="11" t="str">
        <f aca="false">IF(OR(I122="",I122&lt;21,O122=""),"",O122+600)</f>
        <v/>
      </c>
      <c r="AL122" s="11" t="str">
        <f aca="false">IF(OR(I122="",I122&lt;22,O122=""),"",O122+630)</f>
        <v/>
      </c>
      <c r="AM122" s="11" t="str">
        <f aca="false">IF(OR(I122="",I122&lt;23,O122=""),"",O122+660)</f>
        <v/>
      </c>
      <c r="AN122" s="11" t="str">
        <f aca="false">IF(OR(I122="",I122&lt;24,O122=""),"",O122+690)</f>
        <v/>
      </c>
      <c r="AO122" s="7" t="str">
        <f aca="false">IF(J122="","",COUNTIF(Q122:AN122,TRUE())*J122)</f>
        <v/>
      </c>
      <c r="AP122" s="7" t="str">
        <f aca="false">IF(K122="","",K122-AO122)</f>
        <v/>
      </c>
      <c r="AQ122" s="7" t="str">
        <f aca="false">IF(K122="","",K122-F122-IF(N122="",0,N122))</f>
        <v/>
      </c>
    </row>
    <row r="123" customFormat="false" ht="15" hidden="false" customHeight="false" outlineLevel="0" collapsed="false">
      <c r="A123" s="12"/>
      <c r="B123" s="12"/>
      <c r="C123" s="12"/>
      <c r="D123" s="13"/>
      <c r="E123" s="13"/>
      <c r="F123" s="14"/>
      <c r="G123" s="12"/>
      <c r="H123" s="12"/>
      <c r="I123" s="12"/>
      <c r="J123" s="14"/>
      <c r="K123" s="15" t="str">
        <f aca="false">IF(OR(I123="",J123=""),"",I123*J123)</f>
        <v/>
      </c>
      <c r="L123" s="12"/>
      <c r="M123" s="16"/>
      <c r="N123" s="15" t="str">
        <f aca="false">IF(OR(L123="",M123="",K123=""),"",IF(L123="GANANCIA",(K123-F123)*M123,IF(L123="BRUTO",K123*M123,"")))</f>
        <v/>
      </c>
      <c r="O123" s="17" t="str">
        <f aca="false">IF(D123="","",D123+30)</f>
        <v/>
      </c>
      <c r="P123" s="18" t="str">
        <f aca="false">IF(I123="","",IF(COUNTIF(Q123:AN123,TRUE())&gt;=I123,"PAGADO",IF(COUNTIF(Q123:AN123,TRUE())&gt;0,"PARCIAL","VIGENTE")))</f>
        <v/>
      </c>
      <c r="Q123" s="19" t="str">
        <f aca="false">IF(OR(I123="",I123&lt;1,O123=""),"",O123+0)</f>
        <v/>
      </c>
      <c r="R123" s="19" t="str">
        <f aca="false">IF(OR(I123="",I123&lt;2,O123=""),"",O123+30)</f>
        <v/>
      </c>
      <c r="S123" s="19" t="str">
        <f aca="false">IF(OR(I123="",I123&lt;3,O123=""),"",O123+60)</f>
        <v/>
      </c>
      <c r="T123" s="19" t="str">
        <f aca="false">IF(OR(I123="",I123&lt;4,O123=""),"",O123+90)</f>
        <v/>
      </c>
      <c r="U123" s="19" t="str">
        <f aca="false">IF(OR(I123="",I123&lt;5,O123=""),"",O123+120)</f>
        <v/>
      </c>
      <c r="V123" s="19" t="str">
        <f aca="false">IF(OR(I123="",I123&lt;6,O123=""),"",O123+150)</f>
        <v/>
      </c>
      <c r="W123" s="19" t="str">
        <f aca="false">IF(OR(I123="",I123&lt;7,O123=""),"",O123+180)</f>
        <v/>
      </c>
      <c r="X123" s="19" t="str">
        <f aca="false">IF(OR(I123="",I123&lt;8,O123=""),"",O123+210)</f>
        <v/>
      </c>
      <c r="Y123" s="19" t="str">
        <f aca="false">IF(OR(I123="",I123&lt;9,O123=""),"",O123+240)</f>
        <v/>
      </c>
      <c r="Z123" s="19" t="str">
        <f aca="false">IF(OR(I123="",I123&lt;10,O123=""),"",O123+270)</f>
        <v/>
      </c>
      <c r="AA123" s="19" t="str">
        <f aca="false">IF(OR(I123="",I123&lt;11,O123=""),"",O123+300)</f>
        <v/>
      </c>
      <c r="AB123" s="19" t="str">
        <f aca="false">IF(OR(I123="",I123&lt;12,O123=""),"",O123+330)</f>
        <v/>
      </c>
      <c r="AC123" s="19" t="str">
        <f aca="false">IF(OR(I123="",I123&lt;13,O123=""),"",O123+360)</f>
        <v/>
      </c>
      <c r="AD123" s="19" t="str">
        <f aca="false">IF(OR(I123="",I123&lt;14,O123=""),"",O123+390)</f>
        <v/>
      </c>
      <c r="AE123" s="19" t="str">
        <f aca="false">IF(OR(I123="",I123&lt;15,O123=""),"",O123+420)</f>
        <v/>
      </c>
      <c r="AF123" s="19" t="str">
        <f aca="false">IF(OR(I123="",I123&lt;16,O123=""),"",O123+450)</f>
        <v/>
      </c>
      <c r="AG123" s="19" t="str">
        <f aca="false">IF(OR(I123="",I123&lt;17,O123=""),"",O123+480)</f>
        <v/>
      </c>
      <c r="AH123" s="19" t="str">
        <f aca="false">IF(OR(I123="",I123&lt;18,O123=""),"",O123+510)</f>
        <v/>
      </c>
      <c r="AI123" s="19" t="str">
        <f aca="false">IF(OR(I123="",I123&lt;19,O123=""),"",O123+540)</f>
        <v/>
      </c>
      <c r="AJ123" s="19" t="str">
        <f aca="false">IF(OR(I123="",I123&lt;20,O123=""),"",O123+570)</f>
        <v/>
      </c>
      <c r="AK123" s="19" t="str">
        <f aca="false">IF(OR(I123="",I123&lt;21,O123=""),"",O123+600)</f>
        <v/>
      </c>
      <c r="AL123" s="19" t="str">
        <f aca="false">IF(OR(I123="",I123&lt;22,O123=""),"",O123+630)</f>
        <v/>
      </c>
      <c r="AM123" s="19" t="str">
        <f aca="false">IF(OR(I123="",I123&lt;23,O123=""),"",O123+660)</f>
        <v/>
      </c>
      <c r="AN123" s="19" t="str">
        <f aca="false">IF(OR(I123="",I123&lt;24,O123=""),"",O123+690)</f>
        <v/>
      </c>
      <c r="AO123" s="15" t="str">
        <f aca="false">IF(J123="","",COUNTIF(Q123:AN123,TRUE())*J123)</f>
        <v/>
      </c>
      <c r="AP123" s="15" t="str">
        <f aca="false">IF(K123="","",K123-AO123)</f>
        <v/>
      </c>
      <c r="AQ123" s="15" t="str">
        <f aca="false">IF(K123="","",K123-F123-IF(N123="",0,N123))</f>
        <v/>
      </c>
    </row>
    <row r="124" customFormat="false" ht="15" hidden="false" customHeight="false" outlineLevel="0" collapsed="false">
      <c r="A124" s="4"/>
      <c r="B124" s="4"/>
      <c r="C124" s="4"/>
      <c r="D124" s="5"/>
      <c r="E124" s="5"/>
      <c r="F124" s="6"/>
      <c r="G124" s="4"/>
      <c r="H124" s="4"/>
      <c r="I124" s="4"/>
      <c r="J124" s="6"/>
      <c r="K124" s="7" t="str">
        <f aca="false">IF(OR(I124="",J124=""),"",I124*J124)</f>
        <v/>
      </c>
      <c r="L124" s="4"/>
      <c r="M124" s="8"/>
      <c r="N124" s="7" t="str">
        <f aca="false">IF(OR(L124="",M124="",K124=""),"",IF(L124="GANANCIA",(K124-F124)*M124,IF(L124="BRUTO",K124*M124,"")))</f>
        <v/>
      </c>
      <c r="O124" s="9" t="str">
        <f aca="false">IF(D124="","",D124+30)</f>
        <v/>
      </c>
      <c r="P124" s="10" t="str">
        <f aca="false">IF(I124="","",IF(COUNTIF(Q124:AN124,TRUE())&gt;=I124,"PAGADO",IF(COUNTIF(Q124:AN124,TRUE())&gt;0,"PARCIAL","VIGENTE")))</f>
        <v/>
      </c>
      <c r="Q124" s="11" t="str">
        <f aca="false">IF(OR(I124="",I124&lt;1,O124=""),"",O124+0)</f>
        <v/>
      </c>
      <c r="R124" s="11" t="str">
        <f aca="false">IF(OR(I124="",I124&lt;2,O124=""),"",O124+30)</f>
        <v/>
      </c>
      <c r="S124" s="11" t="str">
        <f aca="false">IF(OR(I124="",I124&lt;3,O124=""),"",O124+60)</f>
        <v/>
      </c>
      <c r="T124" s="11" t="str">
        <f aca="false">IF(OR(I124="",I124&lt;4,O124=""),"",O124+90)</f>
        <v/>
      </c>
      <c r="U124" s="11" t="str">
        <f aca="false">IF(OR(I124="",I124&lt;5,O124=""),"",O124+120)</f>
        <v/>
      </c>
      <c r="V124" s="11" t="str">
        <f aca="false">IF(OR(I124="",I124&lt;6,O124=""),"",O124+150)</f>
        <v/>
      </c>
      <c r="W124" s="11" t="str">
        <f aca="false">IF(OR(I124="",I124&lt;7,O124=""),"",O124+180)</f>
        <v/>
      </c>
      <c r="X124" s="11" t="str">
        <f aca="false">IF(OR(I124="",I124&lt;8,O124=""),"",O124+210)</f>
        <v/>
      </c>
      <c r="Y124" s="11" t="str">
        <f aca="false">IF(OR(I124="",I124&lt;9,O124=""),"",O124+240)</f>
        <v/>
      </c>
      <c r="Z124" s="11" t="str">
        <f aca="false">IF(OR(I124="",I124&lt;10,O124=""),"",O124+270)</f>
        <v/>
      </c>
      <c r="AA124" s="11" t="str">
        <f aca="false">IF(OR(I124="",I124&lt;11,O124=""),"",O124+300)</f>
        <v/>
      </c>
      <c r="AB124" s="11" t="str">
        <f aca="false">IF(OR(I124="",I124&lt;12,O124=""),"",O124+330)</f>
        <v/>
      </c>
      <c r="AC124" s="11" t="str">
        <f aca="false">IF(OR(I124="",I124&lt;13,O124=""),"",O124+360)</f>
        <v/>
      </c>
      <c r="AD124" s="11" t="str">
        <f aca="false">IF(OR(I124="",I124&lt;14,O124=""),"",O124+390)</f>
        <v/>
      </c>
      <c r="AE124" s="11" t="str">
        <f aca="false">IF(OR(I124="",I124&lt;15,O124=""),"",O124+420)</f>
        <v/>
      </c>
      <c r="AF124" s="11" t="str">
        <f aca="false">IF(OR(I124="",I124&lt;16,O124=""),"",O124+450)</f>
        <v/>
      </c>
      <c r="AG124" s="11" t="str">
        <f aca="false">IF(OR(I124="",I124&lt;17,O124=""),"",O124+480)</f>
        <v/>
      </c>
      <c r="AH124" s="11" t="str">
        <f aca="false">IF(OR(I124="",I124&lt;18,O124=""),"",O124+510)</f>
        <v/>
      </c>
      <c r="AI124" s="11" t="str">
        <f aca="false">IF(OR(I124="",I124&lt;19,O124=""),"",O124+540)</f>
        <v/>
      </c>
      <c r="AJ124" s="11" t="str">
        <f aca="false">IF(OR(I124="",I124&lt;20,O124=""),"",O124+570)</f>
        <v/>
      </c>
      <c r="AK124" s="11" t="str">
        <f aca="false">IF(OR(I124="",I124&lt;21,O124=""),"",O124+600)</f>
        <v/>
      </c>
      <c r="AL124" s="11" t="str">
        <f aca="false">IF(OR(I124="",I124&lt;22,O124=""),"",O124+630)</f>
        <v/>
      </c>
      <c r="AM124" s="11" t="str">
        <f aca="false">IF(OR(I124="",I124&lt;23,O124=""),"",O124+660)</f>
        <v/>
      </c>
      <c r="AN124" s="11" t="str">
        <f aca="false">IF(OR(I124="",I124&lt;24,O124=""),"",O124+690)</f>
        <v/>
      </c>
      <c r="AO124" s="7" t="str">
        <f aca="false">IF(J124="","",COUNTIF(Q124:AN124,TRUE())*J124)</f>
        <v/>
      </c>
      <c r="AP124" s="7" t="str">
        <f aca="false">IF(K124="","",K124-AO124)</f>
        <v/>
      </c>
      <c r="AQ124" s="7" t="str">
        <f aca="false">IF(K124="","",K124-F124-IF(N124="",0,N124))</f>
        <v/>
      </c>
    </row>
    <row r="125" customFormat="false" ht="15" hidden="false" customHeight="false" outlineLevel="0" collapsed="false">
      <c r="A125" s="12"/>
      <c r="B125" s="12"/>
      <c r="C125" s="12"/>
      <c r="D125" s="13"/>
      <c r="E125" s="13"/>
      <c r="F125" s="14"/>
      <c r="G125" s="12"/>
      <c r="H125" s="12"/>
      <c r="I125" s="12"/>
      <c r="J125" s="14"/>
      <c r="K125" s="15" t="str">
        <f aca="false">IF(OR(I125="",J125=""),"",I125*J125)</f>
        <v/>
      </c>
      <c r="L125" s="12"/>
      <c r="M125" s="16"/>
      <c r="N125" s="15" t="str">
        <f aca="false">IF(OR(L125="",M125="",K125=""),"",IF(L125="GANANCIA",(K125-F125)*M125,IF(L125="BRUTO",K125*M125,"")))</f>
        <v/>
      </c>
      <c r="O125" s="17" t="str">
        <f aca="false">IF(D125="","",D125+30)</f>
        <v/>
      </c>
      <c r="P125" s="18" t="str">
        <f aca="false">IF(I125="","",IF(COUNTIF(Q125:AN125,TRUE())&gt;=I125,"PAGADO",IF(COUNTIF(Q125:AN125,TRUE())&gt;0,"PARCIAL","VIGENTE")))</f>
        <v/>
      </c>
      <c r="Q125" s="19" t="str">
        <f aca="false">IF(OR(I125="",I125&lt;1,O125=""),"",O125+0)</f>
        <v/>
      </c>
      <c r="R125" s="19" t="str">
        <f aca="false">IF(OR(I125="",I125&lt;2,O125=""),"",O125+30)</f>
        <v/>
      </c>
      <c r="S125" s="19" t="str">
        <f aca="false">IF(OR(I125="",I125&lt;3,O125=""),"",O125+60)</f>
        <v/>
      </c>
      <c r="T125" s="19" t="str">
        <f aca="false">IF(OR(I125="",I125&lt;4,O125=""),"",O125+90)</f>
        <v/>
      </c>
      <c r="U125" s="19" t="str">
        <f aca="false">IF(OR(I125="",I125&lt;5,O125=""),"",O125+120)</f>
        <v/>
      </c>
      <c r="V125" s="19" t="str">
        <f aca="false">IF(OR(I125="",I125&lt;6,O125=""),"",O125+150)</f>
        <v/>
      </c>
      <c r="W125" s="19" t="str">
        <f aca="false">IF(OR(I125="",I125&lt;7,O125=""),"",O125+180)</f>
        <v/>
      </c>
      <c r="X125" s="19" t="str">
        <f aca="false">IF(OR(I125="",I125&lt;8,O125=""),"",O125+210)</f>
        <v/>
      </c>
      <c r="Y125" s="19" t="str">
        <f aca="false">IF(OR(I125="",I125&lt;9,O125=""),"",O125+240)</f>
        <v/>
      </c>
      <c r="Z125" s="19" t="str">
        <f aca="false">IF(OR(I125="",I125&lt;10,O125=""),"",O125+270)</f>
        <v/>
      </c>
      <c r="AA125" s="19" t="str">
        <f aca="false">IF(OR(I125="",I125&lt;11,O125=""),"",O125+300)</f>
        <v/>
      </c>
      <c r="AB125" s="19" t="str">
        <f aca="false">IF(OR(I125="",I125&lt;12,O125=""),"",O125+330)</f>
        <v/>
      </c>
      <c r="AC125" s="19" t="str">
        <f aca="false">IF(OR(I125="",I125&lt;13,O125=""),"",O125+360)</f>
        <v/>
      </c>
      <c r="AD125" s="19" t="str">
        <f aca="false">IF(OR(I125="",I125&lt;14,O125=""),"",O125+390)</f>
        <v/>
      </c>
      <c r="AE125" s="19" t="str">
        <f aca="false">IF(OR(I125="",I125&lt;15,O125=""),"",O125+420)</f>
        <v/>
      </c>
      <c r="AF125" s="19" t="str">
        <f aca="false">IF(OR(I125="",I125&lt;16,O125=""),"",O125+450)</f>
        <v/>
      </c>
      <c r="AG125" s="19" t="str">
        <f aca="false">IF(OR(I125="",I125&lt;17,O125=""),"",O125+480)</f>
        <v/>
      </c>
      <c r="AH125" s="19" t="str">
        <f aca="false">IF(OR(I125="",I125&lt;18,O125=""),"",O125+510)</f>
        <v/>
      </c>
      <c r="AI125" s="19" t="str">
        <f aca="false">IF(OR(I125="",I125&lt;19,O125=""),"",O125+540)</f>
        <v/>
      </c>
      <c r="AJ125" s="19" t="str">
        <f aca="false">IF(OR(I125="",I125&lt;20,O125=""),"",O125+570)</f>
        <v/>
      </c>
      <c r="AK125" s="19" t="str">
        <f aca="false">IF(OR(I125="",I125&lt;21,O125=""),"",O125+600)</f>
        <v/>
      </c>
      <c r="AL125" s="19" t="str">
        <f aca="false">IF(OR(I125="",I125&lt;22,O125=""),"",O125+630)</f>
        <v/>
      </c>
      <c r="AM125" s="19" t="str">
        <f aca="false">IF(OR(I125="",I125&lt;23,O125=""),"",O125+660)</f>
        <v/>
      </c>
      <c r="AN125" s="19" t="str">
        <f aca="false">IF(OR(I125="",I125&lt;24,O125=""),"",O125+690)</f>
        <v/>
      </c>
      <c r="AO125" s="15" t="str">
        <f aca="false">IF(J125="","",COUNTIF(Q125:AN125,TRUE())*J125)</f>
        <v/>
      </c>
      <c r="AP125" s="15" t="str">
        <f aca="false">IF(K125="","",K125-AO125)</f>
        <v/>
      </c>
      <c r="AQ125" s="15" t="str">
        <f aca="false">IF(K125="","",K125-F125-IF(N125="",0,N125))</f>
        <v/>
      </c>
    </row>
    <row r="126" customFormat="false" ht="15" hidden="false" customHeight="false" outlineLevel="0" collapsed="false">
      <c r="A126" s="4"/>
      <c r="B126" s="4"/>
      <c r="C126" s="4"/>
      <c r="D126" s="5"/>
      <c r="E126" s="5"/>
      <c r="F126" s="6"/>
      <c r="G126" s="4"/>
      <c r="H126" s="4"/>
      <c r="I126" s="4"/>
      <c r="J126" s="6"/>
      <c r="K126" s="7" t="str">
        <f aca="false">IF(OR(I126="",J126=""),"",I126*J126)</f>
        <v/>
      </c>
      <c r="L126" s="4"/>
      <c r="M126" s="8"/>
      <c r="N126" s="7" t="str">
        <f aca="false">IF(OR(L126="",M126="",K126=""),"",IF(L126="GANANCIA",(K126-F126)*M126,IF(L126="BRUTO",K126*M126,"")))</f>
        <v/>
      </c>
      <c r="O126" s="9" t="str">
        <f aca="false">IF(D126="","",D126+30)</f>
        <v/>
      </c>
      <c r="P126" s="10" t="str">
        <f aca="false">IF(I126="","",IF(COUNTIF(Q126:AN126,TRUE())&gt;=I126,"PAGADO",IF(COUNTIF(Q126:AN126,TRUE())&gt;0,"PARCIAL","VIGENTE")))</f>
        <v/>
      </c>
      <c r="Q126" s="11" t="str">
        <f aca="false">IF(OR(I126="",I126&lt;1,O126=""),"",O126+0)</f>
        <v/>
      </c>
      <c r="R126" s="11" t="str">
        <f aca="false">IF(OR(I126="",I126&lt;2,O126=""),"",O126+30)</f>
        <v/>
      </c>
      <c r="S126" s="11" t="str">
        <f aca="false">IF(OR(I126="",I126&lt;3,O126=""),"",O126+60)</f>
        <v/>
      </c>
      <c r="T126" s="11" t="str">
        <f aca="false">IF(OR(I126="",I126&lt;4,O126=""),"",O126+90)</f>
        <v/>
      </c>
      <c r="U126" s="11" t="str">
        <f aca="false">IF(OR(I126="",I126&lt;5,O126=""),"",O126+120)</f>
        <v/>
      </c>
      <c r="V126" s="11" t="str">
        <f aca="false">IF(OR(I126="",I126&lt;6,O126=""),"",O126+150)</f>
        <v/>
      </c>
      <c r="W126" s="11" t="str">
        <f aca="false">IF(OR(I126="",I126&lt;7,O126=""),"",O126+180)</f>
        <v/>
      </c>
      <c r="X126" s="11" t="str">
        <f aca="false">IF(OR(I126="",I126&lt;8,O126=""),"",O126+210)</f>
        <v/>
      </c>
      <c r="Y126" s="11" t="str">
        <f aca="false">IF(OR(I126="",I126&lt;9,O126=""),"",O126+240)</f>
        <v/>
      </c>
      <c r="Z126" s="11" t="str">
        <f aca="false">IF(OR(I126="",I126&lt;10,O126=""),"",O126+270)</f>
        <v/>
      </c>
      <c r="AA126" s="11" t="str">
        <f aca="false">IF(OR(I126="",I126&lt;11,O126=""),"",O126+300)</f>
        <v/>
      </c>
      <c r="AB126" s="11" t="str">
        <f aca="false">IF(OR(I126="",I126&lt;12,O126=""),"",O126+330)</f>
        <v/>
      </c>
      <c r="AC126" s="11" t="str">
        <f aca="false">IF(OR(I126="",I126&lt;13,O126=""),"",O126+360)</f>
        <v/>
      </c>
      <c r="AD126" s="11" t="str">
        <f aca="false">IF(OR(I126="",I126&lt;14,O126=""),"",O126+390)</f>
        <v/>
      </c>
      <c r="AE126" s="11" t="str">
        <f aca="false">IF(OR(I126="",I126&lt;15,O126=""),"",O126+420)</f>
        <v/>
      </c>
      <c r="AF126" s="11" t="str">
        <f aca="false">IF(OR(I126="",I126&lt;16,O126=""),"",O126+450)</f>
        <v/>
      </c>
      <c r="AG126" s="11" t="str">
        <f aca="false">IF(OR(I126="",I126&lt;17,O126=""),"",O126+480)</f>
        <v/>
      </c>
      <c r="AH126" s="11" t="str">
        <f aca="false">IF(OR(I126="",I126&lt;18,O126=""),"",O126+510)</f>
        <v/>
      </c>
      <c r="AI126" s="11" t="str">
        <f aca="false">IF(OR(I126="",I126&lt;19,O126=""),"",O126+540)</f>
        <v/>
      </c>
      <c r="AJ126" s="11" t="str">
        <f aca="false">IF(OR(I126="",I126&lt;20,O126=""),"",O126+570)</f>
        <v/>
      </c>
      <c r="AK126" s="11" t="str">
        <f aca="false">IF(OR(I126="",I126&lt;21,O126=""),"",O126+600)</f>
        <v/>
      </c>
      <c r="AL126" s="11" t="str">
        <f aca="false">IF(OR(I126="",I126&lt;22,O126=""),"",O126+630)</f>
        <v/>
      </c>
      <c r="AM126" s="11" t="str">
        <f aca="false">IF(OR(I126="",I126&lt;23,O126=""),"",O126+660)</f>
        <v/>
      </c>
      <c r="AN126" s="11" t="str">
        <f aca="false">IF(OR(I126="",I126&lt;24,O126=""),"",O126+690)</f>
        <v/>
      </c>
      <c r="AO126" s="7" t="str">
        <f aca="false">IF(J126="","",COUNTIF(Q126:AN126,TRUE())*J126)</f>
        <v/>
      </c>
      <c r="AP126" s="7" t="str">
        <f aca="false">IF(K126="","",K126-AO126)</f>
        <v/>
      </c>
      <c r="AQ126" s="7" t="str">
        <f aca="false">IF(K126="","",K126-F126-IF(N126="",0,N126))</f>
        <v/>
      </c>
    </row>
    <row r="127" customFormat="false" ht="15" hidden="false" customHeight="false" outlineLevel="0" collapsed="false">
      <c r="A127" s="12"/>
      <c r="B127" s="12"/>
      <c r="C127" s="12"/>
      <c r="D127" s="13"/>
      <c r="E127" s="13"/>
      <c r="F127" s="14"/>
      <c r="G127" s="12"/>
      <c r="H127" s="12"/>
      <c r="I127" s="12"/>
      <c r="J127" s="14"/>
      <c r="K127" s="15" t="str">
        <f aca="false">IF(OR(I127="",J127=""),"",I127*J127)</f>
        <v/>
      </c>
      <c r="L127" s="12"/>
      <c r="M127" s="16"/>
      <c r="N127" s="15" t="str">
        <f aca="false">IF(OR(L127="",M127="",K127=""),"",IF(L127="GANANCIA",(K127-F127)*M127,IF(L127="BRUTO",K127*M127,"")))</f>
        <v/>
      </c>
      <c r="O127" s="17" t="str">
        <f aca="false">IF(D127="","",D127+30)</f>
        <v/>
      </c>
      <c r="P127" s="18" t="str">
        <f aca="false">IF(I127="","",IF(COUNTIF(Q127:AN127,TRUE())&gt;=I127,"PAGADO",IF(COUNTIF(Q127:AN127,TRUE())&gt;0,"PARCIAL","VIGENTE")))</f>
        <v/>
      </c>
      <c r="Q127" s="19" t="str">
        <f aca="false">IF(OR(I127="",I127&lt;1,O127=""),"",O127+0)</f>
        <v/>
      </c>
      <c r="R127" s="19" t="str">
        <f aca="false">IF(OR(I127="",I127&lt;2,O127=""),"",O127+30)</f>
        <v/>
      </c>
      <c r="S127" s="19" t="str">
        <f aca="false">IF(OR(I127="",I127&lt;3,O127=""),"",O127+60)</f>
        <v/>
      </c>
      <c r="T127" s="19" t="str">
        <f aca="false">IF(OR(I127="",I127&lt;4,O127=""),"",O127+90)</f>
        <v/>
      </c>
      <c r="U127" s="19" t="str">
        <f aca="false">IF(OR(I127="",I127&lt;5,O127=""),"",O127+120)</f>
        <v/>
      </c>
      <c r="V127" s="19" t="str">
        <f aca="false">IF(OR(I127="",I127&lt;6,O127=""),"",O127+150)</f>
        <v/>
      </c>
      <c r="W127" s="19" t="str">
        <f aca="false">IF(OR(I127="",I127&lt;7,O127=""),"",O127+180)</f>
        <v/>
      </c>
      <c r="X127" s="19" t="str">
        <f aca="false">IF(OR(I127="",I127&lt;8,O127=""),"",O127+210)</f>
        <v/>
      </c>
      <c r="Y127" s="19" t="str">
        <f aca="false">IF(OR(I127="",I127&lt;9,O127=""),"",O127+240)</f>
        <v/>
      </c>
      <c r="Z127" s="19" t="str">
        <f aca="false">IF(OR(I127="",I127&lt;10,O127=""),"",O127+270)</f>
        <v/>
      </c>
      <c r="AA127" s="19" t="str">
        <f aca="false">IF(OR(I127="",I127&lt;11,O127=""),"",O127+300)</f>
        <v/>
      </c>
      <c r="AB127" s="19" t="str">
        <f aca="false">IF(OR(I127="",I127&lt;12,O127=""),"",O127+330)</f>
        <v/>
      </c>
      <c r="AC127" s="19" t="str">
        <f aca="false">IF(OR(I127="",I127&lt;13,O127=""),"",O127+360)</f>
        <v/>
      </c>
      <c r="AD127" s="19" t="str">
        <f aca="false">IF(OR(I127="",I127&lt;14,O127=""),"",O127+390)</f>
        <v/>
      </c>
      <c r="AE127" s="19" t="str">
        <f aca="false">IF(OR(I127="",I127&lt;15,O127=""),"",O127+420)</f>
        <v/>
      </c>
      <c r="AF127" s="19" t="str">
        <f aca="false">IF(OR(I127="",I127&lt;16,O127=""),"",O127+450)</f>
        <v/>
      </c>
      <c r="AG127" s="19" t="str">
        <f aca="false">IF(OR(I127="",I127&lt;17,O127=""),"",O127+480)</f>
        <v/>
      </c>
      <c r="AH127" s="19" t="str">
        <f aca="false">IF(OR(I127="",I127&lt;18,O127=""),"",O127+510)</f>
        <v/>
      </c>
      <c r="AI127" s="19" t="str">
        <f aca="false">IF(OR(I127="",I127&lt;19,O127=""),"",O127+540)</f>
        <v/>
      </c>
      <c r="AJ127" s="19" t="str">
        <f aca="false">IF(OR(I127="",I127&lt;20,O127=""),"",O127+570)</f>
        <v/>
      </c>
      <c r="AK127" s="19" t="str">
        <f aca="false">IF(OR(I127="",I127&lt;21,O127=""),"",O127+600)</f>
        <v/>
      </c>
      <c r="AL127" s="19" t="str">
        <f aca="false">IF(OR(I127="",I127&lt;22,O127=""),"",O127+630)</f>
        <v/>
      </c>
      <c r="AM127" s="19" t="str">
        <f aca="false">IF(OR(I127="",I127&lt;23,O127=""),"",O127+660)</f>
        <v/>
      </c>
      <c r="AN127" s="19" t="str">
        <f aca="false">IF(OR(I127="",I127&lt;24,O127=""),"",O127+690)</f>
        <v/>
      </c>
      <c r="AO127" s="15" t="str">
        <f aca="false">IF(J127="","",COUNTIF(Q127:AN127,TRUE())*J127)</f>
        <v/>
      </c>
      <c r="AP127" s="15" t="str">
        <f aca="false">IF(K127="","",K127-AO127)</f>
        <v/>
      </c>
      <c r="AQ127" s="15" t="str">
        <f aca="false">IF(K127="","",K127-F127-IF(N127="",0,N127))</f>
        <v/>
      </c>
    </row>
    <row r="128" customFormat="false" ht="15" hidden="false" customHeight="false" outlineLevel="0" collapsed="false">
      <c r="A128" s="4"/>
      <c r="B128" s="4"/>
      <c r="C128" s="4"/>
      <c r="D128" s="5"/>
      <c r="E128" s="5"/>
      <c r="F128" s="6"/>
      <c r="G128" s="4"/>
      <c r="H128" s="4"/>
      <c r="I128" s="4"/>
      <c r="J128" s="6"/>
      <c r="K128" s="7" t="str">
        <f aca="false">IF(OR(I128="",J128=""),"",I128*J128)</f>
        <v/>
      </c>
      <c r="L128" s="4"/>
      <c r="M128" s="8"/>
      <c r="N128" s="7" t="str">
        <f aca="false">IF(OR(L128="",M128="",K128=""),"",IF(L128="GANANCIA",(K128-F128)*M128,IF(L128="BRUTO",K128*M128,"")))</f>
        <v/>
      </c>
      <c r="O128" s="9" t="str">
        <f aca="false">IF(D128="","",D128+30)</f>
        <v/>
      </c>
      <c r="P128" s="10" t="str">
        <f aca="false">IF(I128="","",IF(COUNTIF(Q128:AN128,TRUE())&gt;=I128,"PAGADO",IF(COUNTIF(Q128:AN128,TRUE())&gt;0,"PARCIAL","VIGENTE")))</f>
        <v/>
      </c>
      <c r="Q128" s="11" t="str">
        <f aca="false">IF(OR(I128="",I128&lt;1,O128=""),"",O128+0)</f>
        <v/>
      </c>
      <c r="R128" s="11" t="str">
        <f aca="false">IF(OR(I128="",I128&lt;2,O128=""),"",O128+30)</f>
        <v/>
      </c>
      <c r="S128" s="11" t="str">
        <f aca="false">IF(OR(I128="",I128&lt;3,O128=""),"",O128+60)</f>
        <v/>
      </c>
      <c r="T128" s="11" t="str">
        <f aca="false">IF(OR(I128="",I128&lt;4,O128=""),"",O128+90)</f>
        <v/>
      </c>
      <c r="U128" s="11" t="str">
        <f aca="false">IF(OR(I128="",I128&lt;5,O128=""),"",O128+120)</f>
        <v/>
      </c>
      <c r="V128" s="11" t="str">
        <f aca="false">IF(OR(I128="",I128&lt;6,O128=""),"",O128+150)</f>
        <v/>
      </c>
      <c r="W128" s="11" t="str">
        <f aca="false">IF(OR(I128="",I128&lt;7,O128=""),"",O128+180)</f>
        <v/>
      </c>
      <c r="X128" s="11" t="str">
        <f aca="false">IF(OR(I128="",I128&lt;8,O128=""),"",O128+210)</f>
        <v/>
      </c>
      <c r="Y128" s="11" t="str">
        <f aca="false">IF(OR(I128="",I128&lt;9,O128=""),"",O128+240)</f>
        <v/>
      </c>
      <c r="Z128" s="11" t="str">
        <f aca="false">IF(OR(I128="",I128&lt;10,O128=""),"",O128+270)</f>
        <v/>
      </c>
      <c r="AA128" s="11" t="str">
        <f aca="false">IF(OR(I128="",I128&lt;11,O128=""),"",O128+300)</f>
        <v/>
      </c>
      <c r="AB128" s="11" t="str">
        <f aca="false">IF(OR(I128="",I128&lt;12,O128=""),"",O128+330)</f>
        <v/>
      </c>
      <c r="AC128" s="11" t="str">
        <f aca="false">IF(OR(I128="",I128&lt;13,O128=""),"",O128+360)</f>
        <v/>
      </c>
      <c r="AD128" s="11" t="str">
        <f aca="false">IF(OR(I128="",I128&lt;14,O128=""),"",O128+390)</f>
        <v/>
      </c>
      <c r="AE128" s="11" t="str">
        <f aca="false">IF(OR(I128="",I128&lt;15,O128=""),"",O128+420)</f>
        <v/>
      </c>
      <c r="AF128" s="11" t="str">
        <f aca="false">IF(OR(I128="",I128&lt;16,O128=""),"",O128+450)</f>
        <v/>
      </c>
      <c r="AG128" s="11" t="str">
        <f aca="false">IF(OR(I128="",I128&lt;17,O128=""),"",O128+480)</f>
        <v/>
      </c>
      <c r="AH128" s="11" t="str">
        <f aca="false">IF(OR(I128="",I128&lt;18,O128=""),"",O128+510)</f>
        <v/>
      </c>
      <c r="AI128" s="11" t="str">
        <f aca="false">IF(OR(I128="",I128&lt;19,O128=""),"",O128+540)</f>
        <v/>
      </c>
      <c r="AJ128" s="11" t="str">
        <f aca="false">IF(OR(I128="",I128&lt;20,O128=""),"",O128+570)</f>
        <v/>
      </c>
      <c r="AK128" s="11" t="str">
        <f aca="false">IF(OR(I128="",I128&lt;21,O128=""),"",O128+600)</f>
        <v/>
      </c>
      <c r="AL128" s="11" t="str">
        <f aca="false">IF(OR(I128="",I128&lt;22,O128=""),"",O128+630)</f>
        <v/>
      </c>
      <c r="AM128" s="11" t="str">
        <f aca="false">IF(OR(I128="",I128&lt;23,O128=""),"",O128+660)</f>
        <v/>
      </c>
      <c r="AN128" s="11" t="str">
        <f aca="false">IF(OR(I128="",I128&lt;24,O128=""),"",O128+690)</f>
        <v/>
      </c>
      <c r="AO128" s="7" t="str">
        <f aca="false">IF(J128="","",COUNTIF(Q128:AN128,TRUE())*J128)</f>
        <v/>
      </c>
      <c r="AP128" s="7" t="str">
        <f aca="false">IF(K128="","",K128-AO128)</f>
        <v/>
      </c>
      <c r="AQ128" s="7" t="str">
        <f aca="false">IF(K128="","",K128-F128-IF(N128="",0,N128))</f>
        <v/>
      </c>
    </row>
    <row r="129" customFormat="false" ht="15" hidden="false" customHeight="false" outlineLevel="0" collapsed="false">
      <c r="A129" s="12"/>
      <c r="B129" s="12"/>
      <c r="C129" s="12"/>
      <c r="D129" s="13"/>
      <c r="E129" s="13"/>
      <c r="F129" s="14"/>
      <c r="G129" s="12"/>
      <c r="H129" s="12"/>
      <c r="I129" s="12"/>
      <c r="J129" s="14"/>
      <c r="K129" s="15" t="str">
        <f aca="false">IF(OR(I129="",J129=""),"",I129*J129)</f>
        <v/>
      </c>
      <c r="L129" s="12"/>
      <c r="M129" s="16"/>
      <c r="N129" s="15" t="str">
        <f aca="false">IF(OR(L129="",M129="",K129=""),"",IF(L129="GANANCIA",(K129-F129)*M129,IF(L129="BRUTO",K129*M129,"")))</f>
        <v/>
      </c>
      <c r="O129" s="17" t="str">
        <f aca="false">IF(D129="","",D129+30)</f>
        <v/>
      </c>
      <c r="P129" s="18" t="str">
        <f aca="false">IF(I129="","",IF(COUNTIF(Q129:AN129,TRUE())&gt;=I129,"PAGADO",IF(COUNTIF(Q129:AN129,TRUE())&gt;0,"PARCIAL","VIGENTE")))</f>
        <v/>
      </c>
      <c r="Q129" s="19" t="str">
        <f aca="false">IF(OR(I129="",I129&lt;1,O129=""),"",O129+0)</f>
        <v/>
      </c>
      <c r="R129" s="19" t="str">
        <f aca="false">IF(OR(I129="",I129&lt;2,O129=""),"",O129+30)</f>
        <v/>
      </c>
      <c r="S129" s="19" t="str">
        <f aca="false">IF(OR(I129="",I129&lt;3,O129=""),"",O129+60)</f>
        <v/>
      </c>
      <c r="T129" s="19" t="str">
        <f aca="false">IF(OR(I129="",I129&lt;4,O129=""),"",O129+90)</f>
        <v/>
      </c>
      <c r="U129" s="19" t="str">
        <f aca="false">IF(OR(I129="",I129&lt;5,O129=""),"",O129+120)</f>
        <v/>
      </c>
      <c r="V129" s="19" t="str">
        <f aca="false">IF(OR(I129="",I129&lt;6,O129=""),"",O129+150)</f>
        <v/>
      </c>
      <c r="W129" s="19" t="str">
        <f aca="false">IF(OR(I129="",I129&lt;7,O129=""),"",O129+180)</f>
        <v/>
      </c>
      <c r="X129" s="19" t="str">
        <f aca="false">IF(OR(I129="",I129&lt;8,O129=""),"",O129+210)</f>
        <v/>
      </c>
      <c r="Y129" s="19" t="str">
        <f aca="false">IF(OR(I129="",I129&lt;9,O129=""),"",O129+240)</f>
        <v/>
      </c>
      <c r="Z129" s="19" t="str">
        <f aca="false">IF(OR(I129="",I129&lt;10,O129=""),"",O129+270)</f>
        <v/>
      </c>
      <c r="AA129" s="19" t="str">
        <f aca="false">IF(OR(I129="",I129&lt;11,O129=""),"",O129+300)</f>
        <v/>
      </c>
      <c r="AB129" s="19" t="str">
        <f aca="false">IF(OR(I129="",I129&lt;12,O129=""),"",O129+330)</f>
        <v/>
      </c>
      <c r="AC129" s="19" t="str">
        <f aca="false">IF(OR(I129="",I129&lt;13,O129=""),"",O129+360)</f>
        <v/>
      </c>
      <c r="AD129" s="19" t="str">
        <f aca="false">IF(OR(I129="",I129&lt;14,O129=""),"",O129+390)</f>
        <v/>
      </c>
      <c r="AE129" s="19" t="str">
        <f aca="false">IF(OR(I129="",I129&lt;15,O129=""),"",O129+420)</f>
        <v/>
      </c>
      <c r="AF129" s="19" t="str">
        <f aca="false">IF(OR(I129="",I129&lt;16,O129=""),"",O129+450)</f>
        <v/>
      </c>
      <c r="AG129" s="19" t="str">
        <f aca="false">IF(OR(I129="",I129&lt;17,O129=""),"",O129+480)</f>
        <v/>
      </c>
      <c r="AH129" s="19" t="str">
        <f aca="false">IF(OR(I129="",I129&lt;18,O129=""),"",O129+510)</f>
        <v/>
      </c>
      <c r="AI129" s="19" t="str">
        <f aca="false">IF(OR(I129="",I129&lt;19,O129=""),"",O129+540)</f>
        <v/>
      </c>
      <c r="AJ129" s="19" t="str">
        <f aca="false">IF(OR(I129="",I129&lt;20,O129=""),"",O129+570)</f>
        <v/>
      </c>
      <c r="AK129" s="19" t="str">
        <f aca="false">IF(OR(I129="",I129&lt;21,O129=""),"",O129+600)</f>
        <v/>
      </c>
      <c r="AL129" s="19" t="str">
        <f aca="false">IF(OR(I129="",I129&lt;22,O129=""),"",O129+630)</f>
        <v/>
      </c>
      <c r="AM129" s="19" t="str">
        <f aca="false">IF(OR(I129="",I129&lt;23,O129=""),"",O129+660)</f>
        <v/>
      </c>
      <c r="AN129" s="19" t="str">
        <f aca="false">IF(OR(I129="",I129&lt;24,O129=""),"",O129+690)</f>
        <v/>
      </c>
      <c r="AO129" s="15" t="str">
        <f aca="false">IF(J129="","",COUNTIF(Q129:AN129,TRUE())*J129)</f>
        <v/>
      </c>
      <c r="AP129" s="15" t="str">
        <f aca="false">IF(K129="","",K129-AO129)</f>
        <v/>
      </c>
      <c r="AQ129" s="15" t="str">
        <f aca="false">IF(K129="","",K129-F129-IF(N129="",0,N129))</f>
        <v/>
      </c>
    </row>
    <row r="130" customFormat="false" ht="15" hidden="false" customHeight="false" outlineLevel="0" collapsed="false">
      <c r="A130" s="4"/>
      <c r="B130" s="4"/>
      <c r="C130" s="4"/>
      <c r="D130" s="5"/>
      <c r="E130" s="5"/>
      <c r="F130" s="6"/>
      <c r="G130" s="4"/>
      <c r="H130" s="4"/>
      <c r="I130" s="4"/>
      <c r="J130" s="6"/>
      <c r="K130" s="7" t="str">
        <f aca="false">IF(OR(I130="",J130=""),"",I130*J130)</f>
        <v/>
      </c>
      <c r="L130" s="4"/>
      <c r="M130" s="8"/>
      <c r="N130" s="7" t="str">
        <f aca="false">IF(OR(L130="",M130="",K130=""),"",IF(L130="GANANCIA",(K130-F130)*M130,IF(L130="BRUTO",K130*M130,"")))</f>
        <v/>
      </c>
      <c r="O130" s="9" t="str">
        <f aca="false">IF(D130="","",D130+30)</f>
        <v/>
      </c>
      <c r="P130" s="10" t="str">
        <f aca="false">IF(I130="","",IF(COUNTIF(Q130:AN130,TRUE())&gt;=I130,"PAGADO",IF(COUNTIF(Q130:AN130,TRUE())&gt;0,"PARCIAL","VIGENTE")))</f>
        <v/>
      </c>
      <c r="Q130" s="11" t="str">
        <f aca="false">IF(OR(I130="",I130&lt;1,O130=""),"",O130+0)</f>
        <v/>
      </c>
      <c r="R130" s="11" t="str">
        <f aca="false">IF(OR(I130="",I130&lt;2,O130=""),"",O130+30)</f>
        <v/>
      </c>
      <c r="S130" s="11" t="str">
        <f aca="false">IF(OR(I130="",I130&lt;3,O130=""),"",O130+60)</f>
        <v/>
      </c>
      <c r="T130" s="11" t="str">
        <f aca="false">IF(OR(I130="",I130&lt;4,O130=""),"",O130+90)</f>
        <v/>
      </c>
      <c r="U130" s="11" t="str">
        <f aca="false">IF(OR(I130="",I130&lt;5,O130=""),"",O130+120)</f>
        <v/>
      </c>
      <c r="V130" s="11" t="str">
        <f aca="false">IF(OR(I130="",I130&lt;6,O130=""),"",O130+150)</f>
        <v/>
      </c>
      <c r="W130" s="11" t="str">
        <f aca="false">IF(OR(I130="",I130&lt;7,O130=""),"",O130+180)</f>
        <v/>
      </c>
      <c r="X130" s="11" t="str">
        <f aca="false">IF(OR(I130="",I130&lt;8,O130=""),"",O130+210)</f>
        <v/>
      </c>
      <c r="Y130" s="11" t="str">
        <f aca="false">IF(OR(I130="",I130&lt;9,O130=""),"",O130+240)</f>
        <v/>
      </c>
      <c r="Z130" s="11" t="str">
        <f aca="false">IF(OR(I130="",I130&lt;10,O130=""),"",O130+270)</f>
        <v/>
      </c>
      <c r="AA130" s="11" t="str">
        <f aca="false">IF(OR(I130="",I130&lt;11,O130=""),"",O130+300)</f>
        <v/>
      </c>
      <c r="AB130" s="11" t="str">
        <f aca="false">IF(OR(I130="",I130&lt;12,O130=""),"",O130+330)</f>
        <v/>
      </c>
      <c r="AC130" s="11" t="str">
        <f aca="false">IF(OR(I130="",I130&lt;13,O130=""),"",O130+360)</f>
        <v/>
      </c>
      <c r="AD130" s="11" t="str">
        <f aca="false">IF(OR(I130="",I130&lt;14,O130=""),"",O130+390)</f>
        <v/>
      </c>
      <c r="AE130" s="11" t="str">
        <f aca="false">IF(OR(I130="",I130&lt;15,O130=""),"",O130+420)</f>
        <v/>
      </c>
      <c r="AF130" s="11" t="str">
        <f aca="false">IF(OR(I130="",I130&lt;16,O130=""),"",O130+450)</f>
        <v/>
      </c>
      <c r="AG130" s="11" t="str">
        <f aca="false">IF(OR(I130="",I130&lt;17,O130=""),"",O130+480)</f>
        <v/>
      </c>
      <c r="AH130" s="11" t="str">
        <f aca="false">IF(OR(I130="",I130&lt;18,O130=""),"",O130+510)</f>
        <v/>
      </c>
      <c r="AI130" s="11" t="str">
        <f aca="false">IF(OR(I130="",I130&lt;19,O130=""),"",O130+540)</f>
        <v/>
      </c>
      <c r="AJ130" s="11" t="str">
        <f aca="false">IF(OR(I130="",I130&lt;20,O130=""),"",O130+570)</f>
        <v/>
      </c>
      <c r="AK130" s="11" t="str">
        <f aca="false">IF(OR(I130="",I130&lt;21,O130=""),"",O130+600)</f>
        <v/>
      </c>
      <c r="AL130" s="11" t="str">
        <f aca="false">IF(OR(I130="",I130&lt;22,O130=""),"",O130+630)</f>
        <v/>
      </c>
      <c r="AM130" s="11" t="str">
        <f aca="false">IF(OR(I130="",I130&lt;23,O130=""),"",O130+660)</f>
        <v/>
      </c>
      <c r="AN130" s="11" t="str">
        <f aca="false">IF(OR(I130="",I130&lt;24,O130=""),"",O130+690)</f>
        <v/>
      </c>
      <c r="AO130" s="7" t="str">
        <f aca="false">IF(J130="","",COUNTIF(Q130:AN130,TRUE())*J130)</f>
        <v/>
      </c>
      <c r="AP130" s="7" t="str">
        <f aca="false">IF(K130="","",K130-AO130)</f>
        <v/>
      </c>
      <c r="AQ130" s="7" t="str">
        <f aca="false">IF(K130="","",K130-F130-IF(N130="",0,N130))</f>
        <v/>
      </c>
    </row>
    <row r="131" customFormat="false" ht="15" hidden="false" customHeight="false" outlineLevel="0" collapsed="false">
      <c r="A131" s="12"/>
      <c r="B131" s="12"/>
      <c r="C131" s="12"/>
      <c r="D131" s="13"/>
      <c r="E131" s="13"/>
      <c r="F131" s="14"/>
      <c r="G131" s="12"/>
      <c r="H131" s="12"/>
      <c r="I131" s="12"/>
      <c r="J131" s="14"/>
      <c r="K131" s="15" t="str">
        <f aca="false">IF(OR(I131="",J131=""),"",I131*J131)</f>
        <v/>
      </c>
      <c r="L131" s="12"/>
      <c r="M131" s="16"/>
      <c r="N131" s="15" t="str">
        <f aca="false">IF(OR(L131="",M131="",K131=""),"",IF(L131="GANANCIA",(K131-F131)*M131,IF(L131="BRUTO",K131*M131,"")))</f>
        <v/>
      </c>
      <c r="O131" s="17" t="str">
        <f aca="false">IF(D131="","",D131+30)</f>
        <v/>
      </c>
      <c r="P131" s="18" t="str">
        <f aca="false">IF(I131="","",IF(COUNTIF(Q131:AN131,TRUE())&gt;=I131,"PAGADO",IF(COUNTIF(Q131:AN131,TRUE())&gt;0,"PARCIAL","VIGENTE")))</f>
        <v/>
      </c>
      <c r="Q131" s="19" t="str">
        <f aca="false">IF(OR(I131="",I131&lt;1,O131=""),"",O131+0)</f>
        <v/>
      </c>
      <c r="R131" s="19" t="str">
        <f aca="false">IF(OR(I131="",I131&lt;2,O131=""),"",O131+30)</f>
        <v/>
      </c>
      <c r="S131" s="19" t="str">
        <f aca="false">IF(OR(I131="",I131&lt;3,O131=""),"",O131+60)</f>
        <v/>
      </c>
      <c r="T131" s="19" t="str">
        <f aca="false">IF(OR(I131="",I131&lt;4,O131=""),"",O131+90)</f>
        <v/>
      </c>
      <c r="U131" s="19" t="str">
        <f aca="false">IF(OR(I131="",I131&lt;5,O131=""),"",O131+120)</f>
        <v/>
      </c>
      <c r="V131" s="19" t="str">
        <f aca="false">IF(OR(I131="",I131&lt;6,O131=""),"",O131+150)</f>
        <v/>
      </c>
      <c r="W131" s="19" t="str">
        <f aca="false">IF(OR(I131="",I131&lt;7,O131=""),"",O131+180)</f>
        <v/>
      </c>
      <c r="X131" s="19" t="str">
        <f aca="false">IF(OR(I131="",I131&lt;8,O131=""),"",O131+210)</f>
        <v/>
      </c>
      <c r="Y131" s="19" t="str">
        <f aca="false">IF(OR(I131="",I131&lt;9,O131=""),"",O131+240)</f>
        <v/>
      </c>
      <c r="Z131" s="19" t="str">
        <f aca="false">IF(OR(I131="",I131&lt;10,O131=""),"",O131+270)</f>
        <v/>
      </c>
      <c r="AA131" s="19" t="str">
        <f aca="false">IF(OR(I131="",I131&lt;11,O131=""),"",O131+300)</f>
        <v/>
      </c>
      <c r="AB131" s="19" t="str">
        <f aca="false">IF(OR(I131="",I131&lt;12,O131=""),"",O131+330)</f>
        <v/>
      </c>
      <c r="AC131" s="19" t="str">
        <f aca="false">IF(OR(I131="",I131&lt;13,O131=""),"",O131+360)</f>
        <v/>
      </c>
      <c r="AD131" s="19" t="str">
        <f aca="false">IF(OR(I131="",I131&lt;14,O131=""),"",O131+390)</f>
        <v/>
      </c>
      <c r="AE131" s="19" t="str">
        <f aca="false">IF(OR(I131="",I131&lt;15,O131=""),"",O131+420)</f>
        <v/>
      </c>
      <c r="AF131" s="19" t="str">
        <f aca="false">IF(OR(I131="",I131&lt;16,O131=""),"",O131+450)</f>
        <v/>
      </c>
      <c r="AG131" s="19" t="str">
        <f aca="false">IF(OR(I131="",I131&lt;17,O131=""),"",O131+480)</f>
        <v/>
      </c>
      <c r="AH131" s="19" t="str">
        <f aca="false">IF(OR(I131="",I131&lt;18,O131=""),"",O131+510)</f>
        <v/>
      </c>
      <c r="AI131" s="19" t="str">
        <f aca="false">IF(OR(I131="",I131&lt;19,O131=""),"",O131+540)</f>
        <v/>
      </c>
      <c r="AJ131" s="19" t="str">
        <f aca="false">IF(OR(I131="",I131&lt;20,O131=""),"",O131+570)</f>
        <v/>
      </c>
      <c r="AK131" s="19" t="str">
        <f aca="false">IF(OR(I131="",I131&lt;21,O131=""),"",O131+600)</f>
        <v/>
      </c>
      <c r="AL131" s="19" t="str">
        <f aca="false">IF(OR(I131="",I131&lt;22,O131=""),"",O131+630)</f>
        <v/>
      </c>
      <c r="AM131" s="19" t="str">
        <f aca="false">IF(OR(I131="",I131&lt;23,O131=""),"",O131+660)</f>
        <v/>
      </c>
      <c r="AN131" s="19" t="str">
        <f aca="false">IF(OR(I131="",I131&lt;24,O131=""),"",O131+690)</f>
        <v/>
      </c>
      <c r="AO131" s="15" t="str">
        <f aca="false">IF(J131="","",COUNTIF(Q131:AN131,TRUE())*J131)</f>
        <v/>
      </c>
      <c r="AP131" s="15" t="str">
        <f aca="false">IF(K131="","",K131-AO131)</f>
        <v/>
      </c>
      <c r="AQ131" s="15" t="str">
        <f aca="false">IF(K131="","",K131-F131-IF(N131="",0,N131))</f>
        <v/>
      </c>
    </row>
    <row r="132" customFormat="false" ht="15" hidden="false" customHeight="false" outlineLevel="0" collapsed="false">
      <c r="A132" s="4"/>
      <c r="B132" s="4"/>
      <c r="C132" s="4"/>
      <c r="D132" s="5"/>
      <c r="E132" s="5"/>
      <c r="F132" s="6"/>
      <c r="G132" s="4"/>
      <c r="H132" s="4"/>
      <c r="I132" s="4"/>
      <c r="J132" s="6"/>
      <c r="K132" s="7" t="str">
        <f aca="false">IF(OR(I132="",J132=""),"",I132*J132)</f>
        <v/>
      </c>
      <c r="L132" s="4"/>
      <c r="M132" s="8"/>
      <c r="N132" s="7" t="str">
        <f aca="false">IF(OR(L132="",M132="",K132=""),"",IF(L132="GANANCIA",(K132-F132)*M132,IF(L132="BRUTO",K132*M132,"")))</f>
        <v/>
      </c>
      <c r="O132" s="9" t="str">
        <f aca="false">IF(D132="","",D132+30)</f>
        <v/>
      </c>
      <c r="P132" s="10" t="str">
        <f aca="false">IF(I132="","",IF(COUNTIF(Q132:AN132,TRUE())&gt;=I132,"PAGADO",IF(COUNTIF(Q132:AN132,TRUE())&gt;0,"PARCIAL","VIGENTE")))</f>
        <v/>
      </c>
      <c r="Q132" s="11" t="str">
        <f aca="false">IF(OR(I132="",I132&lt;1,O132=""),"",O132+0)</f>
        <v/>
      </c>
      <c r="R132" s="11" t="str">
        <f aca="false">IF(OR(I132="",I132&lt;2,O132=""),"",O132+30)</f>
        <v/>
      </c>
      <c r="S132" s="11" t="str">
        <f aca="false">IF(OR(I132="",I132&lt;3,O132=""),"",O132+60)</f>
        <v/>
      </c>
      <c r="T132" s="11" t="str">
        <f aca="false">IF(OR(I132="",I132&lt;4,O132=""),"",O132+90)</f>
        <v/>
      </c>
      <c r="U132" s="11" t="str">
        <f aca="false">IF(OR(I132="",I132&lt;5,O132=""),"",O132+120)</f>
        <v/>
      </c>
      <c r="V132" s="11" t="str">
        <f aca="false">IF(OR(I132="",I132&lt;6,O132=""),"",O132+150)</f>
        <v/>
      </c>
      <c r="W132" s="11" t="str">
        <f aca="false">IF(OR(I132="",I132&lt;7,O132=""),"",O132+180)</f>
        <v/>
      </c>
      <c r="X132" s="11" t="str">
        <f aca="false">IF(OR(I132="",I132&lt;8,O132=""),"",O132+210)</f>
        <v/>
      </c>
      <c r="Y132" s="11" t="str">
        <f aca="false">IF(OR(I132="",I132&lt;9,O132=""),"",O132+240)</f>
        <v/>
      </c>
      <c r="Z132" s="11" t="str">
        <f aca="false">IF(OR(I132="",I132&lt;10,O132=""),"",O132+270)</f>
        <v/>
      </c>
      <c r="AA132" s="11" t="str">
        <f aca="false">IF(OR(I132="",I132&lt;11,O132=""),"",O132+300)</f>
        <v/>
      </c>
      <c r="AB132" s="11" t="str">
        <f aca="false">IF(OR(I132="",I132&lt;12,O132=""),"",O132+330)</f>
        <v/>
      </c>
      <c r="AC132" s="11" t="str">
        <f aca="false">IF(OR(I132="",I132&lt;13,O132=""),"",O132+360)</f>
        <v/>
      </c>
      <c r="AD132" s="11" t="str">
        <f aca="false">IF(OR(I132="",I132&lt;14,O132=""),"",O132+390)</f>
        <v/>
      </c>
      <c r="AE132" s="11" t="str">
        <f aca="false">IF(OR(I132="",I132&lt;15,O132=""),"",O132+420)</f>
        <v/>
      </c>
      <c r="AF132" s="11" t="str">
        <f aca="false">IF(OR(I132="",I132&lt;16,O132=""),"",O132+450)</f>
        <v/>
      </c>
      <c r="AG132" s="11" t="str">
        <f aca="false">IF(OR(I132="",I132&lt;17,O132=""),"",O132+480)</f>
        <v/>
      </c>
      <c r="AH132" s="11" t="str">
        <f aca="false">IF(OR(I132="",I132&lt;18,O132=""),"",O132+510)</f>
        <v/>
      </c>
      <c r="AI132" s="11" t="str">
        <f aca="false">IF(OR(I132="",I132&lt;19,O132=""),"",O132+540)</f>
        <v/>
      </c>
      <c r="AJ132" s="11" t="str">
        <f aca="false">IF(OR(I132="",I132&lt;20,O132=""),"",O132+570)</f>
        <v/>
      </c>
      <c r="AK132" s="11" t="str">
        <f aca="false">IF(OR(I132="",I132&lt;21,O132=""),"",O132+600)</f>
        <v/>
      </c>
      <c r="AL132" s="11" t="str">
        <f aca="false">IF(OR(I132="",I132&lt;22,O132=""),"",O132+630)</f>
        <v/>
      </c>
      <c r="AM132" s="11" t="str">
        <f aca="false">IF(OR(I132="",I132&lt;23,O132=""),"",O132+660)</f>
        <v/>
      </c>
      <c r="AN132" s="11" t="str">
        <f aca="false">IF(OR(I132="",I132&lt;24,O132=""),"",O132+690)</f>
        <v/>
      </c>
      <c r="AO132" s="7" t="str">
        <f aca="false">IF(J132="","",COUNTIF(Q132:AN132,TRUE())*J132)</f>
        <v/>
      </c>
      <c r="AP132" s="7" t="str">
        <f aca="false">IF(K132="","",K132-AO132)</f>
        <v/>
      </c>
      <c r="AQ132" s="7" t="str">
        <f aca="false">IF(K132="","",K132-F132-IF(N132="",0,N132))</f>
        <v/>
      </c>
    </row>
    <row r="133" customFormat="false" ht="15" hidden="false" customHeight="false" outlineLevel="0" collapsed="false">
      <c r="A133" s="12"/>
      <c r="B133" s="12"/>
      <c r="C133" s="12"/>
      <c r="D133" s="13"/>
      <c r="E133" s="13"/>
      <c r="F133" s="14"/>
      <c r="G133" s="12"/>
      <c r="H133" s="12"/>
      <c r="I133" s="12"/>
      <c r="J133" s="14"/>
      <c r="K133" s="15" t="str">
        <f aca="false">IF(OR(I133="",J133=""),"",I133*J133)</f>
        <v/>
      </c>
      <c r="L133" s="12"/>
      <c r="M133" s="16"/>
      <c r="N133" s="15" t="str">
        <f aca="false">IF(OR(L133="",M133="",K133=""),"",IF(L133="GANANCIA",(K133-F133)*M133,IF(L133="BRUTO",K133*M133,"")))</f>
        <v/>
      </c>
      <c r="O133" s="17" t="str">
        <f aca="false">IF(D133="","",D133+30)</f>
        <v/>
      </c>
      <c r="P133" s="18" t="str">
        <f aca="false">IF(I133="","",IF(COUNTIF(Q133:AN133,TRUE())&gt;=I133,"PAGADO",IF(COUNTIF(Q133:AN133,TRUE())&gt;0,"PARCIAL","VIGENTE")))</f>
        <v/>
      </c>
      <c r="Q133" s="19" t="str">
        <f aca="false">IF(OR(I133="",I133&lt;1,O133=""),"",O133+0)</f>
        <v/>
      </c>
      <c r="R133" s="19" t="str">
        <f aca="false">IF(OR(I133="",I133&lt;2,O133=""),"",O133+30)</f>
        <v/>
      </c>
      <c r="S133" s="19" t="str">
        <f aca="false">IF(OR(I133="",I133&lt;3,O133=""),"",O133+60)</f>
        <v/>
      </c>
      <c r="T133" s="19" t="str">
        <f aca="false">IF(OR(I133="",I133&lt;4,O133=""),"",O133+90)</f>
        <v/>
      </c>
      <c r="U133" s="19" t="str">
        <f aca="false">IF(OR(I133="",I133&lt;5,O133=""),"",O133+120)</f>
        <v/>
      </c>
      <c r="V133" s="19" t="str">
        <f aca="false">IF(OR(I133="",I133&lt;6,O133=""),"",O133+150)</f>
        <v/>
      </c>
      <c r="W133" s="19" t="str">
        <f aca="false">IF(OR(I133="",I133&lt;7,O133=""),"",O133+180)</f>
        <v/>
      </c>
      <c r="X133" s="19" t="str">
        <f aca="false">IF(OR(I133="",I133&lt;8,O133=""),"",O133+210)</f>
        <v/>
      </c>
      <c r="Y133" s="19" t="str">
        <f aca="false">IF(OR(I133="",I133&lt;9,O133=""),"",O133+240)</f>
        <v/>
      </c>
      <c r="Z133" s="19" t="str">
        <f aca="false">IF(OR(I133="",I133&lt;10,O133=""),"",O133+270)</f>
        <v/>
      </c>
      <c r="AA133" s="19" t="str">
        <f aca="false">IF(OR(I133="",I133&lt;11,O133=""),"",O133+300)</f>
        <v/>
      </c>
      <c r="AB133" s="19" t="str">
        <f aca="false">IF(OR(I133="",I133&lt;12,O133=""),"",O133+330)</f>
        <v/>
      </c>
      <c r="AC133" s="19" t="str">
        <f aca="false">IF(OR(I133="",I133&lt;13,O133=""),"",O133+360)</f>
        <v/>
      </c>
      <c r="AD133" s="19" t="str">
        <f aca="false">IF(OR(I133="",I133&lt;14,O133=""),"",O133+390)</f>
        <v/>
      </c>
      <c r="AE133" s="19" t="str">
        <f aca="false">IF(OR(I133="",I133&lt;15,O133=""),"",O133+420)</f>
        <v/>
      </c>
      <c r="AF133" s="19" t="str">
        <f aca="false">IF(OR(I133="",I133&lt;16,O133=""),"",O133+450)</f>
        <v/>
      </c>
      <c r="AG133" s="19" t="str">
        <f aca="false">IF(OR(I133="",I133&lt;17,O133=""),"",O133+480)</f>
        <v/>
      </c>
      <c r="AH133" s="19" t="str">
        <f aca="false">IF(OR(I133="",I133&lt;18,O133=""),"",O133+510)</f>
        <v/>
      </c>
      <c r="AI133" s="19" t="str">
        <f aca="false">IF(OR(I133="",I133&lt;19,O133=""),"",O133+540)</f>
        <v/>
      </c>
      <c r="AJ133" s="19" t="str">
        <f aca="false">IF(OR(I133="",I133&lt;20,O133=""),"",O133+570)</f>
        <v/>
      </c>
      <c r="AK133" s="19" t="str">
        <f aca="false">IF(OR(I133="",I133&lt;21,O133=""),"",O133+600)</f>
        <v/>
      </c>
      <c r="AL133" s="19" t="str">
        <f aca="false">IF(OR(I133="",I133&lt;22,O133=""),"",O133+630)</f>
        <v/>
      </c>
      <c r="AM133" s="19" t="str">
        <f aca="false">IF(OR(I133="",I133&lt;23,O133=""),"",O133+660)</f>
        <v/>
      </c>
      <c r="AN133" s="19" t="str">
        <f aca="false">IF(OR(I133="",I133&lt;24,O133=""),"",O133+690)</f>
        <v/>
      </c>
      <c r="AO133" s="15" t="str">
        <f aca="false">IF(J133="","",COUNTIF(Q133:AN133,TRUE())*J133)</f>
        <v/>
      </c>
      <c r="AP133" s="15" t="str">
        <f aca="false">IF(K133="","",K133-AO133)</f>
        <v/>
      </c>
      <c r="AQ133" s="15" t="str">
        <f aca="false">IF(K133="","",K133-F133-IF(N133="",0,N133))</f>
        <v/>
      </c>
    </row>
    <row r="134" customFormat="false" ht="15" hidden="false" customHeight="false" outlineLevel="0" collapsed="false">
      <c r="A134" s="4"/>
      <c r="B134" s="4"/>
      <c r="C134" s="4"/>
      <c r="D134" s="5"/>
      <c r="E134" s="5"/>
      <c r="F134" s="6"/>
      <c r="G134" s="4"/>
      <c r="H134" s="4"/>
      <c r="I134" s="4"/>
      <c r="J134" s="6"/>
      <c r="K134" s="7" t="str">
        <f aca="false">IF(OR(I134="",J134=""),"",I134*J134)</f>
        <v/>
      </c>
      <c r="L134" s="4"/>
      <c r="M134" s="8"/>
      <c r="N134" s="7" t="str">
        <f aca="false">IF(OR(L134="",M134="",K134=""),"",IF(L134="GANANCIA",(K134-F134)*M134,IF(L134="BRUTO",K134*M134,"")))</f>
        <v/>
      </c>
      <c r="O134" s="9" t="str">
        <f aca="false">IF(D134="","",D134+30)</f>
        <v/>
      </c>
      <c r="P134" s="10" t="str">
        <f aca="false">IF(I134="","",IF(COUNTIF(Q134:AN134,TRUE())&gt;=I134,"PAGADO",IF(COUNTIF(Q134:AN134,TRUE())&gt;0,"PARCIAL","VIGENTE")))</f>
        <v/>
      </c>
      <c r="Q134" s="11" t="str">
        <f aca="false">IF(OR(I134="",I134&lt;1,O134=""),"",O134+0)</f>
        <v/>
      </c>
      <c r="R134" s="11" t="str">
        <f aca="false">IF(OR(I134="",I134&lt;2,O134=""),"",O134+30)</f>
        <v/>
      </c>
      <c r="S134" s="11" t="str">
        <f aca="false">IF(OR(I134="",I134&lt;3,O134=""),"",O134+60)</f>
        <v/>
      </c>
      <c r="T134" s="11" t="str">
        <f aca="false">IF(OR(I134="",I134&lt;4,O134=""),"",O134+90)</f>
        <v/>
      </c>
      <c r="U134" s="11" t="str">
        <f aca="false">IF(OR(I134="",I134&lt;5,O134=""),"",O134+120)</f>
        <v/>
      </c>
      <c r="V134" s="11" t="str">
        <f aca="false">IF(OR(I134="",I134&lt;6,O134=""),"",O134+150)</f>
        <v/>
      </c>
      <c r="W134" s="11" t="str">
        <f aca="false">IF(OR(I134="",I134&lt;7,O134=""),"",O134+180)</f>
        <v/>
      </c>
      <c r="X134" s="11" t="str">
        <f aca="false">IF(OR(I134="",I134&lt;8,O134=""),"",O134+210)</f>
        <v/>
      </c>
      <c r="Y134" s="11" t="str">
        <f aca="false">IF(OR(I134="",I134&lt;9,O134=""),"",O134+240)</f>
        <v/>
      </c>
      <c r="Z134" s="11" t="str">
        <f aca="false">IF(OR(I134="",I134&lt;10,O134=""),"",O134+270)</f>
        <v/>
      </c>
      <c r="AA134" s="11" t="str">
        <f aca="false">IF(OR(I134="",I134&lt;11,O134=""),"",O134+300)</f>
        <v/>
      </c>
      <c r="AB134" s="11" t="str">
        <f aca="false">IF(OR(I134="",I134&lt;12,O134=""),"",O134+330)</f>
        <v/>
      </c>
      <c r="AC134" s="11" t="str">
        <f aca="false">IF(OR(I134="",I134&lt;13,O134=""),"",O134+360)</f>
        <v/>
      </c>
      <c r="AD134" s="11" t="str">
        <f aca="false">IF(OR(I134="",I134&lt;14,O134=""),"",O134+390)</f>
        <v/>
      </c>
      <c r="AE134" s="11" t="str">
        <f aca="false">IF(OR(I134="",I134&lt;15,O134=""),"",O134+420)</f>
        <v/>
      </c>
      <c r="AF134" s="11" t="str">
        <f aca="false">IF(OR(I134="",I134&lt;16,O134=""),"",O134+450)</f>
        <v/>
      </c>
      <c r="AG134" s="11" t="str">
        <f aca="false">IF(OR(I134="",I134&lt;17,O134=""),"",O134+480)</f>
        <v/>
      </c>
      <c r="AH134" s="11" t="str">
        <f aca="false">IF(OR(I134="",I134&lt;18,O134=""),"",O134+510)</f>
        <v/>
      </c>
      <c r="AI134" s="11" t="str">
        <f aca="false">IF(OR(I134="",I134&lt;19,O134=""),"",O134+540)</f>
        <v/>
      </c>
      <c r="AJ134" s="11" t="str">
        <f aca="false">IF(OR(I134="",I134&lt;20,O134=""),"",O134+570)</f>
        <v/>
      </c>
      <c r="AK134" s="11" t="str">
        <f aca="false">IF(OR(I134="",I134&lt;21,O134=""),"",O134+600)</f>
        <v/>
      </c>
      <c r="AL134" s="11" t="str">
        <f aca="false">IF(OR(I134="",I134&lt;22,O134=""),"",O134+630)</f>
        <v/>
      </c>
      <c r="AM134" s="11" t="str">
        <f aca="false">IF(OR(I134="",I134&lt;23,O134=""),"",O134+660)</f>
        <v/>
      </c>
      <c r="AN134" s="11" t="str">
        <f aca="false">IF(OR(I134="",I134&lt;24,O134=""),"",O134+690)</f>
        <v/>
      </c>
      <c r="AO134" s="7" t="str">
        <f aca="false">IF(J134="","",COUNTIF(Q134:AN134,TRUE())*J134)</f>
        <v/>
      </c>
      <c r="AP134" s="7" t="str">
        <f aca="false">IF(K134="","",K134-AO134)</f>
        <v/>
      </c>
      <c r="AQ134" s="7" t="str">
        <f aca="false">IF(K134="","",K134-F134-IF(N134="",0,N134))</f>
        <v/>
      </c>
    </row>
    <row r="135" customFormat="false" ht="15" hidden="false" customHeight="false" outlineLevel="0" collapsed="false">
      <c r="A135" s="12"/>
      <c r="B135" s="12"/>
      <c r="C135" s="12"/>
      <c r="D135" s="13"/>
      <c r="E135" s="13"/>
      <c r="F135" s="14"/>
      <c r="G135" s="12"/>
      <c r="H135" s="12"/>
      <c r="I135" s="12"/>
      <c r="J135" s="14"/>
      <c r="K135" s="15" t="str">
        <f aca="false">IF(OR(I135="",J135=""),"",I135*J135)</f>
        <v/>
      </c>
      <c r="L135" s="12"/>
      <c r="M135" s="16"/>
      <c r="N135" s="15" t="str">
        <f aca="false">IF(OR(L135="",M135="",K135=""),"",IF(L135="GANANCIA",(K135-F135)*M135,IF(L135="BRUTO",K135*M135,"")))</f>
        <v/>
      </c>
      <c r="O135" s="17" t="str">
        <f aca="false">IF(D135="","",D135+30)</f>
        <v/>
      </c>
      <c r="P135" s="18" t="str">
        <f aca="false">IF(I135="","",IF(COUNTIF(Q135:AN135,TRUE())&gt;=I135,"PAGADO",IF(COUNTIF(Q135:AN135,TRUE())&gt;0,"PARCIAL","VIGENTE")))</f>
        <v/>
      </c>
      <c r="Q135" s="19" t="str">
        <f aca="false">IF(OR(I135="",I135&lt;1,O135=""),"",O135+0)</f>
        <v/>
      </c>
      <c r="R135" s="19" t="str">
        <f aca="false">IF(OR(I135="",I135&lt;2,O135=""),"",O135+30)</f>
        <v/>
      </c>
      <c r="S135" s="19" t="str">
        <f aca="false">IF(OR(I135="",I135&lt;3,O135=""),"",O135+60)</f>
        <v/>
      </c>
      <c r="T135" s="19" t="str">
        <f aca="false">IF(OR(I135="",I135&lt;4,O135=""),"",O135+90)</f>
        <v/>
      </c>
      <c r="U135" s="19" t="str">
        <f aca="false">IF(OR(I135="",I135&lt;5,O135=""),"",O135+120)</f>
        <v/>
      </c>
      <c r="V135" s="19" t="str">
        <f aca="false">IF(OR(I135="",I135&lt;6,O135=""),"",O135+150)</f>
        <v/>
      </c>
      <c r="W135" s="19" t="str">
        <f aca="false">IF(OR(I135="",I135&lt;7,O135=""),"",O135+180)</f>
        <v/>
      </c>
      <c r="X135" s="19" t="str">
        <f aca="false">IF(OR(I135="",I135&lt;8,O135=""),"",O135+210)</f>
        <v/>
      </c>
      <c r="Y135" s="19" t="str">
        <f aca="false">IF(OR(I135="",I135&lt;9,O135=""),"",O135+240)</f>
        <v/>
      </c>
      <c r="Z135" s="19" t="str">
        <f aca="false">IF(OR(I135="",I135&lt;10,O135=""),"",O135+270)</f>
        <v/>
      </c>
      <c r="AA135" s="19" t="str">
        <f aca="false">IF(OR(I135="",I135&lt;11,O135=""),"",O135+300)</f>
        <v/>
      </c>
      <c r="AB135" s="19" t="str">
        <f aca="false">IF(OR(I135="",I135&lt;12,O135=""),"",O135+330)</f>
        <v/>
      </c>
      <c r="AC135" s="19" t="str">
        <f aca="false">IF(OR(I135="",I135&lt;13,O135=""),"",O135+360)</f>
        <v/>
      </c>
      <c r="AD135" s="19" t="str">
        <f aca="false">IF(OR(I135="",I135&lt;14,O135=""),"",O135+390)</f>
        <v/>
      </c>
      <c r="AE135" s="19" t="str">
        <f aca="false">IF(OR(I135="",I135&lt;15,O135=""),"",O135+420)</f>
        <v/>
      </c>
      <c r="AF135" s="19" t="str">
        <f aca="false">IF(OR(I135="",I135&lt;16,O135=""),"",O135+450)</f>
        <v/>
      </c>
      <c r="AG135" s="19" t="str">
        <f aca="false">IF(OR(I135="",I135&lt;17,O135=""),"",O135+480)</f>
        <v/>
      </c>
      <c r="AH135" s="19" t="str">
        <f aca="false">IF(OR(I135="",I135&lt;18,O135=""),"",O135+510)</f>
        <v/>
      </c>
      <c r="AI135" s="19" t="str">
        <f aca="false">IF(OR(I135="",I135&lt;19,O135=""),"",O135+540)</f>
        <v/>
      </c>
      <c r="AJ135" s="19" t="str">
        <f aca="false">IF(OR(I135="",I135&lt;20,O135=""),"",O135+570)</f>
        <v/>
      </c>
      <c r="AK135" s="19" t="str">
        <f aca="false">IF(OR(I135="",I135&lt;21,O135=""),"",O135+600)</f>
        <v/>
      </c>
      <c r="AL135" s="19" t="str">
        <f aca="false">IF(OR(I135="",I135&lt;22,O135=""),"",O135+630)</f>
        <v/>
      </c>
      <c r="AM135" s="19" t="str">
        <f aca="false">IF(OR(I135="",I135&lt;23,O135=""),"",O135+660)</f>
        <v/>
      </c>
      <c r="AN135" s="19" t="str">
        <f aca="false">IF(OR(I135="",I135&lt;24,O135=""),"",O135+690)</f>
        <v/>
      </c>
      <c r="AO135" s="15" t="str">
        <f aca="false">IF(J135="","",COUNTIF(Q135:AN135,TRUE())*J135)</f>
        <v/>
      </c>
      <c r="AP135" s="15" t="str">
        <f aca="false">IF(K135="","",K135-AO135)</f>
        <v/>
      </c>
      <c r="AQ135" s="15" t="str">
        <f aca="false">IF(K135="","",K135-F135-IF(N135="",0,N135))</f>
        <v/>
      </c>
    </row>
    <row r="136" customFormat="false" ht="15" hidden="false" customHeight="false" outlineLevel="0" collapsed="false">
      <c r="A136" s="4"/>
      <c r="B136" s="4"/>
      <c r="C136" s="4"/>
      <c r="D136" s="5"/>
      <c r="E136" s="5"/>
      <c r="F136" s="6"/>
      <c r="G136" s="4"/>
      <c r="H136" s="4"/>
      <c r="I136" s="4"/>
      <c r="J136" s="6"/>
      <c r="K136" s="7" t="str">
        <f aca="false">IF(OR(I136="",J136=""),"",I136*J136)</f>
        <v/>
      </c>
      <c r="L136" s="4"/>
      <c r="M136" s="8"/>
      <c r="N136" s="7" t="str">
        <f aca="false">IF(OR(L136="",M136="",K136=""),"",IF(L136="GANANCIA",(K136-F136)*M136,IF(L136="BRUTO",K136*M136,"")))</f>
        <v/>
      </c>
      <c r="O136" s="9" t="str">
        <f aca="false">IF(D136="","",D136+30)</f>
        <v/>
      </c>
      <c r="P136" s="10" t="str">
        <f aca="false">IF(I136="","",IF(COUNTIF(Q136:AN136,TRUE())&gt;=I136,"PAGADO",IF(COUNTIF(Q136:AN136,TRUE())&gt;0,"PARCIAL","VIGENTE")))</f>
        <v/>
      </c>
      <c r="Q136" s="11" t="str">
        <f aca="false">IF(OR(I136="",I136&lt;1,O136=""),"",O136+0)</f>
        <v/>
      </c>
      <c r="R136" s="11" t="str">
        <f aca="false">IF(OR(I136="",I136&lt;2,O136=""),"",O136+30)</f>
        <v/>
      </c>
      <c r="S136" s="11" t="str">
        <f aca="false">IF(OR(I136="",I136&lt;3,O136=""),"",O136+60)</f>
        <v/>
      </c>
      <c r="T136" s="11" t="str">
        <f aca="false">IF(OR(I136="",I136&lt;4,O136=""),"",O136+90)</f>
        <v/>
      </c>
      <c r="U136" s="11" t="str">
        <f aca="false">IF(OR(I136="",I136&lt;5,O136=""),"",O136+120)</f>
        <v/>
      </c>
      <c r="V136" s="11" t="str">
        <f aca="false">IF(OR(I136="",I136&lt;6,O136=""),"",O136+150)</f>
        <v/>
      </c>
      <c r="W136" s="11" t="str">
        <f aca="false">IF(OR(I136="",I136&lt;7,O136=""),"",O136+180)</f>
        <v/>
      </c>
      <c r="X136" s="11" t="str">
        <f aca="false">IF(OR(I136="",I136&lt;8,O136=""),"",O136+210)</f>
        <v/>
      </c>
      <c r="Y136" s="11" t="str">
        <f aca="false">IF(OR(I136="",I136&lt;9,O136=""),"",O136+240)</f>
        <v/>
      </c>
      <c r="Z136" s="11" t="str">
        <f aca="false">IF(OR(I136="",I136&lt;10,O136=""),"",O136+270)</f>
        <v/>
      </c>
      <c r="AA136" s="11" t="str">
        <f aca="false">IF(OR(I136="",I136&lt;11,O136=""),"",O136+300)</f>
        <v/>
      </c>
      <c r="AB136" s="11" t="str">
        <f aca="false">IF(OR(I136="",I136&lt;12,O136=""),"",O136+330)</f>
        <v/>
      </c>
      <c r="AC136" s="11" t="str">
        <f aca="false">IF(OR(I136="",I136&lt;13,O136=""),"",O136+360)</f>
        <v/>
      </c>
      <c r="AD136" s="11" t="str">
        <f aca="false">IF(OR(I136="",I136&lt;14,O136=""),"",O136+390)</f>
        <v/>
      </c>
      <c r="AE136" s="11" t="str">
        <f aca="false">IF(OR(I136="",I136&lt;15,O136=""),"",O136+420)</f>
        <v/>
      </c>
      <c r="AF136" s="11" t="str">
        <f aca="false">IF(OR(I136="",I136&lt;16,O136=""),"",O136+450)</f>
        <v/>
      </c>
      <c r="AG136" s="11" t="str">
        <f aca="false">IF(OR(I136="",I136&lt;17,O136=""),"",O136+480)</f>
        <v/>
      </c>
      <c r="AH136" s="11" t="str">
        <f aca="false">IF(OR(I136="",I136&lt;18,O136=""),"",O136+510)</f>
        <v/>
      </c>
      <c r="AI136" s="11" t="str">
        <f aca="false">IF(OR(I136="",I136&lt;19,O136=""),"",O136+540)</f>
        <v/>
      </c>
      <c r="AJ136" s="11" t="str">
        <f aca="false">IF(OR(I136="",I136&lt;20,O136=""),"",O136+570)</f>
        <v/>
      </c>
      <c r="AK136" s="11" t="str">
        <f aca="false">IF(OR(I136="",I136&lt;21,O136=""),"",O136+600)</f>
        <v/>
      </c>
      <c r="AL136" s="11" t="str">
        <f aca="false">IF(OR(I136="",I136&lt;22,O136=""),"",O136+630)</f>
        <v/>
      </c>
      <c r="AM136" s="11" t="str">
        <f aca="false">IF(OR(I136="",I136&lt;23,O136=""),"",O136+660)</f>
        <v/>
      </c>
      <c r="AN136" s="11" t="str">
        <f aca="false">IF(OR(I136="",I136&lt;24,O136=""),"",O136+690)</f>
        <v/>
      </c>
      <c r="AO136" s="7" t="str">
        <f aca="false">IF(J136="","",COUNTIF(Q136:AN136,TRUE())*J136)</f>
        <v/>
      </c>
      <c r="AP136" s="7" t="str">
        <f aca="false">IF(K136="","",K136-AO136)</f>
        <v/>
      </c>
      <c r="AQ136" s="7" t="str">
        <f aca="false">IF(K136="","",K136-F136-IF(N136="",0,N136))</f>
        <v/>
      </c>
    </row>
    <row r="137" customFormat="false" ht="15" hidden="false" customHeight="false" outlineLevel="0" collapsed="false">
      <c r="A137" s="12"/>
      <c r="B137" s="12"/>
      <c r="C137" s="12"/>
      <c r="D137" s="13"/>
      <c r="E137" s="13"/>
      <c r="F137" s="14"/>
      <c r="G137" s="12"/>
      <c r="H137" s="12"/>
      <c r="I137" s="12"/>
      <c r="J137" s="14"/>
      <c r="K137" s="15" t="str">
        <f aca="false">IF(OR(I137="",J137=""),"",I137*J137)</f>
        <v/>
      </c>
      <c r="L137" s="12"/>
      <c r="M137" s="16"/>
      <c r="N137" s="15" t="str">
        <f aca="false">IF(OR(L137="",M137="",K137=""),"",IF(L137="GANANCIA",(K137-F137)*M137,IF(L137="BRUTO",K137*M137,"")))</f>
        <v/>
      </c>
      <c r="O137" s="17" t="str">
        <f aca="false">IF(D137="","",D137+30)</f>
        <v/>
      </c>
      <c r="P137" s="18" t="str">
        <f aca="false">IF(I137="","",IF(COUNTIF(Q137:AN137,TRUE())&gt;=I137,"PAGADO",IF(COUNTIF(Q137:AN137,TRUE())&gt;0,"PARCIAL","VIGENTE")))</f>
        <v/>
      </c>
      <c r="Q137" s="19" t="str">
        <f aca="false">IF(OR(I137="",I137&lt;1,O137=""),"",O137+0)</f>
        <v/>
      </c>
      <c r="R137" s="19" t="str">
        <f aca="false">IF(OR(I137="",I137&lt;2,O137=""),"",O137+30)</f>
        <v/>
      </c>
      <c r="S137" s="19" t="str">
        <f aca="false">IF(OR(I137="",I137&lt;3,O137=""),"",O137+60)</f>
        <v/>
      </c>
      <c r="T137" s="19" t="str">
        <f aca="false">IF(OR(I137="",I137&lt;4,O137=""),"",O137+90)</f>
        <v/>
      </c>
      <c r="U137" s="19" t="str">
        <f aca="false">IF(OR(I137="",I137&lt;5,O137=""),"",O137+120)</f>
        <v/>
      </c>
      <c r="V137" s="19" t="str">
        <f aca="false">IF(OR(I137="",I137&lt;6,O137=""),"",O137+150)</f>
        <v/>
      </c>
      <c r="W137" s="19" t="str">
        <f aca="false">IF(OR(I137="",I137&lt;7,O137=""),"",O137+180)</f>
        <v/>
      </c>
      <c r="X137" s="19" t="str">
        <f aca="false">IF(OR(I137="",I137&lt;8,O137=""),"",O137+210)</f>
        <v/>
      </c>
      <c r="Y137" s="19" t="str">
        <f aca="false">IF(OR(I137="",I137&lt;9,O137=""),"",O137+240)</f>
        <v/>
      </c>
      <c r="Z137" s="19" t="str">
        <f aca="false">IF(OR(I137="",I137&lt;10,O137=""),"",O137+270)</f>
        <v/>
      </c>
      <c r="AA137" s="19" t="str">
        <f aca="false">IF(OR(I137="",I137&lt;11,O137=""),"",O137+300)</f>
        <v/>
      </c>
      <c r="AB137" s="19" t="str">
        <f aca="false">IF(OR(I137="",I137&lt;12,O137=""),"",O137+330)</f>
        <v/>
      </c>
      <c r="AC137" s="19" t="str">
        <f aca="false">IF(OR(I137="",I137&lt;13,O137=""),"",O137+360)</f>
        <v/>
      </c>
      <c r="AD137" s="19" t="str">
        <f aca="false">IF(OR(I137="",I137&lt;14,O137=""),"",O137+390)</f>
        <v/>
      </c>
      <c r="AE137" s="19" t="str">
        <f aca="false">IF(OR(I137="",I137&lt;15,O137=""),"",O137+420)</f>
        <v/>
      </c>
      <c r="AF137" s="19" t="str">
        <f aca="false">IF(OR(I137="",I137&lt;16,O137=""),"",O137+450)</f>
        <v/>
      </c>
      <c r="AG137" s="19" t="str">
        <f aca="false">IF(OR(I137="",I137&lt;17,O137=""),"",O137+480)</f>
        <v/>
      </c>
      <c r="AH137" s="19" t="str">
        <f aca="false">IF(OR(I137="",I137&lt;18,O137=""),"",O137+510)</f>
        <v/>
      </c>
      <c r="AI137" s="19" t="str">
        <f aca="false">IF(OR(I137="",I137&lt;19,O137=""),"",O137+540)</f>
        <v/>
      </c>
      <c r="AJ137" s="19" t="str">
        <f aca="false">IF(OR(I137="",I137&lt;20,O137=""),"",O137+570)</f>
        <v/>
      </c>
      <c r="AK137" s="19" t="str">
        <f aca="false">IF(OR(I137="",I137&lt;21,O137=""),"",O137+600)</f>
        <v/>
      </c>
      <c r="AL137" s="19" t="str">
        <f aca="false">IF(OR(I137="",I137&lt;22,O137=""),"",O137+630)</f>
        <v/>
      </c>
      <c r="AM137" s="19" t="str">
        <f aca="false">IF(OR(I137="",I137&lt;23,O137=""),"",O137+660)</f>
        <v/>
      </c>
      <c r="AN137" s="19" t="str">
        <f aca="false">IF(OR(I137="",I137&lt;24,O137=""),"",O137+690)</f>
        <v/>
      </c>
      <c r="AO137" s="15" t="str">
        <f aca="false">IF(J137="","",COUNTIF(Q137:AN137,TRUE())*J137)</f>
        <v/>
      </c>
      <c r="AP137" s="15" t="str">
        <f aca="false">IF(K137="","",K137-AO137)</f>
        <v/>
      </c>
      <c r="AQ137" s="15" t="str">
        <f aca="false">IF(K137="","",K137-F137-IF(N137="",0,N137))</f>
        <v/>
      </c>
    </row>
    <row r="138" customFormat="false" ht="15" hidden="false" customHeight="false" outlineLevel="0" collapsed="false">
      <c r="A138" s="4"/>
      <c r="B138" s="4"/>
      <c r="C138" s="4"/>
      <c r="D138" s="5"/>
      <c r="E138" s="5"/>
      <c r="F138" s="6"/>
      <c r="G138" s="4"/>
      <c r="H138" s="4"/>
      <c r="I138" s="4"/>
      <c r="J138" s="6"/>
      <c r="K138" s="7" t="str">
        <f aca="false">IF(OR(I138="",J138=""),"",I138*J138)</f>
        <v/>
      </c>
      <c r="L138" s="4"/>
      <c r="M138" s="8"/>
      <c r="N138" s="7" t="str">
        <f aca="false">IF(OR(L138="",M138="",K138=""),"",IF(L138="GANANCIA",(K138-F138)*M138,IF(L138="BRUTO",K138*M138,"")))</f>
        <v/>
      </c>
      <c r="O138" s="9" t="str">
        <f aca="false">IF(D138="","",D138+30)</f>
        <v/>
      </c>
      <c r="P138" s="10" t="str">
        <f aca="false">IF(I138="","",IF(COUNTIF(Q138:AN138,TRUE())&gt;=I138,"PAGADO",IF(COUNTIF(Q138:AN138,TRUE())&gt;0,"PARCIAL","VIGENTE")))</f>
        <v/>
      </c>
      <c r="Q138" s="11" t="str">
        <f aca="false">IF(OR(I138="",I138&lt;1,O138=""),"",O138+0)</f>
        <v/>
      </c>
      <c r="R138" s="11" t="str">
        <f aca="false">IF(OR(I138="",I138&lt;2,O138=""),"",O138+30)</f>
        <v/>
      </c>
      <c r="S138" s="11" t="str">
        <f aca="false">IF(OR(I138="",I138&lt;3,O138=""),"",O138+60)</f>
        <v/>
      </c>
      <c r="T138" s="11" t="str">
        <f aca="false">IF(OR(I138="",I138&lt;4,O138=""),"",O138+90)</f>
        <v/>
      </c>
      <c r="U138" s="11" t="str">
        <f aca="false">IF(OR(I138="",I138&lt;5,O138=""),"",O138+120)</f>
        <v/>
      </c>
      <c r="V138" s="11" t="str">
        <f aca="false">IF(OR(I138="",I138&lt;6,O138=""),"",O138+150)</f>
        <v/>
      </c>
      <c r="W138" s="11" t="str">
        <f aca="false">IF(OR(I138="",I138&lt;7,O138=""),"",O138+180)</f>
        <v/>
      </c>
      <c r="X138" s="11" t="str">
        <f aca="false">IF(OR(I138="",I138&lt;8,O138=""),"",O138+210)</f>
        <v/>
      </c>
      <c r="Y138" s="11" t="str">
        <f aca="false">IF(OR(I138="",I138&lt;9,O138=""),"",O138+240)</f>
        <v/>
      </c>
      <c r="Z138" s="11" t="str">
        <f aca="false">IF(OR(I138="",I138&lt;10,O138=""),"",O138+270)</f>
        <v/>
      </c>
      <c r="AA138" s="11" t="str">
        <f aca="false">IF(OR(I138="",I138&lt;11,O138=""),"",O138+300)</f>
        <v/>
      </c>
      <c r="AB138" s="11" t="str">
        <f aca="false">IF(OR(I138="",I138&lt;12,O138=""),"",O138+330)</f>
        <v/>
      </c>
      <c r="AC138" s="11" t="str">
        <f aca="false">IF(OR(I138="",I138&lt;13,O138=""),"",O138+360)</f>
        <v/>
      </c>
      <c r="AD138" s="11" t="str">
        <f aca="false">IF(OR(I138="",I138&lt;14,O138=""),"",O138+390)</f>
        <v/>
      </c>
      <c r="AE138" s="11" t="str">
        <f aca="false">IF(OR(I138="",I138&lt;15,O138=""),"",O138+420)</f>
        <v/>
      </c>
      <c r="AF138" s="11" t="str">
        <f aca="false">IF(OR(I138="",I138&lt;16,O138=""),"",O138+450)</f>
        <v/>
      </c>
      <c r="AG138" s="11" t="str">
        <f aca="false">IF(OR(I138="",I138&lt;17,O138=""),"",O138+480)</f>
        <v/>
      </c>
      <c r="AH138" s="11" t="str">
        <f aca="false">IF(OR(I138="",I138&lt;18,O138=""),"",O138+510)</f>
        <v/>
      </c>
      <c r="AI138" s="11" t="str">
        <f aca="false">IF(OR(I138="",I138&lt;19,O138=""),"",O138+540)</f>
        <v/>
      </c>
      <c r="AJ138" s="11" t="str">
        <f aca="false">IF(OR(I138="",I138&lt;20,O138=""),"",O138+570)</f>
        <v/>
      </c>
      <c r="AK138" s="11" t="str">
        <f aca="false">IF(OR(I138="",I138&lt;21,O138=""),"",O138+600)</f>
        <v/>
      </c>
      <c r="AL138" s="11" t="str">
        <f aca="false">IF(OR(I138="",I138&lt;22,O138=""),"",O138+630)</f>
        <v/>
      </c>
      <c r="AM138" s="11" t="str">
        <f aca="false">IF(OR(I138="",I138&lt;23,O138=""),"",O138+660)</f>
        <v/>
      </c>
      <c r="AN138" s="11" t="str">
        <f aca="false">IF(OR(I138="",I138&lt;24,O138=""),"",O138+690)</f>
        <v/>
      </c>
      <c r="AO138" s="7" t="str">
        <f aca="false">IF(J138="","",COUNTIF(Q138:AN138,TRUE())*J138)</f>
        <v/>
      </c>
      <c r="AP138" s="7" t="str">
        <f aca="false">IF(K138="","",K138-AO138)</f>
        <v/>
      </c>
      <c r="AQ138" s="7" t="str">
        <f aca="false">IF(K138="","",K138-F138-IF(N138="",0,N138))</f>
        <v/>
      </c>
    </row>
    <row r="139" customFormat="false" ht="15" hidden="false" customHeight="false" outlineLevel="0" collapsed="false">
      <c r="A139" s="12"/>
      <c r="B139" s="12"/>
      <c r="C139" s="12"/>
      <c r="D139" s="13"/>
      <c r="E139" s="13"/>
      <c r="F139" s="14"/>
      <c r="G139" s="12"/>
      <c r="H139" s="12"/>
      <c r="I139" s="12"/>
      <c r="J139" s="14"/>
      <c r="K139" s="15" t="str">
        <f aca="false">IF(OR(I139="",J139=""),"",I139*J139)</f>
        <v/>
      </c>
      <c r="L139" s="12"/>
      <c r="M139" s="16"/>
      <c r="N139" s="15" t="str">
        <f aca="false">IF(OR(L139="",M139="",K139=""),"",IF(L139="GANANCIA",(K139-F139)*M139,IF(L139="BRUTO",K139*M139,"")))</f>
        <v/>
      </c>
      <c r="O139" s="17" t="str">
        <f aca="false">IF(D139="","",D139+30)</f>
        <v/>
      </c>
      <c r="P139" s="18" t="str">
        <f aca="false">IF(I139="","",IF(COUNTIF(Q139:AN139,TRUE())&gt;=I139,"PAGADO",IF(COUNTIF(Q139:AN139,TRUE())&gt;0,"PARCIAL","VIGENTE")))</f>
        <v/>
      </c>
      <c r="Q139" s="19" t="str">
        <f aca="false">IF(OR(I139="",I139&lt;1,O139=""),"",O139+0)</f>
        <v/>
      </c>
      <c r="R139" s="19" t="str">
        <f aca="false">IF(OR(I139="",I139&lt;2,O139=""),"",O139+30)</f>
        <v/>
      </c>
      <c r="S139" s="19" t="str">
        <f aca="false">IF(OR(I139="",I139&lt;3,O139=""),"",O139+60)</f>
        <v/>
      </c>
      <c r="T139" s="19" t="str">
        <f aca="false">IF(OR(I139="",I139&lt;4,O139=""),"",O139+90)</f>
        <v/>
      </c>
      <c r="U139" s="19" t="str">
        <f aca="false">IF(OR(I139="",I139&lt;5,O139=""),"",O139+120)</f>
        <v/>
      </c>
      <c r="V139" s="19" t="str">
        <f aca="false">IF(OR(I139="",I139&lt;6,O139=""),"",O139+150)</f>
        <v/>
      </c>
      <c r="W139" s="19" t="str">
        <f aca="false">IF(OR(I139="",I139&lt;7,O139=""),"",O139+180)</f>
        <v/>
      </c>
      <c r="X139" s="19" t="str">
        <f aca="false">IF(OR(I139="",I139&lt;8,O139=""),"",O139+210)</f>
        <v/>
      </c>
      <c r="Y139" s="19" t="str">
        <f aca="false">IF(OR(I139="",I139&lt;9,O139=""),"",O139+240)</f>
        <v/>
      </c>
      <c r="Z139" s="19" t="str">
        <f aca="false">IF(OR(I139="",I139&lt;10,O139=""),"",O139+270)</f>
        <v/>
      </c>
      <c r="AA139" s="19" t="str">
        <f aca="false">IF(OR(I139="",I139&lt;11,O139=""),"",O139+300)</f>
        <v/>
      </c>
      <c r="AB139" s="19" t="str">
        <f aca="false">IF(OR(I139="",I139&lt;12,O139=""),"",O139+330)</f>
        <v/>
      </c>
      <c r="AC139" s="19" t="str">
        <f aca="false">IF(OR(I139="",I139&lt;13,O139=""),"",O139+360)</f>
        <v/>
      </c>
      <c r="AD139" s="19" t="str">
        <f aca="false">IF(OR(I139="",I139&lt;14,O139=""),"",O139+390)</f>
        <v/>
      </c>
      <c r="AE139" s="19" t="str">
        <f aca="false">IF(OR(I139="",I139&lt;15,O139=""),"",O139+420)</f>
        <v/>
      </c>
      <c r="AF139" s="19" t="str">
        <f aca="false">IF(OR(I139="",I139&lt;16,O139=""),"",O139+450)</f>
        <v/>
      </c>
      <c r="AG139" s="19" t="str">
        <f aca="false">IF(OR(I139="",I139&lt;17,O139=""),"",O139+480)</f>
        <v/>
      </c>
      <c r="AH139" s="19" t="str">
        <f aca="false">IF(OR(I139="",I139&lt;18,O139=""),"",O139+510)</f>
        <v/>
      </c>
      <c r="AI139" s="19" t="str">
        <f aca="false">IF(OR(I139="",I139&lt;19,O139=""),"",O139+540)</f>
        <v/>
      </c>
      <c r="AJ139" s="19" t="str">
        <f aca="false">IF(OR(I139="",I139&lt;20,O139=""),"",O139+570)</f>
        <v/>
      </c>
      <c r="AK139" s="19" t="str">
        <f aca="false">IF(OR(I139="",I139&lt;21,O139=""),"",O139+600)</f>
        <v/>
      </c>
      <c r="AL139" s="19" t="str">
        <f aca="false">IF(OR(I139="",I139&lt;22,O139=""),"",O139+630)</f>
        <v/>
      </c>
      <c r="AM139" s="19" t="str">
        <f aca="false">IF(OR(I139="",I139&lt;23,O139=""),"",O139+660)</f>
        <v/>
      </c>
      <c r="AN139" s="19" t="str">
        <f aca="false">IF(OR(I139="",I139&lt;24,O139=""),"",O139+690)</f>
        <v/>
      </c>
      <c r="AO139" s="15" t="str">
        <f aca="false">IF(J139="","",COUNTIF(Q139:AN139,TRUE())*J139)</f>
        <v/>
      </c>
      <c r="AP139" s="15" t="str">
        <f aca="false">IF(K139="","",K139-AO139)</f>
        <v/>
      </c>
      <c r="AQ139" s="15" t="str">
        <f aca="false">IF(K139="","",K139-F139-IF(N139="",0,N139))</f>
        <v/>
      </c>
    </row>
    <row r="140" customFormat="false" ht="15" hidden="false" customHeight="false" outlineLevel="0" collapsed="false">
      <c r="A140" s="4"/>
      <c r="B140" s="4"/>
      <c r="C140" s="4"/>
      <c r="D140" s="5"/>
      <c r="E140" s="5"/>
      <c r="F140" s="6"/>
      <c r="G140" s="4"/>
      <c r="H140" s="4"/>
      <c r="I140" s="4"/>
      <c r="J140" s="6"/>
      <c r="K140" s="7" t="str">
        <f aca="false">IF(OR(I140="",J140=""),"",I140*J140)</f>
        <v/>
      </c>
      <c r="L140" s="4"/>
      <c r="M140" s="8"/>
      <c r="N140" s="7" t="str">
        <f aca="false">IF(OR(L140="",M140="",K140=""),"",IF(L140="GANANCIA",(K140-F140)*M140,IF(L140="BRUTO",K140*M140,"")))</f>
        <v/>
      </c>
      <c r="O140" s="9" t="str">
        <f aca="false">IF(D140="","",D140+30)</f>
        <v/>
      </c>
      <c r="P140" s="10" t="str">
        <f aca="false">IF(I140="","",IF(COUNTIF(Q140:AN140,TRUE())&gt;=I140,"PAGADO",IF(COUNTIF(Q140:AN140,TRUE())&gt;0,"PARCIAL","VIGENTE")))</f>
        <v/>
      </c>
      <c r="Q140" s="11" t="str">
        <f aca="false">IF(OR(I140="",I140&lt;1,O140=""),"",O140+0)</f>
        <v/>
      </c>
      <c r="R140" s="11" t="str">
        <f aca="false">IF(OR(I140="",I140&lt;2,O140=""),"",O140+30)</f>
        <v/>
      </c>
      <c r="S140" s="11" t="str">
        <f aca="false">IF(OR(I140="",I140&lt;3,O140=""),"",O140+60)</f>
        <v/>
      </c>
      <c r="T140" s="11" t="str">
        <f aca="false">IF(OR(I140="",I140&lt;4,O140=""),"",O140+90)</f>
        <v/>
      </c>
      <c r="U140" s="11" t="str">
        <f aca="false">IF(OR(I140="",I140&lt;5,O140=""),"",O140+120)</f>
        <v/>
      </c>
      <c r="V140" s="11" t="str">
        <f aca="false">IF(OR(I140="",I140&lt;6,O140=""),"",O140+150)</f>
        <v/>
      </c>
      <c r="W140" s="11" t="str">
        <f aca="false">IF(OR(I140="",I140&lt;7,O140=""),"",O140+180)</f>
        <v/>
      </c>
      <c r="X140" s="11" t="str">
        <f aca="false">IF(OR(I140="",I140&lt;8,O140=""),"",O140+210)</f>
        <v/>
      </c>
      <c r="Y140" s="11" t="str">
        <f aca="false">IF(OR(I140="",I140&lt;9,O140=""),"",O140+240)</f>
        <v/>
      </c>
      <c r="Z140" s="11" t="str">
        <f aca="false">IF(OR(I140="",I140&lt;10,O140=""),"",O140+270)</f>
        <v/>
      </c>
      <c r="AA140" s="11" t="str">
        <f aca="false">IF(OR(I140="",I140&lt;11,O140=""),"",O140+300)</f>
        <v/>
      </c>
      <c r="AB140" s="11" t="str">
        <f aca="false">IF(OR(I140="",I140&lt;12,O140=""),"",O140+330)</f>
        <v/>
      </c>
      <c r="AC140" s="11" t="str">
        <f aca="false">IF(OR(I140="",I140&lt;13,O140=""),"",O140+360)</f>
        <v/>
      </c>
      <c r="AD140" s="11" t="str">
        <f aca="false">IF(OR(I140="",I140&lt;14,O140=""),"",O140+390)</f>
        <v/>
      </c>
      <c r="AE140" s="11" t="str">
        <f aca="false">IF(OR(I140="",I140&lt;15,O140=""),"",O140+420)</f>
        <v/>
      </c>
      <c r="AF140" s="11" t="str">
        <f aca="false">IF(OR(I140="",I140&lt;16,O140=""),"",O140+450)</f>
        <v/>
      </c>
      <c r="AG140" s="11" t="str">
        <f aca="false">IF(OR(I140="",I140&lt;17,O140=""),"",O140+480)</f>
        <v/>
      </c>
      <c r="AH140" s="11" t="str">
        <f aca="false">IF(OR(I140="",I140&lt;18,O140=""),"",O140+510)</f>
        <v/>
      </c>
      <c r="AI140" s="11" t="str">
        <f aca="false">IF(OR(I140="",I140&lt;19,O140=""),"",O140+540)</f>
        <v/>
      </c>
      <c r="AJ140" s="11" t="str">
        <f aca="false">IF(OR(I140="",I140&lt;20,O140=""),"",O140+570)</f>
        <v/>
      </c>
      <c r="AK140" s="11" t="str">
        <f aca="false">IF(OR(I140="",I140&lt;21,O140=""),"",O140+600)</f>
        <v/>
      </c>
      <c r="AL140" s="11" t="str">
        <f aca="false">IF(OR(I140="",I140&lt;22,O140=""),"",O140+630)</f>
        <v/>
      </c>
      <c r="AM140" s="11" t="str">
        <f aca="false">IF(OR(I140="",I140&lt;23,O140=""),"",O140+660)</f>
        <v/>
      </c>
      <c r="AN140" s="11" t="str">
        <f aca="false">IF(OR(I140="",I140&lt;24,O140=""),"",O140+690)</f>
        <v/>
      </c>
      <c r="AO140" s="7" t="str">
        <f aca="false">IF(J140="","",COUNTIF(Q140:AN140,TRUE())*J140)</f>
        <v/>
      </c>
      <c r="AP140" s="7" t="str">
        <f aca="false">IF(K140="","",K140-AO140)</f>
        <v/>
      </c>
      <c r="AQ140" s="7" t="str">
        <f aca="false">IF(K140="","",K140-F140-IF(N140="",0,N140))</f>
        <v/>
      </c>
    </row>
    <row r="141" customFormat="false" ht="15" hidden="false" customHeight="false" outlineLevel="0" collapsed="false">
      <c r="A141" s="12"/>
      <c r="B141" s="12"/>
      <c r="C141" s="12"/>
      <c r="D141" s="13"/>
      <c r="E141" s="13"/>
      <c r="F141" s="14"/>
      <c r="G141" s="12"/>
      <c r="H141" s="12"/>
      <c r="I141" s="12"/>
      <c r="J141" s="14"/>
      <c r="K141" s="15" t="str">
        <f aca="false">IF(OR(I141="",J141=""),"",I141*J141)</f>
        <v/>
      </c>
      <c r="L141" s="12"/>
      <c r="M141" s="16"/>
      <c r="N141" s="15" t="str">
        <f aca="false">IF(OR(L141="",M141="",K141=""),"",IF(L141="GANANCIA",(K141-F141)*M141,IF(L141="BRUTO",K141*M141,"")))</f>
        <v/>
      </c>
      <c r="O141" s="17" t="str">
        <f aca="false">IF(D141="","",D141+30)</f>
        <v/>
      </c>
      <c r="P141" s="18" t="str">
        <f aca="false">IF(I141="","",IF(COUNTIF(Q141:AN141,TRUE())&gt;=I141,"PAGADO",IF(COUNTIF(Q141:AN141,TRUE())&gt;0,"PARCIAL","VIGENTE")))</f>
        <v/>
      </c>
      <c r="Q141" s="19" t="str">
        <f aca="false">IF(OR(I141="",I141&lt;1,O141=""),"",O141+0)</f>
        <v/>
      </c>
      <c r="R141" s="19" t="str">
        <f aca="false">IF(OR(I141="",I141&lt;2,O141=""),"",O141+30)</f>
        <v/>
      </c>
      <c r="S141" s="19" t="str">
        <f aca="false">IF(OR(I141="",I141&lt;3,O141=""),"",O141+60)</f>
        <v/>
      </c>
      <c r="T141" s="19" t="str">
        <f aca="false">IF(OR(I141="",I141&lt;4,O141=""),"",O141+90)</f>
        <v/>
      </c>
      <c r="U141" s="19" t="str">
        <f aca="false">IF(OR(I141="",I141&lt;5,O141=""),"",O141+120)</f>
        <v/>
      </c>
      <c r="V141" s="19" t="str">
        <f aca="false">IF(OR(I141="",I141&lt;6,O141=""),"",O141+150)</f>
        <v/>
      </c>
      <c r="W141" s="19" t="str">
        <f aca="false">IF(OR(I141="",I141&lt;7,O141=""),"",O141+180)</f>
        <v/>
      </c>
      <c r="X141" s="19" t="str">
        <f aca="false">IF(OR(I141="",I141&lt;8,O141=""),"",O141+210)</f>
        <v/>
      </c>
      <c r="Y141" s="19" t="str">
        <f aca="false">IF(OR(I141="",I141&lt;9,O141=""),"",O141+240)</f>
        <v/>
      </c>
      <c r="Z141" s="19" t="str">
        <f aca="false">IF(OR(I141="",I141&lt;10,O141=""),"",O141+270)</f>
        <v/>
      </c>
      <c r="AA141" s="19" t="str">
        <f aca="false">IF(OR(I141="",I141&lt;11,O141=""),"",O141+300)</f>
        <v/>
      </c>
      <c r="AB141" s="19" t="str">
        <f aca="false">IF(OR(I141="",I141&lt;12,O141=""),"",O141+330)</f>
        <v/>
      </c>
      <c r="AC141" s="19" t="str">
        <f aca="false">IF(OR(I141="",I141&lt;13,O141=""),"",O141+360)</f>
        <v/>
      </c>
      <c r="AD141" s="19" t="str">
        <f aca="false">IF(OR(I141="",I141&lt;14,O141=""),"",O141+390)</f>
        <v/>
      </c>
      <c r="AE141" s="19" t="str">
        <f aca="false">IF(OR(I141="",I141&lt;15,O141=""),"",O141+420)</f>
        <v/>
      </c>
      <c r="AF141" s="19" t="str">
        <f aca="false">IF(OR(I141="",I141&lt;16,O141=""),"",O141+450)</f>
        <v/>
      </c>
      <c r="AG141" s="19" t="str">
        <f aca="false">IF(OR(I141="",I141&lt;17,O141=""),"",O141+480)</f>
        <v/>
      </c>
      <c r="AH141" s="19" t="str">
        <f aca="false">IF(OR(I141="",I141&lt;18,O141=""),"",O141+510)</f>
        <v/>
      </c>
      <c r="AI141" s="19" t="str">
        <f aca="false">IF(OR(I141="",I141&lt;19,O141=""),"",O141+540)</f>
        <v/>
      </c>
      <c r="AJ141" s="19" t="str">
        <f aca="false">IF(OR(I141="",I141&lt;20,O141=""),"",O141+570)</f>
        <v/>
      </c>
      <c r="AK141" s="19" t="str">
        <f aca="false">IF(OR(I141="",I141&lt;21,O141=""),"",O141+600)</f>
        <v/>
      </c>
      <c r="AL141" s="19" t="str">
        <f aca="false">IF(OR(I141="",I141&lt;22,O141=""),"",O141+630)</f>
        <v/>
      </c>
      <c r="AM141" s="19" t="str">
        <f aca="false">IF(OR(I141="",I141&lt;23,O141=""),"",O141+660)</f>
        <v/>
      </c>
      <c r="AN141" s="19" t="str">
        <f aca="false">IF(OR(I141="",I141&lt;24,O141=""),"",O141+690)</f>
        <v/>
      </c>
      <c r="AO141" s="15" t="str">
        <f aca="false">IF(J141="","",COUNTIF(Q141:AN141,TRUE())*J141)</f>
        <v/>
      </c>
      <c r="AP141" s="15" t="str">
        <f aca="false">IF(K141="","",K141-AO141)</f>
        <v/>
      </c>
      <c r="AQ141" s="15" t="str">
        <f aca="false">IF(K141="","",K141-F141-IF(N141="",0,N141))</f>
        <v/>
      </c>
    </row>
    <row r="142" customFormat="false" ht="15" hidden="false" customHeight="false" outlineLevel="0" collapsed="false">
      <c r="A142" s="4"/>
      <c r="B142" s="4"/>
      <c r="C142" s="4"/>
      <c r="D142" s="5"/>
      <c r="E142" s="5"/>
      <c r="F142" s="6"/>
      <c r="G142" s="4"/>
      <c r="H142" s="4"/>
      <c r="I142" s="4"/>
      <c r="J142" s="6"/>
      <c r="K142" s="7" t="str">
        <f aca="false">IF(OR(I142="",J142=""),"",I142*J142)</f>
        <v/>
      </c>
      <c r="L142" s="4"/>
      <c r="M142" s="8"/>
      <c r="N142" s="7" t="str">
        <f aca="false">IF(OR(L142="",M142="",K142=""),"",IF(L142="GANANCIA",(K142-F142)*M142,IF(L142="BRUTO",K142*M142,"")))</f>
        <v/>
      </c>
      <c r="O142" s="9" t="str">
        <f aca="false">IF(D142="","",D142+30)</f>
        <v/>
      </c>
      <c r="P142" s="10" t="str">
        <f aca="false">IF(I142="","",IF(COUNTIF(Q142:AN142,TRUE())&gt;=I142,"PAGADO",IF(COUNTIF(Q142:AN142,TRUE())&gt;0,"PARCIAL","VIGENTE")))</f>
        <v/>
      </c>
      <c r="Q142" s="11" t="str">
        <f aca="false">IF(OR(I142="",I142&lt;1,O142=""),"",O142+0)</f>
        <v/>
      </c>
      <c r="R142" s="11" t="str">
        <f aca="false">IF(OR(I142="",I142&lt;2,O142=""),"",O142+30)</f>
        <v/>
      </c>
      <c r="S142" s="11" t="str">
        <f aca="false">IF(OR(I142="",I142&lt;3,O142=""),"",O142+60)</f>
        <v/>
      </c>
      <c r="T142" s="11" t="str">
        <f aca="false">IF(OR(I142="",I142&lt;4,O142=""),"",O142+90)</f>
        <v/>
      </c>
      <c r="U142" s="11" t="str">
        <f aca="false">IF(OR(I142="",I142&lt;5,O142=""),"",O142+120)</f>
        <v/>
      </c>
      <c r="V142" s="11" t="str">
        <f aca="false">IF(OR(I142="",I142&lt;6,O142=""),"",O142+150)</f>
        <v/>
      </c>
      <c r="W142" s="11" t="str">
        <f aca="false">IF(OR(I142="",I142&lt;7,O142=""),"",O142+180)</f>
        <v/>
      </c>
      <c r="X142" s="11" t="str">
        <f aca="false">IF(OR(I142="",I142&lt;8,O142=""),"",O142+210)</f>
        <v/>
      </c>
      <c r="Y142" s="11" t="str">
        <f aca="false">IF(OR(I142="",I142&lt;9,O142=""),"",O142+240)</f>
        <v/>
      </c>
      <c r="Z142" s="11" t="str">
        <f aca="false">IF(OR(I142="",I142&lt;10,O142=""),"",O142+270)</f>
        <v/>
      </c>
      <c r="AA142" s="11" t="str">
        <f aca="false">IF(OR(I142="",I142&lt;11,O142=""),"",O142+300)</f>
        <v/>
      </c>
      <c r="AB142" s="11" t="str">
        <f aca="false">IF(OR(I142="",I142&lt;12,O142=""),"",O142+330)</f>
        <v/>
      </c>
      <c r="AC142" s="11" t="str">
        <f aca="false">IF(OR(I142="",I142&lt;13,O142=""),"",O142+360)</f>
        <v/>
      </c>
      <c r="AD142" s="11" t="str">
        <f aca="false">IF(OR(I142="",I142&lt;14,O142=""),"",O142+390)</f>
        <v/>
      </c>
      <c r="AE142" s="11" t="str">
        <f aca="false">IF(OR(I142="",I142&lt;15,O142=""),"",O142+420)</f>
        <v/>
      </c>
      <c r="AF142" s="11" t="str">
        <f aca="false">IF(OR(I142="",I142&lt;16,O142=""),"",O142+450)</f>
        <v/>
      </c>
      <c r="AG142" s="11" t="str">
        <f aca="false">IF(OR(I142="",I142&lt;17,O142=""),"",O142+480)</f>
        <v/>
      </c>
      <c r="AH142" s="11" t="str">
        <f aca="false">IF(OR(I142="",I142&lt;18,O142=""),"",O142+510)</f>
        <v/>
      </c>
      <c r="AI142" s="11" t="str">
        <f aca="false">IF(OR(I142="",I142&lt;19,O142=""),"",O142+540)</f>
        <v/>
      </c>
      <c r="AJ142" s="11" t="str">
        <f aca="false">IF(OR(I142="",I142&lt;20,O142=""),"",O142+570)</f>
        <v/>
      </c>
      <c r="AK142" s="11" t="str">
        <f aca="false">IF(OR(I142="",I142&lt;21,O142=""),"",O142+600)</f>
        <v/>
      </c>
      <c r="AL142" s="11" t="str">
        <f aca="false">IF(OR(I142="",I142&lt;22,O142=""),"",O142+630)</f>
        <v/>
      </c>
      <c r="AM142" s="11" t="str">
        <f aca="false">IF(OR(I142="",I142&lt;23,O142=""),"",O142+660)</f>
        <v/>
      </c>
      <c r="AN142" s="11" t="str">
        <f aca="false">IF(OR(I142="",I142&lt;24,O142=""),"",O142+690)</f>
        <v/>
      </c>
      <c r="AO142" s="7" t="str">
        <f aca="false">IF(J142="","",COUNTIF(Q142:AN142,TRUE())*J142)</f>
        <v/>
      </c>
      <c r="AP142" s="7" t="str">
        <f aca="false">IF(K142="","",K142-AO142)</f>
        <v/>
      </c>
      <c r="AQ142" s="7" t="str">
        <f aca="false">IF(K142="","",K142-F142-IF(N142="",0,N142))</f>
        <v/>
      </c>
    </row>
    <row r="143" customFormat="false" ht="15" hidden="false" customHeight="false" outlineLevel="0" collapsed="false">
      <c r="A143" s="12"/>
      <c r="B143" s="12"/>
      <c r="C143" s="12"/>
      <c r="D143" s="13"/>
      <c r="E143" s="13"/>
      <c r="F143" s="14"/>
      <c r="G143" s="12"/>
      <c r="H143" s="12"/>
      <c r="I143" s="12"/>
      <c r="J143" s="14"/>
      <c r="K143" s="15" t="str">
        <f aca="false">IF(OR(I143="",J143=""),"",I143*J143)</f>
        <v/>
      </c>
      <c r="L143" s="12"/>
      <c r="M143" s="16"/>
      <c r="N143" s="15" t="str">
        <f aca="false">IF(OR(L143="",M143="",K143=""),"",IF(L143="GANANCIA",(K143-F143)*M143,IF(L143="BRUTO",K143*M143,"")))</f>
        <v/>
      </c>
      <c r="O143" s="17" t="str">
        <f aca="false">IF(D143="","",D143+30)</f>
        <v/>
      </c>
      <c r="P143" s="18" t="str">
        <f aca="false">IF(I143="","",IF(COUNTIF(Q143:AN143,TRUE())&gt;=I143,"PAGADO",IF(COUNTIF(Q143:AN143,TRUE())&gt;0,"PARCIAL","VIGENTE")))</f>
        <v/>
      </c>
      <c r="Q143" s="19" t="str">
        <f aca="false">IF(OR(I143="",I143&lt;1,O143=""),"",O143+0)</f>
        <v/>
      </c>
      <c r="R143" s="19" t="str">
        <f aca="false">IF(OR(I143="",I143&lt;2,O143=""),"",O143+30)</f>
        <v/>
      </c>
      <c r="S143" s="19" t="str">
        <f aca="false">IF(OR(I143="",I143&lt;3,O143=""),"",O143+60)</f>
        <v/>
      </c>
      <c r="T143" s="19" t="str">
        <f aca="false">IF(OR(I143="",I143&lt;4,O143=""),"",O143+90)</f>
        <v/>
      </c>
      <c r="U143" s="19" t="str">
        <f aca="false">IF(OR(I143="",I143&lt;5,O143=""),"",O143+120)</f>
        <v/>
      </c>
      <c r="V143" s="19" t="str">
        <f aca="false">IF(OR(I143="",I143&lt;6,O143=""),"",O143+150)</f>
        <v/>
      </c>
      <c r="W143" s="19" t="str">
        <f aca="false">IF(OR(I143="",I143&lt;7,O143=""),"",O143+180)</f>
        <v/>
      </c>
      <c r="X143" s="19" t="str">
        <f aca="false">IF(OR(I143="",I143&lt;8,O143=""),"",O143+210)</f>
        <v/>
      </c>
      <c r="Y143" s="19" t="str">
        <f aca="false">IF(OR(I143="",I143&lt;9,O143=""),"",O143+240)</f>
        <v/>
      </c>
      <c r="Z143" s="19" t="str">
        <f aca="false">IF(OR(I143="",I143&lt;10,O143=""),"",O143+270)</f>
        <v/>
      </c>
      <c r="AA143" s="19" t="str">
        <f aca="false">IF(OR(I143="",I143&lt;11,O143=""),"",O143+300)</f>
        <v/>
      </c>
      <c r="AB143" s="19" t="str">
        <f aca="false">IF(OR(I143="",I143&lt;12,O143=""),"",O143+330)</f>
        <v/>
      </c>
      <c r="AC143" s="19" t="str">
        <f aca="false">IF(OR(I143="",I143&lt;13,O143=""),"",O143+360)</f>
        <v/>
      </c>
      <c r="AD143" s="19" t="str">
        <f aca="false">IF(OR(I143="",I143&lt;14,O143=""),"",O143+390)</f>
        <v/>
      </c>
      <c r="AE143" s="19" t="str">
        <f aca="false">IF(OR(I143="",I143&lt;15,O143=""),"",O143+420)</f>
        <v/>
      </c>
      <c r="AF143" s="19" t="str">
        <f aca="false">IF(OR(I143="",I143&lt;16,O143=""),"",O143+450)</f>
        <v/>
      </c>
      <c r="AG143" s="19" t="str">
        <f aca="false">IF(OR(I143="",I143&lt;17,O143=""),"",O143+480)</f>
        <v/>
      </c>
      <c r="AH143" s="19" t="str">
        <f aca="false">IF(OR(I143="",I143&lt;18,O143=""),"",O143+510)</f>
        <v/>
      </c>
      <c r="AI143" s="19" t="str">
        <f aca="false">IF(OR(I143="",I143&lt;19,O143=""),"",O143+540)</f>
        <v/>
      </c>
      <c r="AJ143" s="19" t="str">
        <f aca="false">IF(OR(I143="",I143&lt;20,O143=""),"",O143+570)</f>
        <v/>
      </c>
      <c r="AK143" s="19" t="str">
        <f aca="false">IF(OR(I143="",I143&lt;21,O143=""),"",O143+600)</f>
        <v/>
      </c>
      <c r="AL143" s="19" t="str">
        <f aca="false">IF(OR(I143="",I143&lt;22,O143=""),"",O143+630)</f>
        <v/>
      </c>
      <c r="AM143" s="19" t="str">
        <f aca="false">IF(OR(I143="",I143&lt;23,O143=""),"",O143+660)</f>
        <v/>
      </c>
      <c r="AN143" s="19" t="str">
        <f aca="false">IF(OR(I143="",I143&lt;24,O143=""),"",O143+690)</f>
        <v/>
      </c>
      <c r="AO143" s="15" t="str">
        <f aca="false">IF(J143="","",COUNTIF(Q143:AN143,TRUE())*J143)</f>
        <v/>
      </c>
      <c r="AP143" s="15" t="str">
        <f aca="false">IF(K143="","",K143-AO143)</f>
        <v/>
      </c>
      <c r="AQ143" s="15" t="str">
        <f aca="false">IF(K143="","",K143-F143-IF(N143="",0,N143))</f>
        <v/>
      </c>
    </row>
    <row r="144" customFormat="false" ht="15" hidden="false" customHeight="false" outlineLevel="0" collapsed="false">
      <c r="A144" s="4"/>
      <c r="B144" s="4"/>
      <c r="C144" s="4"/>
      <c r="D144" s="5"/>
      <c r="E144" s="5"/>
      <c r="F144" s="6"/>
      <c r="G144" s="4"/>
      <c r="H144" s="4"/>
      <c r="I144" s="4"/>
      <c r="J144" s="6"/>
      <c r="K144" s="7" t="str">
        <f aca="false">IF(OR(I144="",J144=""),"",I144*J144)</f>
        <v/>
      </c>
      <c r="L144" s="4"/>
      <c r="M144" s="8"/>
      <c r="N144" s="7" t="str">
        <f aca="false">IF(OR(L144="",M144="",K144=""),"",IF(L144="GANANCIA",(K144-F144)*M144,IF(L144="BRUTO",K144*M144,"")))</f>
        <v/>
      </c>
      <c r="O144" s="9" t="str">
        <f aca="false">IF(D144="","",D144+30)</f>
        <v/>
      </c>
      <c r="P144" s="10" t="str">
        <f aca="false">IF(I144="","",IF(COUNTIF(Q144:AN144,TRUE())&gt;=I144,"PAGADO",IF(COUNTIF(Q144:AN144,TRUE())&gt;0,"PARCIAL","VIGENTE")))</f>
        <v/>
      </c>
      <c r="Q144" s="11" t="str">
        <f aca="false">IF(OR(I144="",I144&lt;1,O144=""),"",O144+0)</f>
        <v/>
      </c>
      <c r="R144" s="11" t="str">
        <f aca="false">IF(OR(I144="",I144&lt;2,O144=""),"",O144+30)</f>
        <v/>
      </c>
      <c r="S144" s="11" t="str">
        <f aca="false">IF(OR(I144="",I144&lt;3,O144=""),"",O144+60)</f>
        <v/>
      </c>
      <c r="T144" s="11" t="str">
        <f aca="false">IF(OR(I144="",I144&lt;4,O144=""),"",O144+90)</f>
        <v/>
      </c>
      <c r="U144" s="11" t="str">
        <f aca="false">IF(OR(I144="",I144&lt;5,O144=""),"",O144+120)</f>
        <v/>
      </c>
      <c r="V144" s="11" t="str">
        <f aca="false">IF(OR(I144="",I144&lt;6,O144=""),"",O144+150)</f>
        <v/>
      </c>
      <c r="W144" s="11" t="str">
        <f aca="false">IF(OR(I144="",I144&lt;7,O144=""),"",O144+180)</f>
        <v/>
      </c>
      <c r="X144" s="11" t="str">
        <f aca="false">IF(OR(I144="",I144&lt;8,O144=""),"",O144+210)</f>
        <v/>
      </c>
      <c r="Y144" s="11" t="str">
        <f aca="false">IF(OR(I144="",I144&lt;9,O144=""),"",O144+240)</f>
        <v/>
      </c>
      <c r="Z144" s="11" t="str">
        <f aca="false">IF(OR(I144="",I144&lt;10,O144=""),"",O144+270)</f>
        <v/>
      </c>
      <c r="AA144" s="11" t="str">
        <f aca="false">IF(OR(I144="",I144&lt;11,O144=""),"",O144+300)</f>
        <v/>
      </c>
      <c r="AB144" s="11" t="str">
        <f aca="false">IF(OR(I144="",I144&lt;12,O144=""),"",O144+330)</f>
        <v/>
      </c>
      <c r="AC144" s="11" t="str">
        <f aca="false">IF(OR(I144="",I144&lt;13,O144=""),"",O144+360)</f>
        <v/>
      </c>
      <c r="AD144" s="11" t="str">
        <f aca="false">IF(OR(I144="",I144&lt;14,O144=""),"",O144+390)</f>
        <v/>
      </c>
      <c r="AE144" s="11" t="str">
        <f aca="false">IF(OR(I144="",I144&lt;15,O144=""),"",O144+420)</f>
        <v/>
      </c>
      <c r="AF144" s="11" t="str">
        <f aca="false">IF(OR(I144="",I144&lt;16,O144=""),"",O144+450)</f>
        <v/>
      </c>
      <c r="AG144" s="11" t="str">
        <f aca="false">IF(OR(I144="",I144&lt;17,O144=""),"",O144+480)</f>
        <v/>
      </c>
      <c r="AH144" s="11" t="str">
        <f aca="false">IF(OR(I144="",I144&lt;18,O144=""),"",O144+510)</f>
        <v/>
      </c>
      <c r="AI144" s="11" t="str">
        <f aca="false">IF(OR(I144="",I144&lt;19,O144=""),"",O144+540)</f>
        <v/>
      </c>
      <c r="AJ144" s="11" t="str">
        <f aca="false">IF(OR(I144="",I144&lt;20,O144=""),"",O144+570)</f>
        <v/>
      </c>
      <c r="AK144" s="11" t="str">
        <f aca="false">IF(OR(I144="",I144&lt;21,O144=""),"",O144+600)</f>
        <v/>
      </c>
      <c r="AL144" s="11" t="str">
        <f aca="false">IF(OR(I144="",I144&lt;22,O144=""),"",O144+630)</f>
        <v/>
      </c>
      <c r="AM144" s="11" t="str">
        <f aca="false">IF(OR(I144="",I144&lt;23,O144=""),"",O144+660)</f>
        <v/>
      </c>
      <c r="AN144" s="11" t="str">
        <f aca="false">IF(OR(I144="",I144&lt;24,O144=""),"",O144+690)</f>
        <v/>
      </c>
      <c r="AO144" s="7" t="str">
        <f aca="false">IF(J144="","",COUNTIF(Q144:AN144,TRUE())*J144)</f>
        <v/>
      </c>
      <c r="AP144" s="7" t="str">
        <f aca="false">IF(K144="","",K144-AO144)</f>
        <v/>
      </c>
      <c r="AQ144" s="7" t="str">
        <f aca="false">IF(K144="","",K144-F144-IF(N144="",0,N144))</f>
        <v/>
      </c>
    </row>
    <row r="145" customFormat="false" ht="15" hidden="false" customHeight="false" outlineLevel="0" collapsed="false">
      <c r="A145" s="12"/>
      <c r="B145" s="12"/>
      <c r="C145" s="12"/>
      <c r="D145" s="13"/>
      <c r="E145" s="13"/>
      <c r="F145" s="14"/>
      <c r="G145" s="12"/>
      <c r="H145" s="12"/>
      <c r="I145" s="12"/>
      <c r="J145" s="14"/>
      <c r="K145" s="15" t="str">
        <f aca="false">IF(OR(I145="",J145=""),"",I145*J145)</f>
        <v/>
      </c>
      <c r="L145" s="12"/>
      <c r="M145" s="16"/>
      <c r="N145" s="15" t="str">
        <f aca="false">IF(OR(L145="",M145="",K145=""),"",IF(L145="GANANCIA",(K145-F145)*M145,IF(L145="BRUTO",K145*M145,"")))</f>
        <v/>
      </c>
      <c r="O145" s="17" t="str">
        <f aca="false">IF(D145="","",D145+30)</f>
        <v/>
      </c>
      <c r="P145" s="18" t="str">
        <f aca="false">IF(I145="","",IF(COUNTIF(Q145:AN145,TRUE())&gt;=I145,"PAGADO",IF(COUNTIF(Q145:AN145,TRUE())&gt;0,"PARCIAL","VIGENTE")))</f>
        <v/>
      </c>
      <c r="Q145" s="19" t="str">
        <f aca="false">IF(OR(I145="",I145&lt;1,O145=""),"",O145+0)</f>
        <v/>
      </c>
      <c r="R145" s="19" t="str">
        <f aca="false">IF(OR(I145="",I145&lt;2,O145=""),"",O145+30)</f>
        <v/>
      </c>
      <c r="S145" s="19" t="str">
        <f aca="false">IF(OR(I145="",I145&lt;3,O145=""),"",O145+60)</f>
        <v/>
      </c>
      <c r="T145" s="19" t="str">
        <f aca="false">IF(OR(I145="",I145&lt;4,O145=""),"",O145+90)</f>
        <v/>
      </c>
      <c r="U145" s="19" t="str">
        <f aca="false">IF(OR(I145="",I145&lt;5,O145=""),"",O145+120)</f>
        <v/>
      </c>
      <c r="V145" s="19" t="str">
        <f aca="false">IF(OR(I145="",I145&lt;6,O145=""),"",O145+150)</f>
        <v/>
      </c>
      <c r="W145" s="19" t="str">
        <f aca="false">IF(OR(I145="",I145&lt;7,O145=""),"",O145+180)</f>
        <v/>
      </c>
      <c r="X145" s="19" t="str">
        <f aca="false">IF(OR(I145="",I145&lt;8,O145=""),"",O145+210)</f>
        <v/>
      </c>
      <c r="Y145" s="19" t="str">
        <f aca="false">IF(OR(I145="",I145&lt;9,O145=""),"",O145+240)</f>
        <v/>
      </c>
      <c r="Z145" s="19" t="str">
        <f aca="false">IF(OR(I145="",I145&lt;10,O145=""),"",O145+270)</f>
        <v/>
      </c>
      <c r="AA145" s="19" t="str">
        <f aca="false">IF(OR(I145="",I145&lt;11,O145=""),"",O145+300)</f>
        <v/>
      </c>
      <c r="AB145" s="19" t="str">
        <f aca="false">IF(OR(I145="",I145&lt;12,O145=""),"",O145+330)</f>
        <v/>
      </c>
      <c r="AC145" s="19" t="str">
        <f aca="false">IF(OR(I145="",I145&lt;13,O145=""),"",O145+360)</f>
        <v/>
      </c>
      <c r="AD145" s="19" t="str">
        <f aca="false">IF(OR(I145="",I145&lt;14,O145=""),"",O145+390)</f>
        <v/>
      </c>
      <c r="AE145" s="19" t="str">
        <f aca="false">IF(OR(I145="",I145&lt;15,O145=""),"",O145+420)</f>
        <v/>
      </c>
      <c r="AF145" s="19" t="str">
        <f aca="false">IF(OR(I145="",I145&lt;16,O145=""),"",O145+450)</f>
        <v/>
      </c>
      <c r="AG145" s="19" t="str">
        <f aca="false">IF(OR(I145="",I145&lt;17,O145=""),"",O145+480)</f>
        <v/>
      </c>
      <c r="AH145" s="19" t="str">
        <f aca="false">IF(OR(I145="",I145&lt;18,O145=""),"",O145+510)</f>
        <v/>
      </c>
      <c r="AI145" s="19" t="str">
        <f aca="false">IF(OR(I145="",I145&lt;19,O145=""),"",O145+540)</f>
        <v/>
      </c>
      <c r="AJ145" s="19" t="str">
        <f aca="false">IF(OR(I145="",I145&lt;20,O145=""),"",O145+570)</f>
        <v/>
      </c>
      <c r="AK145" s="19" t="str">
        <f aca="false">IF(OR(I145="",I145&lt;21,O145=""),"",O145+600)</f>
        <v/>
      </c>
      <c r="AL145" s="19" t="str">
        <f aca="false">IF(OR(I145="",I145&lt;22,O145=""),"",O145+630)</f>
        <v/>
      </c>
      <c r="AM145" s="19" t="str">
        <f aca="false">IF(OR(I145="",I145&lt;23,O145=""),"",O145+660)</f>
        <v/>
      </c>
      <c r="AN145" s="19" t="str">
        <f aca="false">IF(OR(I145="",I145&lt;24,O145=""),"",O145+690)</f>
        <v/>
      </c>
      <c r="AO145" s="15" t="str">
        <f aca="false">IF(J145="","",COUNTIF(Q145:AN145,TRUE())*J145)</f>
        <v/>
      </c>
      <c r="AP145" s="15" t="str">
        <f aca="false">IF(K145="","",K145-AO145)</f>
        <v/>
      </c>
      <c r="AQ145" s="15" t="str">
        <f aca="false">IF(K145="","",K145-F145-IF(N145="",0,N145))</f>
        <v/>
      </c>
    </row>
    <row r="146" customFormat="false" ht="15" hidden="false" customHeight="false" outlineLevel="0" collapsed="false">
      <c r="A146" s="4"/>
      <c r="B146" s="4"/>
      <c r="C146" s="4"/>
      <c r="D146" s="5"/>
      <c r="E146" s="5"/>
      <c r="F146" s="6"/>
      <c r="G146" s="4"/>
      <c r="H146" s="4"/>
      <c r="I146" s="4"/>
      <c r="J146" s="6"/>
      <c r="K146" s="7" t="str">
        <f aca="false">IF(OR(I146="",J146=""),"",I146*J146)</f>
        <v/>
      </c>
      <c r="L146" s="4"/>
      <c r="M146" s="8"/>
      <c r="N146" s="7" t="str">
        <f aca="false">IF(OR(L146="",M146="",K146=""),"",IF(L146="GANANCIA",(K146-F146)*M146,IF(L146="BRUTO",K146*M146,"")))</f>
        <v/>
      </c>
      <c r="O146" s="9" t="str">
        <f aca="false">IF(D146="","",D146+30)</f>
        <v/>
      </c>
      <c r="P146" s="10" t="str">
        <f aca="false">IF(I146="","",IF(COUNTIF(Q146:AN146,TRUE())&gt;=I146,"PAGADO",IF(COUNTIF(Q146:AN146,TRUE())&gt;0,"PARCIAL","VIGENTE")))</f>
        <v/>
      </c>
      <c r="Q146" s="11" t="str">
        <f aca="false">IF(OR(I146="",I146&lt;1,O146=""),"",O146+0)</f>
        <v/>
      </c>
      <c r="R146" s="11" t="str">
        <f aca="false">IF(OR(I146="",I146&lt;2,O146=""),"",O146+30)</f>
        <v/>
      </c>
      <c r="S146" s="11" t="str">
        <f aca="false">IF(OR(I146="",I146&lt;3,O146=""),"",O146+60)</f>
        <v/>
      </c>
      <c r="T146" s="11" t="str">
        <f aca="false">IF(OR(I146="",I146&lt;4,O146=""),"",O146+90)</f>
        <v/>
      </c>
      <c r="U146" s="11" t="str">
        <f aca="false">IF(OR(I146="",I146&lt;5,O146=""),"",O146+120)</f>
        <v/>
      </c>
      <c r="V146" s="11" t="str">
        <f aca="false">IF(OR(I146="",I146&lt;6,O146=""),"",O146+150)</f>
        <v/>
      </c>
      <c r="W146" s="11" t="str">
        <f aca="false">IF(OR(I146="",I146&lt;7,O146=""),"",O146+180)</f>
        <v/>
      </c>
      <c r="X146" s="11" t="str">
        <f aca="false">IF(OR(I146="",I146&lt;8,O146=""),"",O146+210)</f>
        <v/>
      </c>
      <c r="Y146" s="11" t="str">
        <f aca="false">IF(OR(I146="",I146&lt;9,O146=""),"",O146+240)</f>
        <v/>
      </c>
      <c r="Z146" s="11" t="str">
        <f aca="false">IF(OR(I146="",I146&lt;10,O146=""),"",O146+270)</f>
        <v/>
      </c>
      <c r="AA146" s="11" t="str">
        <f aca="false">IF(OR(I146="",I146&lt;11,O146=""),"",O146+300)</f>
        <v/>
      </c>
      <c r="AB146" s="11" t="str">
        <f aca="false">IF(OR(I146="",I146&lt;12,O146=""),"",O146+330)</f>
        <v/>
      </c>
      <c r="AC146" s="11" t="str">
        <f aca="false">IF(OR(I146="",I146&lt;13,O146=""),"",O146+360)</f>
        <v/>
      </c>
      <c r="AD146" s="11" t="str">
        <f aca="false">IF(OR(I146="",I146&lt;14,O146=""),"",O146+390)</f>
        <v/>
      </c>
      <c r="AE146" s="11" t="str">
        <f aca="false">IF(OR(I146="",I146&lt;15,O146=""),"",O146+420)</f>
        <v/>
      </c>
      <c r="AF146" s="11" t="str">
        <f aca="false">IF(OR(I146="",I146&lt;16,O146=""),"",O146+450)</f>
        <v/>
      </c>
      <c r="AG146" s="11" t="str">
        <f aca="false">IF(OR(I146="",I146&lt;17,O146=""),"",O146+480)</f>
        <v/>
      </c>
      <c r="AH146" s="11" t="str">
        <f aca="false">IF(OR(I146="",I146&lt;18,O146=""),"",O146+510)</f>
        <v/>
      </c>
      <c r="AI146" s="11" t="str">
        <f aca="false">IF(OR(I146="",I146&lt;19,O146=""),"",O146+540)</f>
        <v/>
      </c>
      <c r="AJ146" s="11" t="str">
        <f aca="false">IF(OR(I146="",I146&lt;20,O146=""),"",O146+570)</f>
        <v/>
      </c>
      <c r="AK146" s="11" t="str">
        <f aca="false">IF(OR(I146="",I146&lt;21,O146=""),"",O146+600)</f>
        <v/>
      </c>
      <c r="AL146" s="11" t="str">
        <f aca="false">IF(OR(I146="",I146&lt;22,O146=""),"",O146+630)</f>
        <v/>
      </c>
      <c r="AM146" s="11" t="str">
        <f aca="false">IF(OR(I146="",I146&lt;23,O146=""),"",O146+660)</f>
        <v/>
      </c>
      <c r="AN146" s="11" t="str">
        <f aca="false">IF(OR(I146="",I146&lt;24,O146=""),"",O146+690)</f>
        <v/>
      </c>
      <c r="AO146" s="7" t="str">
        <f aca="false">IF(J146="","",COUNTIF(Q146:AN146,TRUE())*J146)</f>
        <v/>
      </c>
      <c r="AP146" s="7" t="str">
        <f aca="false">IF(K146="","",K146-AO146)</f>
        <v/>
      </c>
      <c r="AQ146" s="7" t="str">
        <f aca="false">IF(K146="","",K146-F146-IF(N146="",0,N146))</f>
        <v/>
      </c>
    </row>
    <row r="147" customFormat="false" ht="15" hidden="false" customHeight="false" outlineLevel="0" collapsed="false">
      <c r="A147" s="12"/>
      <c r="B147" s="12"/>
      <c r="C147" s="12"/>
      <c r="D147" s="13"/>
      <c r="E147" s="13"/>
      <c r="F147" s="14"/>
      <c r="G147" s="12"/>
      <c r="H147" s="12"/>
      <c r="I147" s="12"/>
      <c r="J147" s="14"/>
      <c r="K147" s="15" t="str">
        <f aca="false">IF(OR(I147="",J147=""),"",I147*J147)</f>
        <v/>
      </c>
      <c r="L147" s="12"/>
      <c r="M147" s="16"/>
      <c r="N147" s="15" t="str">
        <f aca="false">IF(OR(L147="",M147="",K147=""),"",IF(L147="GANANCIA",(K147-F147)*M147,IF(L147="BRUTO",K147*M147,"")))</f>
        <v/>
      </c>
      <c r="O147" s="17" t="str">
        <f aca="false">IF(D147="","",D147+30)</f>
        <v/>
      </c>
      <c r="P147" s="18" t="str">
        <f aca="false">IF(I147="","",IF(COUNTIF(Q147:AN147,TRUE())&gt;=I147,"PAGADO",IF(COUNTIF(Q147:AN147,TRUE())&gt;0,"PARCIAL","VIGENTE")))</f>
        <v/>
      </c>
      <c r="Q147" s="19" t="str">
        <f aca="false">IF(OR(I147="",I147&lt;1,O147=""),"",O147+0)</f>
        <v/>
      </c>
      <c r="R147" s="19" t="str">
        <f aca="false">IF(OR(I147="",I147&lt;2,O147=""),"",O147+30)</f>
        <v/>
      </c>
      <c r="S147" s="19" t="str">
        <f aca="false">IF(OR(I147="",I147&lt;3,O147=""),"",O147+60)</f>
        <v/>
      </c>
      <c r="T147" s="19" t="str">
        <f aca="false">IF(OR(I147="",I147&lt;4,O147=""),"",O147+90)</f>
        <v/>
      </c>
      <c r="U147" s="19" t="str">
        <f aca="false">IF(OR(I147="",I147&lt;5,O147=""),"",O147+120)</f>
        <v/>
      </c>
      <c r="V147" s="19" t="str">
        <f aca="false">IF(OR(I147="",I147&lt;6,O147=""),"",O147+150)</f>
        <v/>
      </c>
      <c r="W147" s="19" t="str">
        <f aca="false">IF(OR(I147="",I147&lt;7,O147=""),"",O147+180)</f>
        <v/>
      </c>
      <c r="X147" s="19" t="str">
        <f aca="false">IF(OR(I147="",I147&lt;8,O147=""),"",O147+210)</f>
        <v/>
      </c>
      <c r="Y147" s="19" t="str">
        <f aca="false">IF(OR(I147="",I147&lt;9,O147=""),"",O147+240)</f>
        <v/>
      </c>
      <c r="Z147" s="19" t="str">
        <f aca="false">IF(OR(I147="",I147&lt;10,O147=""),"",O147+270)</f>
        <v/>
      </c>
      <c r="AA147" s="19" t="str">
        <f aca="false">IF(OR(I147="",I147&lt;11,O147=""),"",O147+300)</f>
        <v/>
      </c>
      <c r="AB147" s="19" t="str">
        <f aca="false">IF(OR(I147="",I147&lt;12,O147=""),"",O147+330)</f>
        <v/>
      </c>
      <c r="AC147" s="19" t="str">
        <f aca="false">IF(OR(I147="",I147&lt;13,O147=""),"",O147+360)</f>
        <v/>
      </c>
      <c r="AD147" s="19" t="str">
        <f aca="false">IF(OR(I147="",I147&lt;14,O147=""),"",O147+390)</f>
        <v/>
      </c>
      <c r="AE147" s="19" t="str">
        <f aca="false">IF(OR(I147="",I147&lt;15,O147=""),"",O147+420)</f>
        <v/>
      </c>
      <c r="AF147" s="19" t="str">
        <f aca="false">IF(OR(I147="",I147&lt;16,O147=""),"",O147+450)</f>
        <v/>
      </c>
      <c r="AG147" s="19" t="str">
        <f aca="false">IF(OR(I147="",I147&lt;17,O147=""),"",O147+480)</f>
        <v/>
      </c>
      <c r="AH147" s="19" t="str">
        <f aca="false">IF(OR(I147="",I147&lt;18,O147=""),"",O147+510)</f>
        <v/>
      </c>
      <c r="AI147" s="19" t="str">
        <f aca="false">IF(OR(I147="",I147&lt;19,O147=""),"",O147+540)</f>
        <v/>
      </c>
      <c r="AJ147" s="19" t="str">
        <f aca="false">IF(OR(I147="",I147&lt;20,O147=""),"",O147+570)</f>
        <v/>
      </c>
      <c r="AK147" s="19" t="str">
        <f aca="false">IF(OR(I147="",I147&lt;21,O147=""),"",O147+600)</f>
        <v/>
      </c>
      <c r="AL147" s="19" t="str">
        <f aca="false">IF(OR(I147="",I147&lt;22,O147=""),"",O147+630)</f>
        <v/>
      </c>
      <c r="AM147" s="19" t="str">
        <f aca="false">IF(OR(I147="",I147&lt;23,O147=""),"",O147+660)</f>
        <v/>
      </c>
      <c r="AN147" s="19" t="str">
        <f aca="false">IF(OR(I147="",I147&lt;24,O147=""),"",O147+690)</f>
        <v/>
      </c>
      <c r="AO147" s="15" t="str">
        <f aca="false">IF(J147="","",COUNTIF(Q147:AN147,TRUE())*J147)</f>
        <v/>
      </c>
      <c r="AP147" s="15" t="str">
        <f aca="false">IF(K147="","",K147-AO147)</f>
        <v/>
      </c>
      <c r="AQ147" s="15" t="str">
        <f aca="false">IF(K147="","",K147-F147-IF(N147="",0,N147))</f>
        <v/>
      </c>
    </row>
    <row r="148" customFormat="false" ht="15" hidden="false" customHeight="false" outlineLevel="0" collapsed="false">
      <c r="A148" s="4"/>
      <c r="B148" s="4"/>
      <c r="C148" s="4"/>
      <c r="D148" s="5"/>
      <c r="E148" s="5"/>
      <c r="F148" s="6"/>
      <c r="G148" s="4"/>
      <c r="H148" s="4"/>
      <c r="I148" s="4"/>
      <c r="J148" s="6"/>
      <c r="K148" s="7" t="str">
        <f aca="false">IF(OR(I148="",J148=""),"",I148*J148)</f>
        <v/>
      </c>
      <c r="L148" s="4"/>
      <c r="M148" s="8"/>
      <c r="N148" s="7" t="str">
        <f aca="false">IF(OR(L148="",M148="",K148=""),"",IF(L148="GANANCIA",(K148-F148)*M148,IF(L148="BRUTO",K148*M148,"")))</f>
        <v/>
      </c>
      <c r="O148" s="9" t="str">
        <f aca="false">IF(D148="","",D148+30)</f>
        <v/>
      </c>
      <c r="P148" s="10" t="str">
        <f aca="false">IF(I148="","",IF(COUNTIF(Q148:AN148,TRUE())&gt;=I148,"PAGADO",IF(COUNTIF(Q148:AN148,TRUE())&gt;0,"PARCIAL","VIGENTE")))</f>
        <v/>
      </c>
      <c r="Q148" s="11" t="str">
        <f aca="false">IF(OR(I148="",I148&lt;1,O148=""),"",O148+0)</f>
        <v/>
      </c>
      <c r="R148" s="11" t="str">
        <f aca="false">IF(OR(I148="",I148&lt;2,O148=""),"",O148+30)</f>
        <v/>
      </c>
      <c r="S148" s="11" t="str">
        <f aca="false">IF(OR(I148="",I148&lt;3,O148=""),"",O148+60)</f>
        <v/>
      </c>
      <c r="T148" s="11" t="str">
        <f aca="false">IF(OR(I148="",I148&lt;4,O148=""),"",O148+90)</f>
        <v/>
      </c>
      <c r="U148" s="11" t="str">
        <f aca="false">IF(OR(I148="",I148&lt;5,O148=""),"",O148+120)</f>
        <v/>
      </c>
      <c r="V148" s="11" t="str">
        <f aca="false">IF(OR(I148="",I148&lt;6,O148=""),"",O148+150)</f>
        <v/>
      </c>
      <c r="W148" s="11" t="str">
        <f aca="false">IF(OR(I148="",I148&lt;7,O148=""),"",O148+180)</f>
        <v/>
      </c>
      <c r="X148" s="11" t="str">
        <f aca="false">IF(OR(I148="",I148&lt;8,O148=""),"",O148+210)</f>
        <v/>
      </c>
      <c r="Y148" s="11" t="str">
        <f aca="false">IF(OR(I148="",I148&lt;9,O148=""),"",O148+240)</f>
        <v/>
      </c>
      <c r="Z148" s="11" t="str">
        <f aca="false">IF(OR(I148="",I148&lt;10,O148=""),"",O148+270)</f>
        <v/>
      </c>
      <c r="AA148" s="11" t="str">
        <f aca="false">IF(OR(I148="",I148&lt;11,O148=""),"",O148+300)</f>
        <v/>
      </c>
      <c r="AB148" s="11" t="str">
        <f aca="false">IF(OR(I148="",I148&lt;12,O148=""),"",O148+330)</f>
        <v/>
      </c>
      <c r="AC148" s="11" t="str">
        <f aca="false">IF(OR(I148="",I148&lt;13,O148=""),"",O148+360)</f>
        <v/>
      </c>
      <c r="AD148" s="11" t="str">
        <f aca="false">IF(OR(I148="",I148&lt;14,O148=""),"",O148+390)</f>
        <v/>
      </c>
      <c r="AE148" s="11" t="str">
        <f aca="false">IF(OR(I148="",I148&lt;15,O148=""),"",O148+420)</f>
        <v/>
      </c>
      <c r="AF148" s="11" t="str">
        <f aca="false">IF(OR(I148="",I148&lt;16,O148=""),"",O148+450)</f>
        <v/>
      </c>
      <c r="AG148" s="11" t="str">
        <f aca="false">IF(OR(I148="",I148&lt;17,O148=""),"",O148+480)</f>
        <v/>
      </c>
      <c r="AH148" s="11" t="str">
        <f aca="false">IF(OR(I148="",I148&lt;18,O148=""),"",O148+510)</f>
        <v/>
      </c>
      <c r="AI148" s="11" t="str">
        <f aca="false">IF(OR(I148="",I148&lt;19,O148=""),"",O148+540)</f>
        <v/>
      </c>
      <c r="AJ148" s="11" t="str">
        <f aca="false">IF(OR(I148="",I148&lt;20,O148=""),"",O148+570)</f>
        <v/>
      </c>
      <c r="AK148" s="11" t="str">
        <f aca="false">IF(OR(I148="",I148&lt;21,O148=""),"",O148+600)</f>
        <v/>
      </c>
      <c r="AL148" s="11" t="str">
        <f aca="false">IF(OR(I148="",I148&lt;22,O148=""),"",O148+630)</f>
        <v/>
      </c>
      <c r="AM148" s="11" t="str">
        <f aca="false">IF(OR(I148="",I148&lt;23,O148=""),"",O148+660)</f>
        <v/>
      </c>
      <c r="AN148" s="11" t="str">
        <f aca="false">IF(OR(I148="",I148&lt;24,O148=""),"",O148+690)</f>
        <v/>
      </c>
      <c r="AO148" s="7" t="str">
        <f aca="false">IF(J148="","",COUNTIF(Q148:AN148,TRUE())*J148)</f>
        <v/>
      </c>
      <c r="AP148" s="7" t="str">
        <f aca="false">IF(K148="","",K148-AO148)</f>
        <v/>
      </c>
      <c r="AQ148" s="7" t="str">
        <f aca="false">IF(K148="","",K148-F148-IF(N148="",0,N148))</f>
        <v/>
      </c>
    </row>
    <row r="149" customFormat="false" ht="15" hidden="false" customHeight="false" outlineLevel="0" collapsed="false">
      <c r="A149" s="12"/>
      <c r="B149" s="12"/>
      <c r="C149" s="12"/>
      <c r="D149" s="13"/>
      <c r="E149" s="13"/>
      <c r="F149" s="14"/>
      <c r="G149" s="12"/>
      <c r="H149" s="12"/>
      <c r="I149" s="12"/>
      <c r="J149" s="14"/>
      <c r="K149" s="15" t="str">
        <f aca="false">IF(OR(I149="",J149=""),"",I149*J149)</f>
        <v/>
      </c>
      <c r="L149" s="12"/>
      <c r="M149" s="16"/>
      <c r="N149" s="15" t="str">
        <f aca="false">IF(OR(L149="",M149="",K149=""),"",IF(L149="GANANCIA",(K149-F149)*M149,IF(L149="BRUTO",K149*M149,"")))</f>
        <v/>
      </c>
      <c r="O149" s="17" t="str">
        <f aca="false">IF(D149="","",D149+30)</f>
        <v/>
      </c>
      <c r="P149" s="18" t="str">
        <f aca="false">IF(I149="","",IF(COUNTIF(Q149:AN149,TRUE())&gt;=I149,"PAGADO",IF(COUNTIF(Q149:AN149,TRUE())&gt;0,"PARCIAL","VIGENTE")))</f>
        <v/>
      </c>
      <c r="Q149" s="19" t="str">
        <f aca="false">IF(OR(I149="",I149&lt;1,O149=""),"",O149+0)</f>
        <v/>
      </c>
      <c r="R149" s="19" t="str">
        <f aca="false">IF(OR(I149="",I149&lt;2,O149=""),"",O149+30)</f>
        <v/>
      </c>
      <c r="S149" s="19" t="str">
        <f aca="false">IF(OR(I149="",I149&lt;3,O149=""),"",O149+60)</f>
        <v/>
      </c>
      <c r="T149" s="19" t="str">
        <f aca="false">IF(OR(I149="",I149&lt;4,O149=""),"",O149+90)</f>
        <v/>
      </c>
      <c r="U149" s="19" t="str">
        <f aca="false">IF(OR(I149="",I149&lt;5,O149=""),"",O149+120)</f>
        <v/>
      </c>
      <c r="V149" s="19" t="str">
        <f aca="false">IF(OR(I149="",I149&lt;6,O149=""),"",O149+150)</f>
        <v/>
      </c>
      <c r="W149" s="19" t="str">
        <f aca="false">IF(OR(I149="",I149&lt;7,O149=""),"",O149+180)</f>
        <v/>
      </c>
      <c r="X149" s="19" t="str">
        <f aca="false">IF(OR(I149="",I149&lt;8,O149=""),"",O149+210)</f>
        <v/>
      </c>
      <c r="Y149" s="19" t="str">
        <f aca="false">IF(OR(I149="",I149&lt;9,O149=""),"",O149+240)</f>
        <v/>
      </c>
      <c r="Z149" s="19" t="str">
        <f aca="false">IF(OR(I149="",I149&lt;10,O149=""),"",O149+270)</f>
        <v/>
      </c>
      <c r="AA149" s="19" t="str">
        <f aca="false">IF(OR(I149="",I149&lt;11,O149=""),"",O149+300)</f>
        <v/>
      </c>
      <c r="AB149" s="19" t="str">
        <f aca="false">IF(OR(I149="",I149&lt;12,O149=""),"",O149+330)</f>
        <v/>
      </c>
      <c r="AC149" s="19" t="str">
        <f aca="false">IF(OR(I149="",I149&lt;13,O149=""),"",O149+360)</f>
        <v/>
      </c>
      <c r="AD149" s="19" t="str">
        <f aca="false">IF(OR(I149="",I149&lt;14,O149=""),"",O149+390)</f>
        <v/>
      </c>
      <c r="AE149" s="19" t="str">
        <f aca="false">IF(OR(I149="",I149&lt;15,O149=""),"",O149+420)</f>
        <v/>
      </c>
      <c r="AF149" s="19" t="str">
        <f aca="false">IF(OR(I149="",I149&lt;16,O149=""),"",O149+450)</f>
        <v/>
      </c>
      <c r="AG149" s="19" t="str">
        <f aca="false">IF(OR(I149="",I149&lt;17,O149=""),"",O149+480)</f>
        <v/>
      </c>
      <c r="AH149" s="19" t="str">
        <f aca="false">IF(OR(I149="",I149&lt;18,O149=""),"",O149+510)</f>
        <v/>
      </c>
      <c r="AI149" s="19" t="str">
        <f aca="false">IF(OR(I149="",I149&lt;19,O149=""),"",O149+540)</f>
        <v/>
      </c>
      <c r="AJ149" s="19" t="str">
        <f aca="false">IF(OR(I149="",I149&lt;20,O149=""),"",O149+570)</f>
        <v/>
      </c>
      <c r="AK149" s="19" t="str">
        <f aca="false">IF(OR(I149="",I149&lt;21,O149=""),"",O149+600)</f>
        <v/>
      </c>
      <c r="AL149" s="19" t="str">
        <f aca="false">IF(OR(I149="",I149&lt;22,O149=""),"",O149+630)</f>
        <v/>
      </c>
      <c r="AM149" s="19" t="str">
        <f aca="false">IF(OR(I149="",I149&lt;23,O149=""),"",O149+660)</f>
        <v/>
      </c>
      <c r="AN149" s="19" t="str">
        <f aca="false">IF(OR(I149="",I149&lt;24,O149=""),"",O149+690)</f>
        <v/>
      </c>
      <c r="AO149" s="15" t="str">
        <f aca="false">IF(J149="","",COUNTIF(Q149:AN149,TRUE())*J149)</f>
        <v/>
      </c>
      <c r="AP149" s="15" t="str">
        <f aca="false">IF(K149="","",K149-AO149)</f>
        <v/>
      </c>
      <c r="AQ149" s="15" t="str">
        <f aca="false">IF(K149="","",K149-F149-IF(N149="",0,N149))</f>
        <v/>
      </c>
    </row>
    <row r="150" customFormat="false" ht="15" hidden="false" customHeight="false" outlineLevel="0" collapsed="false">
      <c r="A150" s="4"/>
      <c r="B150" s="4"/>
      <c r="C150" s="4"/>
      <c r="D150" s="5"/>
      <c r="E150" s="5"/>
      <c r="F150" s="6"/>
      <c r="G150" s="4"/>
      <c r="H150" s="4"/>
      <c r="I150" s="4"/>
      <c r="J150" s="6"/>
      <c r="K150" s="7" t="str">
        <f aca="false">IF(OR(I150="",J150=""),"",I150*J150)</f>
        <v/>
      </c>
      <c r="L150" s="4"/>
      <c r="M150" s="8"/>
      <c r="N150" s="7" t="str">
        <f aca="false">IF(OR(L150="",M150="",K150=""),"",IF(L150="GANANCIA",(K150-F150)*M150,IF(L150="BRUTO",K150*M150,"")))</f>
        <v/>
      </c>
      <c r="O150" s="9" t="str">
        <f aca="false">IF(D150="","",D150+30)</f>
        <v/>
      </c>
      <c r="P150" s="10" t="str">
        <f aca="false">IF(I150="","",IF(COUNTIF(Q150:AN150,TRUE())&gt;=I150,"PAGADO",IF(COUNTIF(Q150:AN150,TRUE())&gt;0,"PARCIAL","VIGENTE")))</f>
        <v/>
      </c>
      <c r="Q150" s="11" t="str">
        <f aca="false">IF(OR(I150="",I150&lt;1,O150=""),"",O150+0)</f>
        <v/>
      </c>
      <c r="R150" s="11" t="str">
        <f aca="false">IF(OR(I150="",I150&lt;2,O150=""),"",O150+30)</f>
        <v/>
      </c>
      <c r="S150" s="11" t="str">
        <f aca="false">IF(OR(I150="",I150&lt;3,O150=""),"",O150+60)</f>
        <v/>
      </c>
      <c r="T150" s="11" t="str">
        <f aca="false">IF(OR(I150="",I150&lt;4,O150=""),"",O150+90)</f>
        <v/>
      </c>
      <c r="U150" s="11" t="str">
        <f aca="false">IF(OR(I150="",I150&lt;5,O150=""),"",O150+120)</f>
        <v/>
      </c>
      <c r="V150" s="11" t="str">
        <f aca="false">IF(OR(I150="",I150&lt;6,O150=""),"",O150+150)</f>
        <v/>
      </c>
      <c r="W150" s="11" t="str">
        <f aca="false">IF(OR(I150="",I150&lt;7,O150=""),"",O150+180)</f>
        <v/>
      </c>
      <c r="X150" s="11" t="str">
        <f aca="false">IF(OR(I150="",I150&lt;8,O150=""),"",O150+210)</f>
        <v/>
      </c>
      <c r="Y150" s="11" t="str">
        <f aca="false">IF(OR(I150="",I150&lt;9,O150=""),"",O150+240)</f>
        <v/>
      </c>
      <c r="Z150" s="11" t="str">
        <f aca="false">IF(OR(I150="",I150&lt;10,O150=""),"",O150+270)</f>
        <v/>
      </c>
      <c r="AA150" s="11" t="str">
        <f aca="false">IF(OR(I150="",I150&lt;11,O150=""),"",O150+300)</f>
        <v/>
      </c>
      <c r="AB150" s="11" t="str">
        <f aca="false">IF(OR(I150="",I150&lt;12,O150=""),"",O150+330)</f>
        <v/>
      </c>
      <c r="AC150" s="11" t="str">
        <f aca="false">IF(OR(I150="",I150&lt;13,O150=""),"",O150+360)</f>
        <v/>
      </c>
      <c r="AD150" s="11" t="str">
        <f aca="false">IF(OR(I150="",I150&lt;14,O150=""),"",O150+390)</f>
        <v/>
      </c>
      <c r="AE150" s="11" t="str">
        <f aca="false">IF(OR(I150="",I150&lt;15,O150=""),"",O150+420)</f>
        <v/>
      </c>
      <c r="AF150" s="11" t="str">
        <f aca="false">IF(OR(I150="",I150&lt;16,O150=""),"",O150+450)</f>
        <v/>
      </c>
      <c r="AG150" s="11" t="str">
        <f aca="false">IF(OR(I150="",I150&lt;17,O150=""),"",O150+480)</f>
        <v/>
      </c>
      <c r="AH150" s="11" t="str">
        <f aca="false">IF(OR(I150="",I150&lt;18,O150=""),"",O150+510)</f>
        <v/>
      </c>
      <c r="AI150" s="11" t="str">
        <f aca="false">IF(OR(I150="",I150&lt;19,O150=""),"",O150+540)</f>
        <v/>
      </c>
      <c r="AJ150" s="11" t="str">
        <f aca="false">IF(OR(I150="",I150&lt;20,O150=""),"",O150+570)</f>
        <v/>
      </c>
      <c r="AK150" s="11" t="str">
        <f aca="false">IF(OR(I150="",I150&lt;21,O150=""),"",O150+600)</f>
        <v/>
      </c>
      <c r="AL150" s="11" t="str">
        <f aca="false">IF(OR(I150="",I150&lt;22,O150=""),"",O150+630)</f>
        <v/>
      </c>
      <c r="AM150" s="11" t="str">
        <f aca="false">IF(OR(I150="",I150&lt;23,O150=""),"",O150+660)</f>
        <v/>
      </c>
      <c r="AN150" s="11" t="str">
        <f aca="false">IF(OR(I150="",I150&lt;24,O150=""),"",O150+690)</f>
        <v/>
      </c>
      <c r="AO150" s="7" t="str">
        <f aca="false">IF(J150="","",COUNTIF(Q150:AN150,TRUE())*J150)</f>
        <v/>
      </c>
      <c r="AP150" s="7" t="str">
        <f aca="false">IF(K150="","",K150-AO150)</f>
        <v/>
      </c>
      <c r="AQ150" s="7" t="str">
        <f aca="false">IF(K150="","",K150-F150-IF(N150="",0,N150))</f>
        <v/>
      </c>
    </row>
    <row r="151" customFormat="false" ht="15" hidden="false" customHeight="false" outlineLevel="0" collapsed="false">
      <c r="A151" s="12"/>
      <c r="B151" s="12"/>
      <c r="C151" s="12"/>
      <c r="D151" s="13"/>
      <c r="E151" s="13"/>
      <c r="F151" s="14"/>
      <c r="G151" s="12"/>
      <c r="H151" s="12"/>
      <c r="I151" s="12"/>
      <c r="J151" s="14"/>
      <c r="K151" s="15" t="str">
        <f aca="false">IF(OR(I151="",J151=""),"",I151*J151)</f>
        <v/>
      </c>
      <c r="L151" s="12"/>
      <c r="M151" s="16"/>
      <c r="N151" s="15" t="str">
        <f aca="false">IF(OR(L151="",M151="",K151=""),"",IF(L151="GANANCIA",(K151-F151)*M151,IF(L151="BRUTO",K151*M151,"")))</f>
        <v/>
      </c>
      <c r="O151" s="17" t="str">
        <f aca="false">IF(D151="","",D151+30)</f>
        <v/>
      </c>
      <c r="P151" s="18" t="str">
        <f aca="false">IF(I151="","",IF(COUNTIF(Q151:AN151,TRUE())&gt;=I151,"PAGADO",IF(COUNTIF(Q151:AN151,TRUE())&gt;0,"PARCIAL","VIGENTE")))</f>
        <v/>
      </c>
      <c r="Q151" s="19" t="str">
        <f aca="false">IF(OR(I151="",I151&lt;1,O151=""),"",O151+0)</f>
        <v/>
      </c>
      <c r="R151" s="19" t="str">
        <f aca="false">IF(OR(I151="",I151&lt;2,O151=""),"",O151+30)</f>
        <v/>
      </c>
      <c r="S151" s="19" t="str">
        <f aca="false">IF(OR(I151="",I151&lt;3,O151=""),"",O151+60)</f>
        <v/>
      </c>
      <c r="T151" s="19" t="str">
        <f aca="false">IF(OR(I151="",I151&lt;4,O151=""),"",O151+90)</f>
        <v/>
      </c>
      <c r="U151" s="19" t="str">
        <f aca="false">IF(OR(I151="",I151&lt;5,O151=""),"",O151+120)</f>
        <v/>
      </c>
      <c r="V151" s="19" t="str">
        <f aca="false">IF(OR(I151="",I151&lt;6,O151=""),"",O151+150)</f>
        <v/>
      </c>
      <c r="W151" s="19" t="str">
        <f aca="false">IF(OR(I151="",I151&lt;7,O151=""),"",O151+180)</f>
        <v/>
      </c>
      <c r="X151" s="19" t="str">
        <f aca="false">IF(OR(I151="",I151&lt;8,O151=""),"",O151+210)</f>
        <v/>
      </c>
      <c r="Y151" s="19" t="str">
        <f aca="false">IF(OR(I151="",I151&lt;9,O151=""),"",O151+240)</f>
        <v/>
      </c>
      <c r="Z151" s="19" t="str">
        <f aca="false">IF(OR(I151="",I151&lt;10,O151=""),"",O151+270)</f>
        <v/>
      </c>
      <c r="AA151" s="19" t="str">
        <f aca="false">IF(OR(I151="",I151&lt;11,O151=""),"",O151+300)</f>
        <v/>
      </c>
      <c r="AB151" s="19" t="str">
        <f aca="false">IF(OR(I151="",I151&lt;12,O151=""),"",O151+330)</f>
        <v/>
      </c>
      <c r="AC151" s="19" t="str">
        <f aca="false">IF(OR(I151="",I151&lt;13,O151=""),"",O151+360)</f>
        <v/>
      </c>
      <c r="AD151" s="19" t="str">
        <f aca="false">IF(OR(I151="",I151&lt;14,O151=""),"",O151+390)</f>
        <v/>
      </c>
      <c r="AE151" s="19" t="str">
        <f aca="false">IF(OR(I151="",I151&lt;15,O151=""),"",O151+420)</f>
        <v/>
      </c>
      <c r="AF151" s="19" t="str">
        <f aca="false">IF(OR(I151="",I151&lt;16,O151=""),"",O151+450)</f>
        <v/>
      </c>
      <c r="AG151" s="19" t="str">
        <f aca="false">IF(OR(I151="",I151&lt;17,O151=""),"",O151+480)</f>
        <v/>
      </c>
      <c r="AH151" s="19" t="str">
        <f aca="false">IF(OR(I151="",I151&lt;18,O151=""),"",O151+510)</f>
        <v/>
      </c>
      <c r="AI151" s="19" t="str">
        <f aca="false">IF(OR(I151="",I151&lt;19,O151=""),"",O151+540)</f>
        <v/>
      </c>
      <c r="AJ151" s="19" t="str">
        <f aca="false">IF(OR(I151="",I151&lt;20,O151=""),"",O151+570)</f>
        <v/>
      </c>
      <c r="AK151" s="19" t="str">
        <f aca="false">IF(OR(I151="",I151&lt;21,O151=""),"",O151+600)</f>
        <v/>
      </c>
      <c r="AL151" s="19" t="str">
        <f aca="false">IF(OR(I151="",I151&lt;22,O151=""),"",O151+630)</f>
        <v/>
      </c>
      <c r="AM151" s="19" t="str">
        <f aca="false">IF(OR(I151="",I151&lt;23,O151=""),"",O151+660)</f>
        <v/>
      </c>
      <c r="AN151" s="19" t="str">
        <f aca="false">IF(OR(I151="",I151&lt;24,O151=""),"",O151+690)</f>
        <v/>
      </c>
      <c r="AO151" s="15" t="str">
        <f aca="false">IF(J151="","",COUNTIF(Q151:AN151,TRUE())*J151)</f>
        <v/>
      </c>
      <c r="AP151" s="15" t="str">
        <f aca="false">IF(K151="","",K151-AO151)</f>
        <v/>
      </c>
      <c r="AQ151" s="15" t="str">
        <f aca="false">IF(K151="","",K151-F151-IF(N151="",0,N151))</f>
        <v/>
      </c>
    </row>
    <row r="152" customFormat="false" ht="15" hidden="false" customHeight="false" outlineLevel="0" collapsed="false">
      <c r="A152" s="4"/>
      <c r="B152" s="4"/>
      <c r="C152" s="4"/>
      <c r="D152" s="5"/>
      <c r="E152" s="5"/>
      <c r="F152" s="6"/>
      <c r="G152" s="4"/>
      <c r="H152" s="4"/>
      <c r="I152" s="4"/>
      <c r="J152" s="6"/>
      <c r="K152" s="7" t="str">
        <f aca="false">IF(OR(I152="",J152=""),"",I152*J152)</f>
        <v/>
      </c>
      <c r="L152" s="4"/>
      <c r="M152" s="8"/>
      <c r="N152" s="7" t="str">
        <f aca="false">IF(OR(L152="",M152="",K152=""),"",IF(L152="GANANCIA",(K152-F152)*M152,IF(L152="BRUTO",K152*M152,"")))</f>
        <v/>
      </c>
      <c r="O152" s="9" t="str">
        <f aca="false">IF(D152="","",D152+30)</f>
        <v/>
      </c>
      <c r="P152" s="10" t="str">
        <f aca="false">IF(I152="","",IF(COUNTIF(Q152:AN152,TRUE())&gt;=I152,"PAGADO",IF(COUNTIF(Q152:AN152,TRUE())&gt;0,"PARCIAL","VIGENTE")))</f>
        <v/>
      </c>
      <c r="Q152" s="11" t="str">
        <f aca="false">IF(OR(I152="",I152&lt;1,O152=""),"",O152+0)</f>
        <v/>
      </c>
      <c r="R152" s="11" t="str">
        <f aca="false">IF(OR(I152="",I152&lt;2,O152=""),"",O152+30)</f>
        <v/>
      </c>
      <c r="S152" s="11" t="str">
        <f aca="false">IF(OR(I152="",I152&lt;3,O152=""),"",O152+60)</f>
        <v/>
      </c>
      <c r="T152" s="11" t="str">
        <f aca="false">IF(OR(I152="",I152&lt;4,O152=""),"",O152+90)</f>
        <v/>
      </c>
      <c r="U152" s="11" t="str">
        <f aca="false">IF(OR(I152="",I152&lt;5,O152=""),"",O152+120)</f>
        <v/>
      </c>
      <c r="V152" s="11" t="str">
        <f aca="false">IF(OR(I152="",I152&lt;6,O152=""),"",O152+150)</f>
        <v/>
      </c>
      <c r="W152" s="11" t="str">
        <f aca="false">IF(OR(I152="",I152&lt;7,O152=""),"",O152+180)</f>
        <v/>
      </c>
      <c r="X152" s="11" t="str">
        <f aca="false">IF(OR(I152="",I152&lt;8,O152=""),"",O152+210)</f>
        <v/>
      </c>
      <c r="Y152" s="11" t="str">
        <f aca="false">IF(OR(I152="",I152&lt;9,O152=""),"",O152+240)</f>
        <v/>
      </c>
      <c r="Z152" s="11" t="str">
        <f aca="false">IF(OR(I152="",I152&lt;10,O152=""),"",O152+270)</f>
        <v/>
      </c>
      <c r="AA152" s="11" t="str">
        <f aca="false">IF(OR(I152="",I152&lt;11,O152=""),"",O152+300)</f>
        <v/>
      </c>
      <c r="AB152" s="11" t="str">
        <f aca="false">IF(OR(I152="",I152&lt;12,O152=""),"",O152+330)</f>
        <v/>
      </c>
      <c r="AC152" s="11" t="str">
        <f aca="false">IF(OR(I152="",I152&lt;13,O152=""),"",O152+360)</f>
        <v/>
      </c>
      <c r="AD152" s="11" t="str">
        <f aca="false">IF(OR(I152="",I152&lt;14,O152=""),"",O152+390)</f>
        <v/>
      </c>
      <c r="AE152" s="11" t="str">
        <f aca="false">IF(OR(I152="",I152&lt;15,O152=""),"",O152+420)</f>
        <v/>
      </c>
      <c r="AF152" s="11" t="str">
        <f aca="false">IF(OR(I152="",I152&lt;16,O152=""),"",O152+450)</f>
        <v/>
      </c>
      <c r="AG152" s="11" t="str">
        <f aca="false">IF(OR(I152="",I152&lt;17,O152=""),"",O152+480)</f>
        <v/>
      </c>
      <c r="AH152" s="11" t="str">
        <f aca="false">IF(OR(I152="",I152&lt;18,O152=""),"",O152+510)</f>
        <v/>
      </c>
      <c r="AI152" s="11" t="str">
        <f aca="false">IF(OR(I152="",I152&lt;19,O152=""),"",O152+540)</f>
        <v/>
      </c>
      <c r="AJ152" s="11" t="str">
        <f aca="false">IF(OR(I152="",I152&lt;20,O152=""),"",O152+570)</f>
        <v/>
      </c>
      <c r="AK152" s="11" t="str">
        <f aca="false">IF(OR(I152="",I152&lt;21,O152=""),"",O152+600)</f>
        <v/>
      </c>
      <c r="AL152" s="11" t="str">
        <f aca="false">IF(OR(I152="",I152&lt;22,O152=""),"",O152+630)</f>
        <v/>
      </c>
      <c r="AM152" s="11" t="str">
        <f aca="false">IF(OR(I152="",I152&lt;23,O152=""),"",O152+660)</f>
        <v/>
      </c>
      <c r="AN152" s="11" t="str">
        <f aca="false">IF(OR(I152="",I152&lt;24,O152=""),"",O152+690)</f>
        <v/>
      </c>
      <c r="AO152" s="7" t="str">
        <f aca="false">IF(J152="","",COUNTIF(Q152:AN152,TRUE())*J152)</f>
        <v/>
      </c>
      <c r="AP152" s="7" t="str">
        <f aca="false">IF(K152="","",K152-AO152)</f>
        <v/>
      </c>
      <c r="AQ152" s="7" t="str">
        <f aca="false">IF(K152="","",K152-F152-IF(N152="",0,N152))</f>
        <v/>
      </c>
    </row>
    <row r="153" customFormat="false" ht="15" hidden="false" customHeight="false" outlineLevel="0" collapsed="false">
      <c r="A153" s="12"/>
      <c r="B153" s="12"/>
      <c r="C153" s="12"/>
      <c r="D153" s="13"/>
      <c r="E153" s="13"/>
      <c r="F153" s="14"/>
      <c r="G153" s="12"/>
      <c r="H153" s="12"/>
      <c r="I153" s="12"/>
      <c r="J153" s="14"/>
      <c r="K153" s="15" t="str">
        <f aca="false">IF(OR(I153="",J153=""),"",I153*J153)</f>
        <v/>
      </c>
      <c r="L153" s="12"/>
      <c r="M153" s="16"/>
      <c r="N153" s="15" t="str">
        <f aca="false">IF(OR(L153="",M153="",K153=""),"",IF(L153="GANANCIA",(K153-F153)*M153,IF(L153="BRUTO",K153*M153,"")))</f>
        <v/>
      </c>
      <c r="O153" s="17" t="str">
        <f aca="false">IF(D153="","",D153+30)</f>
        <v/>
      </c>
      <c r="P153" s="18" t="str">
        <f aca="false">IF(I153="","",IF(COUNTIF(Q153:AN153,TRUE())&gt;=I153,"PAGADO",IF(COUNTIF(Q153:AN153,TRUE())&gt;0,"PARCIAL","VIGENTE")))</f>
        <v/>
      </c>
      <c r="Q153" s="19" t="str">
        <f aca="false">IF(OR(I153="",I153&lt;1,O153=""),"",O153+0)</f>
        <v/>
      </c>
      <c r="R153" s="19" t="str">
        <f aca="false">IF(OR(I153="",I153&lt;2,O153=""),"",O153+30)</f>
        <v/>
      </c>
      <c r="S153" s="19" t="str">
        <f aca="false">IF(OR(I153="",I153&lt;3,O153=""),"",O153+60)</f>
        <v/>
      </c>
      <c r="T153" s="19" t="str">
        <f aca="false">IF(OR(I153="",I153&lt;4,O153=""),"",O153+90)</f>
        <v/>
      </c>
      <c r="U153" s="19" t="str">
        <f aca="false">IF(OR(I153="",I153&lt;5,O153=""),"",O153+120)</f>
        <v/>
      </c>
      <c r="V153" s="19" t="str">
        <f aca="false">IF(OR(I153="",I153&lt;6,O153=""),"",O153+150)</f>
        <v/>
      </c>
      <c r="W153" s="19" t="str">
        <f aca="false">IF(OR(I153="",I153&lt;7,O153=""),"",O153+180)</f>
        <v/>
      </c>
      <c r="X153" s="19" t="str">
        <f aca="false">IF(OR(I153="",I153&lt;8,O153=""),"",O153+210)</f>
        <v/>
      </c>
      <c r="Y153" s="19" t="str">
        <f aca="false">IF(OR(I153="",I153&lt;9,O153=""),"",O153+240)</f>
        <v/>
      </c>
      <c r="Z153" s="19" t="str">
        <f aca="false">IF(OR(I153="",I153&lt;10,O153=""),"",O153+270)</f>
        <v/>
      </c>
      <c r="AA153" s="19" t="str">
        <f aca="false">IF(OR(I153="",I153&lt;11,O153=""),"",O153+300)</f>
        <v/>
      </c>
      <c r="AB153" s="19" t="str">
        <f aca="false">IF(OR(I153="",I153&lt;12,O153=""),"",O153+330)</f>
        <v/>
      </c>
      <c r="AC153" s="19" t="str">
        <f aca="false">IF(OR(I153="",I153&lt;13,O153=""),"",O153+360)</f>
        <v/>
      </c>
      <c r="AD153" s="19" t="str">
        <f aca="false">IF(OR(I153="",I153&lt;14,O153=""),"",O153+390)</f>
        <v/>
      </c>
      <c r="AE153" s="19" t="str">
        <f aca="false">IF(OR(I153="",I153&lt;15,O153=""),"",O153+420)</f>
        <v/>
      </c>
      <c r="AF153" s="19" t="str">
        <f aca="false">IF(OR(I153="",I153&lt;16,O153=""),"",O153+450)</f>
        <v/>
      </c>
      <c r="AG153" s="19" t="str">
        <f aca="false">IF(OR(I153="",I153&lt;17,O153=""),"",O153+480)</f>
        <v/>
      </c>
      <c r="AH153" s="19" t="str">
        <f aca="false">IF(OR(I153="",I153&lt;18,O153=""),"",O153+510)</f>
        <v/>
      </c>
      <c r="AI153" s="19" t="str">
        <f aca="false">IF(OR(I153="",I153&lt;19,O153=""),"",O153+540)</f>
        <v/>
      </c>
      <c r="AJ153" s="19" t="str">
        <f aca="false">IF(OR(I153="",I153&lt;20,O153=""),"",O153+570)</f>
        <v/>
      </c>
      <c r="AK153" s="19" t="str">
        <f aca="false">IF(OR(I153="",I153&lt;21,O153=""),"",O153+600)</f>
        <v/>
      </c>
      <c r="AL153" s="19" t="str">
        <f aca="false">IF(OR(I153="",I153&lt;22,O153=""),"",O153+630)</f>
        <v/>
      </c>
      <c r="AM153" s="19" t="str">
        <f aca="false">IF(OR(I153="",I153&lt;23,O153=""),"",O153+660)</f>
        <v/>
      </c>
      <c r="AN153" s="19" t="str">
        <f aca="false">IF(OR(I153="",I153&lt;24,O153=""),"",O153+690)</f>
        <v/>
      </c>
      <c r="AO153" s="15" t="str">
        <f aca="false">IF(J153="","",COUNTIF(Q153:AN153,TRUE())*J153)</f>
        <v/>
      </c>
      <c r="AP153" s="15" t="str">
        <f aca="false">IF(K153="","",K153-AO153)</f>
        <v/>
      </c>
      <c r="AQ153" s="15" t="str">
        <f aca="false">IF(K153="","",K153-F153-IF(N153="",0,N153))</f>
        <v/>
      </c>
    </row>
    <row r="154" customFormat="false" ht="15" hidden="false" customHeight="false" outlineLevel="0" collapsed="false">
      <c r="A154" s="4"/>
      <c r="B154" s="4"/>
      <c r="C154" s="4"/>
      <c r="D154" s="5"/>
      <c r="E154" s="5"/>
      <c r="F154" s="6"/>
      <c r="G154" s="4"/>
      <c r="H154" s="4"/>
      <c r="I154" s="4"/>
      <c r="J154" s="6"/>
      <c r="K154" s="7" t="str">
        <f aca="false">IF(OR(I154="",J154=""),"",I154*J154)</f>
        <v/>
      </c>
      <c r="L154" s="4"/>
      <c r="M154" s="8"/>
      <c r="N154" s="7" t="str">
        <f aca="false">IF(OR(L154="",M154="",K154=""),"",IF(L154="GANANCIA",(K154-F154)*M154,IF(L154="BRUTO",K154*M154,"")))</f>
        <v/>
      </c>
      <c r="O154" s="9" t="str">
        <f aca="false">IF(D154="","",D154+30)</f>
        <v/>
      </c>
      <c r="P154" s="10" t="str">
        <f aca="false">IF(I154="","",IF(COUNTIF(Q154:AN154,TRUE())&gt;=I154,"PAGADO",IF(COUNTIF(Q154:AN154,TRUE())&gt;0,"PARCIAL","VIGENTE")))</f>
        <v/>
      </c>
      <c r="Q154" s="11" t="str">
        <f aca="false">IF(OR(I154="",I154&lt;1,O154=""),"",O154+0)</f>
        <v/>
      </c>
      <c r="R154" s="11" t="str">
        <f aca="false">IF(OR(I154="",I154&lt;2,O154=""),"",O154+30)</f>
        <v/>
      </c>
      <c r="S154" s="11" t="str">
        <f aca="false">IF(OR(I154="",I154&lt;3,O154=""),"",O154+60)</f>
        <v/>
      </c>
      <c r="T154" s="11" t="str">
        <f aca="false">IF(OR(I154="",I154&lt;4,O154=""),"",O154+90)</f>
        <v/>
      </c>
      <c r="U154" s="11" t="str">
        <f aca="false">IF(OR(I154="",I154&lt;5,O154=""),"",O154+120)</f>
        <v/>
      </c>
      <c r="V154" s="11" t="str">
        <f aca="false">IF(OR(I154="",I154&lt;6,O154=""),"",O154+150)</f>
        <v/>
      </c>
      <c r="W154" s="11" t="str">
        <f aca="false">IF(OR(I154="",I154&lt;7,O154=""),"",O154+180)</f>
        <v/>
      </c>
      <c r="X154" s="11" t="str">
        <f aca="false">IF(OR(I154="",I154&lt;8,O154=""),"",O154+210)</f>
        <v/>
      </c>
      <c r="Y154" s="11" t="str">
        <f aca="false">IF(OR(I154="",I154&lt;9,O154=""),"",O154+240)</f>
        <v/>
      </c>
      <c r="Z154" s="11" t="str">
        <f aca="false">IF(OR(I154="",I154&lt;10,O154=""),"",O154+270)</f>
        <v/>
      </c>
      <c r="AA154" s="11" t="str">
        <f aca="false">IF(OR(I154="",I154&lt;11,O154=""),"",O154+300)</f>
        <v/>
      </c>
      <c r="AB154" s="11" t="str">
        <f aca="false">IF(OR(I154="",I154&lt;12,O154=""),"",O154+330)</f>
        <v/>
      </c>
      <c r="AC154" s="11" t="str">
        <f aca="false">IF(OR(I154="",I154&lt;13,O154=""),"",O154+360)</f>
        <v/>
      </c>
      <c r="AD154" s="11" t="str">
        <f aca="false">IF(OR(I154="",I154&lt;14,O154=""),"",O154+390)</f>
        <v/>
      </c>
      <c r="AE154" s="11" t="str">
        <f aca="false">IF(OR(I154="",I154&lt;15,O154=""),"",O154+420)</f>
        <v/>
      </c>
      <c r="AF154" s="11" t="str">
        <f aca="false">IF(OR(I154="",I154&lt;16,O154=""),"",O154+450)</f>
        <v/>
      </c>
      <c r="AG154" s="11" t="str">
        <f aca="false">IF(OR(I154="",I154&lt;17,O154=""),"",O154+480)</f>
        <v/>
      </c>
      <c r="AH154" s="11" t="str">
        <f aca="false">IF(OR(I154="",I154&lt;18,O154=""),"",O154+510)</f>
        <v/>
      </c>
      <c r="AI154" s="11" t="str">
        <f aca="false">IF(OR(I154="",I154&lt;19,O154=""),"",O154+540)</f>
        <v/>
      </c>
      <c r="AJ154" s="11" t="str">
        <f aca="false">IF(OR(I154="",I154&lt;20,O154=""),"",O154+570)</f>
        <v/>
      </c>
      <c r="AK154" s="11" t="str">
        <f aca="false">IF(OR(I154="",I154&lt;21,O154=""),"",O154+600)</f>
        <v/>
      </c>
      <c r="AL154" s="11" t="str">
        <f aca="false">IF(OR(I154="",I154&lt;22,O154=""),"",O154+630)</f>
        <v/>
      </c>
      <c r="AM154" s="11" t="str">
        <f aca="false">IF(OR(I154="",I154&lt;23,O154=""),"",O154+660)</f>
        <v/>
      </c>
      <c r="AN154" s="11" t="str">
        <f aca="false">IF(OR(I154="",I154&lt;24,O154=""),"",O154+690)</f>
        <v/>
      </c>
      <c r="AO154" s="7" t="str">
        <f aca="false">IF(J154="","",COUNTIF(Q154:AN154,TRUE())*J154)</f>
        <v/>
      </c>
      <c r="AP154" s="7" t="str">
        <f aca="false">IF(K154="","",K154-AO154)</f>
        <v/>
      </c>
      <c r="AQ154" s="7" t="str">
        <f aca="false">IF(K154="","",K154-F154-IF(N154="",0,N154))</f>
        <v/>
      </c>
    </row>
    <row r="155" customFormat="false" ht="15" hidden="false" customHeight="false" outlineLevel="0" collapsed="false">
      <c r="A155" s="12"/>
      <c r="B155" s="12"/>
      <c r="C155" s="12"/>
      <c r="D155" s="13"/>
      <c r="E155" s="13"/>
      <c r="F155" s="14"/>
      <c r="G155" s="12"/>
      <c r="H155" s="12"/>
      <c r="I155" s="12"/>
      <c r="J155" s="14"/>
      <c r="K155" s="15" t="str">
        <f aca="false">IF(OR(I155="",J155=""),"",I155*J155)</f>
        <v/>
      </c>
      <c r="L155" s="12"/>
      <c r="M155" s="16"/>
      <c r="N155" s="15" t="str">
        <f aca="false">IF(OR(L155="",M155="",K155=""),"",IF(L155="GANANCIA",(K155-F155)*M155,IF(L155="BRUTO",K155*M155,"")))</f>
        <v/>
      </c>
      <c r="O155" s="17" t="str">
        <f aca="false">IF(D155="","",D155+30)</f>
        <v/>
      </c>
      <c r="P155" s="18" t="str">
        <f aca="false">IF(I155="","",IF(COUNTIF(Q155:AN155,TRUE())&gt;=I155,"PAGADO",IF(COUNTIF(Q155:AN155,TRUE())&gt;0,"PARCIAL","VIGENTE")))</f>
        <v/>
      </c>
      <c r="Q155" s="19" t="str">
        <f aca="false">IF(OR(I155="",I155&lt;1,O155=""),"",O155+0)</f>
        <v/>
      </c>
      <c r="R155" s="19" t="str">
        <f aca="false">IF(OR(I155="",I155&lt;2,O155=""),"",O155+30)</f>
        <v/>
      </c>
      <c r="S155" s="19" t="str">
        <f aca="false">IF(OR(I155="",I155&lt;3,O155=""),"",O155+60)</f>
        <v/>
      </c>
      <c r="T155" s="19" t="str">
        <f aca="false">IF(OR(I155="",I155&lt;4,O155=""),"",O155+90)</f>
        <v/>
      </c>
      <c r="U155" s="19" t="str">
        <f aca="false">IF(OR(I155="",I155&lt;5,O155=""),"",O155+120)</f>
        <v/>
      </c>
      <c r="V155" s="19" t="str">
        <f aca="false">IF(OR(I155="",I155&lt;6,O155=""),"",O155+150)</f>
        <v/>
      </c>
      <c r="W155" s="19" t="str">
        <f aca="false">IF(OR(I155="",I155&lt;7,O155=""),"",O155+180)</f>
        <v/>
      </c>
      <c r="X155" s="19" t="str">
        <f aca="false">IF(OR(I155="",I155&lt;8,O155=""),"",O155+210)</f>
        <v/>
      </c>
      <c r="Y155" s="19" t="str">
        <f aca="false">IF(OR(I155="",I155&lt;9,O155=""),"",O155+240)</f>
        <v/>
      </c>
      <c r="Z155" s="19" t="str">
        <f aca="false">IF(OR(I155="",I155&lt;10,O155=""),"",O155+270)</f>
        <v/>
      </c>
      <c r="AA155" s="19" t="str">
        <f aca="false">IF(OR(I155="",I155&lt;11,O155=""),"",O155+300)</f>
        <v/>
      </c>
      <c r="AB155" s="19" t="str">
        <f aca="false">IF(OR(I155="",I155&lt;12,O155=""),"",O155+330)</f>
        <v/>
      </c>
      <c r="AC155" s="19" t="str">
        <f aca="false">IF(OR(I155="",I155&lt;13,O155=""),"",O155+360)</f>
        <v/>
      </c>
      <c r="AD155" s="19" t="str">
        <f aca="false">IF(OR(I155="",I155&lt;14,O155=""),"",O155+390)</f>
        <v/>
      </c>
      <c r="AE155" s="19" t="str">
        <f aca="false">IF(OR(I155="",I155&lt;15,O155=""),"",O155+420)</f>
        <v/>
      </c>
      <c r="AF155" s="19" t="str">
        <f aca="false">IF(OR(I155="",I155&lt;16,O155=""),"",O155+450)</f>
        <v/>
      </c>
      <c r="AG155" s="19" t="str">
        <f aca="false">IF(OR(I155="",I155&lt;17,O155=""),"",O155+480)</f>
        <v/>
      </c>
      <c r="AH155" s="19" t="str">
        <f aca="false">IF(OR(I155="",I155&lt;18,O155=""),"",O155+510)</f>
        <v/>
      </c>
      <c r="AI155" s="19" t="str">
        <f aca="false">IF(OR(I155="",I155&lt;19,O155=""),"",O155+540)</f>
        <v/>
      </c>
      <c r="AJ155" s="19" t="str">
        <f aca="false">IF(OR(I155="",I155&lt;20,O155=""),"",O155+570)</f>
        <v/>
      </c>
      <c r="AK155" s="19" t="str">
        <f aca="false">IF(OR(I155="",I155&lt;21,O155=""),"",O155+600)</f>
        <v/>
      </c>
      <c r="AL155" s="19" t="str">
        <f aca="false">IF(OR(I155="",I155&lt;22,O155=""),"",O155+630)</f>
        <v/>
      </c>
      <c r="AM155" s="19" t="str">
        <f aca="false">IF(OR(I155="",I155&lt;23,O155=""),"",O155+660)</f>
        <v/>
      </c>
      <c r="AN155" s="19" t="str">
        <f aca="false">IF(OR(I155="",I155&lt;24,O155=""),"",O155+690)</f>
        <v/>
      </c>
      <c r="AO155" s="15" t="str">
        <f aca="false">IF(J155="","",COUNTIF(Q155:AN155,TRUE())*J155)</f>
        <v/>
      </c>
      <c r="AP155" s="15" t="str">
        <f aca="false">IF(K155="","",K155-AO155)</f>
        <v/>
      </c>
      <c r="AQ155" s="15" t="str">
        <f aca="false">IF(K155="","",K155-F155-IF(N155="",0,N155))</f>
        <v/>
      </c>
    </row>
    <row r="156" customFormat="false" ht="15" hidden="false" customHeight="false" outlineLevel="0" collapsed="false">
      <c r="A156" s="4"/>
      <c r="B156" s="4"/>
      <c r="C156" s="4"/>
      <c r="D156" s="5"/>
      <c r="E156" s="5"/>
      <c r="F156" s="6"/>
      <c r="G156" s="4"/>
      <c r="H156" s="4"/>
      <c r="I156" s="4"/>
      <c r="J156" s="6"/>
      <c r="K156" s="7" t="str">
        <f aca="false">IF(OR(I156="",J156=""),"",I156*J156)</f>
        <v/>
      </c>
      <c r="L156" s="4"/>
      <c r="M156" s="8"/>
      <c r="N156" s="7" t="str">
        <f aca="false">IF(OR(L156="",M156="",K156=""),"",IF(L156="GANANCIA",(K156-F156)*M156,IF(L156="BRUTO",K156*M156,"")))</f>
        <v/>
      </c>
      <c r="O156" s="9" t="str">
        <f aca="false">IF(D156="","",D156+30)</f>
        <v/>
      </c>
      <c r="P156" s="10" t="str">
        <f aca="false">IF(I156="","",IF(COUNTIF(Q156:AN156,TRUE())&gt;=I156,"PAGADO",IF(COUNTIF(Q156:AN156,TRUE())&gt;0,"PARCIAL","VIGENTE")))</f>
        <v/>
      </c>
      <c r="Q156" s="11" t="str">
        <f aca="false">IF(OR(I156="",I156&lt;1,O156=""),"",O156+0)</f>
        <v/>
      </c>
      <c r="R156" s="11" t="str">
        <f aca="false">IF(OR(I156="",I156&lt;2,O156=""),"",O156+30)</f>
        <v/>
      </c>
      <c r="S156" s="11" t="str">
        <f aca="false">IF(OR(I156="",I156&lt;3,O156=""),"",O156+60)</f>
        <v/>
      </c>
      <c r="T156" s="11" t="str">
        <f aca="false">IF(OR(I156="",I156&lt;4,O156=""),"",O156+90)</f>
        <v/>
      </c>
      <c r="U156" s="11" t="str">
        <f aca="false">IF(OR(I156="",I156&lt;5,O156=""),"",O156+120)</f>
        <v/>
      </c>
      <c r="V156" s="11" t="str">
        <f aca="false">IF(OR(I156="",I156&lt;6,O156=""),"",O156+150)</f>
        <v/>
      </c>
      <c r="W156" s="11" t="str">
        <f aca="false">IF(OR(I156="",I156&lt;7,O156=""),"",O156+180)</f>
        <v/>
      </c>
      <c r="X156" s="11" t="str">
        <f aca="false">IF(OR(I156="",I156&lt;8,O156=""),"",O156+210)</f>
        <v/>
      </c>
      <c r="Y156" s="11" t="str">
        <f aca="false">IF(OR(I156="",I156&lt;9,O156=""),"",O156+240)</f>
        <v/>
      </c>
      <c r="Z156" s="11" t="str">
        <f aca="false">IF(OR(I156="",I156&lt;10,O156=""),"",O156+270)</f>
        <v/>
      </c>
      <c r="AA156" s="11" t="str">
        <f aca="false">IF(OR(I156="",I156&lt;11,O156=""),"",O156+300)</f>
        <v/>
      </c>
      <c r="AB156" s="11" t="str">
        <f aca="false">IF(OR(I156="",I156&lt;12,O156=""),"",O156+330)</f>
        <v/>
      </c>
      <c r="AC156" s="11" t="str">
        <f aca="false">IF(OR(I156="",I156&lt;13,O156=""),"",O156+360)</f>
        <v/>
      </c>
      <c r="AD156" s="11" t="str">
        <f aca="false">IF(OR(I156="",I156&lt;14,O156=""),"",O156+390)</f>
        <v/>
      </c>
      <c r="AE156" s="11" t="str">
        <f aca="false">IF(OR(I156="",I156&lt;15,O156=""),"",O156+420)</f>
        <v/>
      </c>
      <c r="AF156" s="11" t="str">
        <f aca="false">IF(OR(I156="",I156&lt;16,O156=""),"",O156+450)</f>
        <v/>
      </c>
      <c r="AG156" s="11" t="str">
        <f aca="false">IF(OR(I156="",I156&lt;17,O156=""),"",O156+480)</f>
        <v/>
      </c>
      <c r="AH156" s="11" t="str">
        <f aca="false">IF(OR(I156="",I156&lt;18,O156=""),"",O156+510)</f>
        <v/>
      </c>
      <c r="AI156" s="11" t="str">
        <f aca="false">IF(OR(I156="",I156&lt;19,O156=""),"",O156+540)</f>
        <v/>
      </c>
      <c r="AJ156" s="11" t="str">
        <f aca="false">IF(OR(I156="",I156&lt;20,O156=""),"",O156+570)</f>
        <v/>
      </c>
      <c r="AK156" s="11" t="str">
        <f aca="false">IF(OR(I156="",I156&lt;21,O156=""),"",O156+600)</f>
        <v/>
      </c>
      <c r="AL156" s="11" t="str">
        <f aca="false">IF(OR(I156="",I156&lt;22,O156=""),"",O156+630)</f>
        <v/>
      </c>
      <c r="AM156" s="11" t="str">
        <f aca="false">IF(OR(I156="",I156&lt;23,O156=""),"",O156+660)</f>
        <v/>
      </c>
      <c r="AN156" s="11" t="str">
        <f aca="false">IF(OR(I156="",I156&lt;24,O156=""),"",O156+690)</f>
        <v/>
      </c>
      <c r="AO156" s="7" t="str">
        <f aca="false">IF(J156="","",COUNTIF(Q156:AN156,TRUE())*J156)</f>
        <v/>
      </c>
      <c r="AP156" s="7" t="str">
        <f aca="false">IF(K156="","",K156-AO156)</f>
        <v/>
      </c>
      <c r="AQ156" s="7" t="str">
        <f aca="false">IF(K156="","",K156-F156-IF(N156="",0,N156))</f>
        <v/>
      </c>
    </row>
    <row r="157" customFormat="false" ht="15" hidden="false" customHeight="false" outlineLevel="0" collapsed="false">
      <c r="A157" s="12"/>
      <c r="B157" s="12"/>
      <c r="C157" s="12"/>
      <c r="D157" s="13"/>
      <c r="E157" s="13"/>
      <c r="F157" s="14"/>
      <c r="G157" s="12"/>
      <c r="H157" s="12"/>
      <c r="I157" s="12"/>
      <c r="J157" s="14"/>
      <c r="K157" s="15" t="str">
        <f aca="false">IF(OR(I157="",J157=""),"",I157*J157)</f>
        <v/>
      </c>
      <c r="L157" s="12"/>
      <c r="M157" s="16"/>
      <c r="N157" s="15" t="str">
        <f aca="false">IF(OR(L157="",M157="",K157=""),"",IF(L157="GANANCIA",(K157-F157)*M157,IF(L157="BRUTO",K157*M157,"")))</f>
        <v/>
      </c>
      <c r="O157" s="17" t="str">
        <f aca="false">IF(D157="","",D157+30)</f>
        <v/>
      </c>
      <c r="P157" s="18" t="str">
        <f aca="false">IF(I157="","",IF(COUNTIF(Q157:AN157,TRUE())&gt;=I157,"PAGADO",IF(COUNTIF(Q157:AN157,TRUE())&gt;0,"PARCIAL","VIGENTE")))</f>
        <v/>
      </c>
      <c r="Q157" s="19" t="str">
        <f aca="false">IF(OR(I157="",I157&lt;1,O157=""),"",O157+0)</f>
        <v/>
      </c>
      <c r="R157" s="19" t="str">
        <f aca="false">IF(OR(I157="",I157&lt;2,O157=""),"",O157+30)</f>
        <v/>
      </c>
      <c r="S157" s="19" t="str">
        <f aca="false">IF(OR(I157="",I157&lt;3,O157=""),"",O157+60)</f>
        <v/>
      </c>
      <c r="T157" s="19" t="str">
        <f aca="false">IF(OR(I157="",I157&lt;4,O157=""),"",O157+90)</f>
        <v/>
      </c>
      <c r="U157" s="19" t="str">
        <f aca="false">IF(OR(I157="",I157&lt;5,O157=""),"",O157+120)</f>
        <v/>
      </c>
      <c r="V157" s="19" t="str">
        <f aca="false">IF(OR(I157="",I157&lt;6,O157=""),"",O157+150)</f>
        <v/>
      </c>
      <c r="W157" s="19" t="str">
        <f aca="false">IF(OR(I157="",I157&lt;7,O157=""),"",O157+180)</f>
        <v/>
      </c>
      <c r="X157" s="19" t="str">
        <f aca="false">IF(OR(I157="",I157&lt;8,O157=""),"",O157+210)</f>
        <v/>
      </c>
      <c r="Y157" s="19" t="str">
        <f aca="false">IF(OR(I157="",I157&lt;9,O157=""),"",O157+240)</f>
        <v/>
      </c>
      <c r="Z157" s="19" t="str">
        <f aca="false">IF(OR(I157="",I157&lt;10,O157=""),"",O157+270)</f>
        <v/>
      </c>
      <c r="AA157" s="19" t="str">
        <f aca="false">IF(OR(I157="",I157&lt;11,O157=""),"",O157+300)</f>
        <v/>
      </c>
      <c r="AB157" s="19" t="str">
        <f aca="false">IF(OR(I157="",I157&lt;12,O157=""),"",O157+330)</f>
        <v/>
      </c>
      <c r="AC157" s="19" t="str">
        <f aca="false">IF(OR(I157="",I157&lt;13,O157=""),"",O157+360)</f>
        <v/>
      </c>
      <c r="AD157" s="19" t="str">
        <f aca="false">IF(OR(I157="",I157&lt;14,O157=""),"",O157+390)</f>
        <v/>
      </c>
      <c r="AE157" s="19" t="str">
        <f aca="false">IF(OR(I157="",I157&lt;15,O157=""),"",O157+420)</f>
        <v/>
      </c>
      <c r="AF157" s="19" t="str">
        <f aca="false">IF(OR(I157="",I157&lt;16,O157=""),"",O157+450)</f>
        <v/>
      </c>
      <c r="AG157" s="19" t="str">
        <f aca="false">IF(OR(I157="",I157&lt;17,O157=""),"",O157+480)</f>
        <v/>
      </c>
      <c r="AH157" s="19" t="str">
        <f aca="false">IF(OR(I157="",I157&lt;18,O157=""),"",O157+510)</f>
        <v/>
      </c>
      <c r="AI157" s="19" t="str">
        <f aca="false">IF(OR(I157="",I157&lt;19,O157=""),"",O157+540)</f>
        <v/>
      </c>
      <c r="AJ157" s="19" t="str">
        <f aca="false">IF(OR(I157="",I157&lt;20,O157=""),"",O157+570)</f>
        <v/>
      </c>
      <c r="AK157" s="19" t="str">
        <f aca="false">IF(OR(I157="",I157&lt;21,O157=""),"",O157+600)</f>
        <v/>
      </c>
      <c r="AL157" s="19" t="str">
        <f aca="false">IF(OR(I157="",I157&lt;22,O157=""),"",O157+630)</f>
        <v/>
      </c>
      <c r="AM157" s="19" t="str">
        <f aca="false">IF(OR(I157="",I157&lt;23,O157=""),"",O157+660)</f>
        <v/>
      </c>
      <c r="AN157" s="19" t="str">
        <f aca="false">IF(OR(I157="",I157&lt;24,O157=""),"",O157+690)</f>
        <v/>
      </c>
      <c r="AO157" s="15" t="str">
        <f aca="false">IF(J157="","",COUNTIF(Q157:AN157,TRUE())*J157)</f>
        <v/>
      </c>
      <c r="AP157" s="15" t="str">
        <f aca="false">IF(K157="","",K157-AO157)</f>
        <v/>
      </c>
      <c r="AQ157" s="15" t="str">
        <f aca="false">IF(K157="","",K157-F157-IF(N157="",0,N157))</f>
        <v/>
      </c>
    </row>
    <row r="158" customFormat="false" ht="15" hidden="false" customHeight="false" outlineLevel="0" collapsed="false">
      <c r="A158" s="4"/>
      <c r="B158" s="4"/>
      <c r="C158" s="4"/>
      <c r="D158" s="5"/>
      <c r="E158" s="5"/>
      <c r="F158" s="6"/>
      <c r="G158" s="4"/>
      <c r="H158" s="4"/>
      <c r="I158" s="4"/>
      <c r="J158" s="6"/>
      <c r="K158" s="7" t="str">
        <f aca="false">IF(OR(I158="",J158=""),"",I158*J158)</f>
        <v/>
      </c>
      <c r="L158" s="4"/>
      <c r="M158" s="8"/>
      <c r="N158" s="7" t="str">
        <f aca="false">IF(OR(L158="",M158="",K158=""),"",IF(L158="GANANCIA",(K158-F158)*M158,IF(L158="BRUTO",K158*M158,"")))</f>
        <v/>
      </c>
      <c r="O158" s="9" t="str">
        <f aca="false">IF(D158="","",D158+30)</f>
        <v/>
      </c>
      <c r="P158" s="10" t="str">
        <f aca="false">IF(I158="","",IF(COUNTIF(Q158:AN158,TRUE())&gt;=I158,"PAGADO",IF(COUNTIF(Q158:AN158,TRUE())&gt;0,"PARCIAL","VIGENTE")))</f>
        <v/>
      </c>
      <c r="Q158" s="11" t="str">
        <f aca="false">IF(OR(I158="",I158&lt;1,O158=""),"",O158+0)</f>
        <v/>
      </c>
      <c r="R158" s="11" t="str">
        <f aca="false">IF(OR(I158="",I158&lt;2,O158=""),"",O158+30)</f>
        <v/>
      </c>
      <c r="S158" s="11" t="str">
        <f aca="false">IF(OR(I158="",I158&lt;3,O158=""),"",O158+60)</f>
        <v/>
      </c>
      <c r="T158" s="11" t="str">
        <f aca="false">IF(OR(I158="",I158&lt;4,O158=""),"",O158+90)</f>
        <v/>
      </c>
      <c r="U158" s="11" t="str">
        <f aca="false">IF(OR(I158="",I158&lt;5,O158=""),"",O158+120)</f>
        <v/>
      </c>
      <c r="V158" s="11" t="str">
        <f aca="false">IF(OR(I158="",I158&lt;6,O158=""),"",O158+150)</f>
        <v/>
      </c>
      <c r="W158" s="11" t="str">
        <f aca="false">IF(OR(I158="",I158&lt;7,O158=""),"",O158+180)</f>
        <v/>
      </c>
      <c r="X158" s="11" t="str">
        <f aca="false">IF(OR(I158="",I158&lt;8,O158=""),"",O158+210)</f>
        <v/>
      </c>
      <c r="Y158" s="11" t="str">
        <f aca="false">IF(OR(I158="",I158&lt;9,O158=""),"",O158+240)</f>
        <v/>
      </c>
      <c r="Z158" s="11" t="str">
        <f aca="false">IF(OR(I158="",I158&lt;10,O158=""),"",O158+270)</f>
        <v/>
      </c>
      <c r="AA158" s="11" t="str">
        <f aca="false">IF(OR(I158="",I158&lt;11,O158=""),"",O158+300)</f>
        <v/>
      </c>
      <c r="AB158" s="11" t="str">
        <f aca="false">IF(OR(I158="",I158&lt;12,O158=""),"",O158+330)</f>
        <v/>
      </c>
      <c r="AC158" s="11" t="str">
        <f aca="false">IF(OR(I158="",I158&lt;13,O158=""),"",O158+360)</f>
        <v/>
      </c>
      <c r="AD158" s="11" t="str">
        <f aca="false">IF(OR(I158="",I158&lt;14,O158=""),"",O158+390)</f>
        <v/>
      </c>
      <c r="AE158" s="11" t="str">
        <f aca="false">IF(OR(I158="",I158&lt;15,O158=""),"",O158+420)</f>
        <v/>
      </c>
      <c r="AF158" s="11" t="str">
        <f aca="false">IF(OR(I158="",I158&lt;16,O158=""),"",O158+450)</f>
        <v/>
      </c>
      <c r="AG158" s="11" t="str">
        <f aca="false">IF(OR(I158="",I158&lt;17,O158=""),"",O158+480)</f>
        <v/>
      </c>
      <c r="AH158" s="11" t="str">
        <f aca="false">IF(OR(I158="",I158&lt;18,O158=""),"",O158+510)</f>
        <v/>
      </c>
      <c r="AI158" s="11" t="str">
        <f aca="false">IF(OR(I158="",I158&lt;19,O158=""),"",O158+540)</f>
        <v/>
      </c>
      <c r="AJ158" s="11" t="str">
        <f aca="false">IF(OR(I158="",I158&lt;20,O158=""),"",O158+570)</f>
        <v/>
      </c>
      <c r="AK158" s="11" t="str">
        <f aca="false">IF(OR(I158="",I158&lt;21,O158=""),"",O158+600)</f>
        <v/>
      </c>
      <c r="AL158" s="11" t="str">
        <f aca="false">IF(OR(I158="",I158&lt;22,O158=""),"",O158+630)</f>
        <v/>
      </c>
      <c r="AM158" s="11" t="str">
        <f aca="false">IF(OR(I158="",I158&lt;23,O158=""),"",O158+660)</f>
        <v/>
      </c>
      <c r="AN158" s="11" t="str">
        <f aca="false">IF(OR(I158="",I158&lt;24,O158=""),"",O158+690)</f>
        <v/>
      </c>
      <c r="AO158" s="7" t="str">
        <f aca="false">IF(J158="","",COUNTIF(Q158:AN158,TRUE())*J158)</f>
        <v/>
      </c>
      <c r="AP158" s="7" t="str">
        <f aca="false">IF(K158="","",K158-AO158)</f>
        <v/>
      </c>
      <c r="AQ158" s="7" t="str">
        <f aca="false">IF(K158="","",K158-F158-IF(N158="",0,N158))</f>
        <v/>
      </c>
    </row>
    <row r="159" customFormat="false" ht="15" hidden="false" customHeight="false" outlineLevel="0" collapsed="false">
      <c r="A159" s="12"/>
      <c r="B159" s="12"/>
      <c r="C159" s="12"/>
      <c r="D159" s="13"/>
      <c r="E159" s="13"/>
      <c r="F159" s="14"/>
      <c r="G159" s="12"/>
      <c r="H159" s="12"/>
      <c r="I159" s="12"/>
      <c r="J159" s="14"/>
      <c r="K159" s="15" t="str">
        <f aca="false">IF(OR(I159="",J159=""),"",I159*J159)</f>
        <v/>
      </c>
      <c r="L159" s="12"/>
      <c r="M159" s="16"/>
      <c r="N159" s="15" t="str">
        <f aca="false">IF(OR(L159="",M159="",K159=""),"",IF(L159="GANANCIA",(K159-F159)*M159,IF(L159="BRUTO",K159*M159,"")))</f>
        <v/>
      </c>
      <c r="O159" s="17" t="str">
        <f aca="false">IF(D159="","",D159+30)</f>
        <v/>
      </c>
      <c r="P159" s="18" t="str">
        <f aca="false">IF(I159="","",IF(COUNTIF(Q159:AN159,TRUE())&gt;=I159,"PAGADO",IF(COUNTIF(Q159:AN159,TRUE())&gt;0,"PARCIAL","VIGENTE")))</f>
        <v/>
      </c>
      <c r="Q159" s="19" t="str">
        <f aca="false">IF(OR(I159="",I159&lt;1,O159=""),"",O159+0)</f>
        <v/>
      </c>
      <c r="R159" s="19" t="str">
        <f aca="false">IF(OR(I159="",I159&lt;2,O159=""),"",O159+30)</f>
        <v/>
      </c>
      <c r="S159" s="19" t="str">
        <f aca="false">IF(OR(I159="",I159&lt;3,O159=""),"",O159+60)</f>
        <v/>
      </c>
      <c r="T159" s="19" t="str">
        <f aca="false">IF(OR(I159="",I159&lt;4,O159=""),"",O159+90)</f>
        <v/>
      </c>
      <c r="U159" s="19" t="str">
        <f aca="false">IF(OR(I159="",I159&lt;5,O159=""),"",O159+120)</f>
        <v/>
      </c>
      <c r="V159" s="19" t="str">
        <f aca="false">IF(OR(I159="",I159&lt;6,O159=""),"",O159+150)</f>
        <v/>
      </c>
      <c r="W159" s="19" t="str">
        <f aca="false">IF(OR(I159="",I159&lt;7,O159=""),"",O159+180)</f>
        <v/>
      </c>
      <c r="X159" s="19" t="str">
        <f aca="false">IF(OR(I159="",I159&lt;8,O159=""),"",O159+210)</f>
        <v/>
      </c>
      <c r="Y159" s="19" t="str">
        <f aca="false">IF(OR(I159="",I159&lt;9,O159=""),"",O159+240)</f>
        <v/>
      </c>
      <c r="Z159" s="19" t="str">
        <f aca="false">IF(OR(I159="",I159&lt;10,O159=""),"",O159+270)</f>
        <v/>
      </c>
      <c r="AA159" s="19" t="str">
        <f aca="false">IF(OR(I159="",I159&lt;11,O159=""),"",O159+300)</f>
        <v/>
      </c>
      <c r="AB159" s="19" t="str">
        <f aca="false">IF(OR(I159="",I159&lt;12,O159=""),"",O159+330)</f>
        <v/>
      </c>
      <c r="AC159" s="19" t="str">
        <f aca="false">IF(OR(I159="",I159&lt;13,O159=""),"",O159+360)</f>
        <v/>
      </c>
      <c r="AD159" s="19" t="str">
        <f aca="false">IF(OR(I159="",I159&lt;14,O159=""),"",O159+390)</f>
        <v/>
      </c>
      <c r="AE159" s="19" t="str">
        <f aca="false">IF(OR(I159="",I159&lt;15,O159=""),"",O159+420)</f>
        <v/>
      </c>
      <c r="AF159" s="19" t="str">
        <f aca="false">IF(OR(I159="",I159&lt;16,O159=""),"",O159+450)</f>
        <v/>
      </c>
      <c r="AG159" s="19" t="str">
        <f aca="false">IF(OR(I159="",I159&lt;17,O159=""),"",O159+480)</f>
        <v/>
      </c>
      <c r="AH159" s="19" t="str">
        <f aca="false">IF(OR(I159="",I159&lt;18,O159=""),"",O159+510)</f>
        <v/>
      </c>
      <c r="AI159" s="19" t="str">
        <f aca="false">IF(OR(I159="",I159&lt;19,O159=""),"",O159+540)</f>
        <v/>
      </c>
      <c r="AJ159" s="19" t="str">
        <f aca="false">IF(OR(I159="",I159&lt;20,O159=""),"",O159+570)</f>
        <v/>
      </c>
      <c r="AK159" s="19" t="str">
        <f aca="false">IF(OR(I159="",I159&lt;21,O159=""),"",O159+600)</f>
        <v/>
      </c>
      <c r="AL159" s="19" t="str">
        <f aca="false">IF(OR(I159="",I159&lt;22,O159=""),"",O159+630)</f>
        <v/>
      </c>
      <c r="AM159" s="19" t="str">
        <f aca="false">IF(OR(I159="",I159&lt;23,O159=""),"",O159+660)</f>
        <v/>
      </c>
      <c r="AN159" s="19" t="str">
        <f aca="false">IF(OR(I159="",I159&lt;24,O159=""),"",O159+690)</f>
        <v/>
      </c>
      <c r="AO159" s="15" t="str">
        <f aca="false">IF(J159="","",COUNTIF(Q159:AN159,TRUE())*J159)</f>
        <v/>
      </c>
      <c r="AP159" s="15" t="str">
        <f aca="false">IF(K159="","",K159-AO159)</f>
        <v/>
      </c>
      <c r="AQ159" s="15" t="str">
        <f aca="false">IF(K159="","",K159-F159-IF(N159="",0,N159))</f>
        <v/>
      </c>
    </row>
    <row r="160" customFormat="false" ht="15" hidden="false" customHeight="false" outlineLevel="0" collapsed="false">
      <c r="A160" s="4"/>
      <c r="B160" s="4"/>
      <c r="C160" s="4"/>
      <c r="D160" s="5"/>
      <c r="E160" s="5"/>
      <c r="F160" s="6"/>
      <c r="G160" s="4"/>
      <c r="H160" s="4"/>
      <c r="I160" s="4"/>
      <c r="J160" s="6"/>
      <c r="K160" s="7" t="str">
        <f aca="false">IF(OR(I160="",J160=""),"",I160*J160)</f>
        <v/>
      </c>
      <c r="L160" s="4"/>
      <c r="M160" s="8"/>
      <c r="N160" s="7" t="str">
        <f aca="false">IF(OR(L160="",M160="",K160=""),"",IF(L160="GANANCIA",(K160-F160)*M160,IF(L160="BRUTO",K160*M160,"")))</f>
        <v/>
      </c>
      <c r="O160" s="9" t="str">
        <f aca="false">IF(D160="","",D160+30)</f>
        <v/>
      </c>
      <c r="P160" s="10" t="str">
        <f aca="false">IF(I160="","",IF(COUNTIF(Q160:AN160,TRUE())&gt;=I160,"PAGADO",IF(COUNTIF(Q160:AN160,TRUE())&gt;0,"PARCIAL","VIGENTE")))</f>
        <v/>
      </c>
      <c r="Q160" s="11" t="str">
        <f aca="false">IF(OR(I160="",I160&lt;1,O160=""),"",O160+0)</f>
        <v/>
      </c>
      <c r="R160" s="11" t="str">
        <f aca="false">IF(OR(I160="",I160&lt;2,O160=""),"",O160+30)</f>
        <v/>
      </c>
      <c r="S160" s="11" t="str">
        <f aca="false">IF(OR(I160="",I160&lt;3,O160=""),"",O160+60)</f>
        <v/>
      </c>
      <c r="T160" s="11" t="str">
        <f aca="false">IF(OR(I160="",I160&lt;4,O160=""),"",O160+90)</f>
        <v/>
      </c>
      <c r="U160" s="11" t="str">
        <f aca="false">IF(OR(I160="",I160&lt;5,O160=""),"",O160+120)</f>
        <v/>
      </c>
      <c r="V160" s="11" t="str">
        <f aca="false">IF(OR(I160="",I160&lt;6,O160=""),"",O160+150)</f>
        <v/>
      </c>
      <c r="W160" s="11" t="str">
        <f aca="false">IF(OR(I160="",I160&lt;7,O160=""),"",O160+180)</f>
        <v/>
      </c>
      <c r="X160" s="11" t="str">
        <f aca="false">IF(OR(I160="",I160&lt;8,O160=""),"",O160+210)</f>
        <v/>
      </c>
      <c r="Y160" s="11" t="str">
        <f aca="false">IF(OR(I160="",I160&lt;9,O160=""),"",O160+240)</f>
        <v/>
      </c>
      <c r="Z160" s="11" t="str">
        <f aca="false">IF(OR(I160="",I160&lt;10,O160=""),"",O160+270)</f>
        <v/>
      </c>
      <c r="AA160" s="11" t="str">
        <f aca="false">IF(OR(I160="",I160&lt;11,O160=""),"",O160+300)</f>
        <v/>
      </c>
      <c r="AB160" s="11" t="str">
        <f aca="false">IF(OR(I160="",I160&lt;12,O160=""),"",O160+330)</f>
        <v/>
      </c>
      <c r="AC160" s="11" t="str">
        <f aca="false">IF(OR(I160="",I160&lt;13,O160=""),"",O160+360)</f>
        <v/>
      </c>
      <c r="AD160" s="11" t="str">
        <f aca="false">IF(OR(I160="",I160&lt;14,O160=""),"",O160+390)</f>
        <v/>
      </c>
      <c r="AE160" s="11" t="str">
        <f aca="false">IF(OR(I160="",I160&lt;15,O160=""),"",O160+420)</f>
        <v/>
      </c>
      <c r="AF160" s="11" t="str">
        <f aca="false">IF(OR(I160="",I160&lt;16,O160=""),"",O160+450)</f>
        <v/>
      </c>
      <c r="AG160" s="11" t="str">
        <f aca="false">IF(OR(I160="",I160&lt;17,O160=""),"",O160+480)</f>
        <v/>
      </c>
      <c r="AH160" s="11" t="str">
        <f aca="false">IF(OR(I160="",I160&lt;18,O160=""),"",O160+510)</f>
        <v/>
      </c>
      <c r="AI160" s="11" t="str">
        <f aca="false">IF(OR(I160="",I160&lt;19,O160=""),"",O160+540)</f>
        <v/>
      </c>
      <c r="AJ160" s="11" t="str">
        <f aca="false">IF(OR(I160="",I160&lt;20,O160=""),"",O160+570)</f>
        <v/>
      </c>
      <c r="AK160" s="11" t="str">
        <f aca="false">IF(OR(I160="",I160&lt;21,O160=""),"",O160+600)</f>
        <v/>
      </c>
      <c r="AL160" s="11" t="str">
        <f aca="false">IF(OR(I160="",I160&lt;22,O160=""),"",O160+630)</f>
        <v/>
      </c>
      <c r="AM160" s="11" t="str">
        <f aca="false">IF(OR(I160="",I160&lt;23,O160=""),"",O160+660)</f>
        <v/>
      </c>
      <c r="AN160" s="11" t="str">
        <f aca="false">IF(OR(I160="",I160&lt;24,O160=""),"",O160+690)</f>
        <v/>
      </c>
      <c r="AO160" s="7" t="str">
        <f aca="false">IF(J160="","",COUNTIF(Q160:AN160,TRUE())*J160)</f>
        <v/>
      </c>
      <c r="AP160" s="7" t="str">
        <f aca="false">IF(K160="","",K160-AO160)</f>
        <v/>
      </c>
      <c r="AQ160" s="7" t="str">
        <f aca="false">IF(K160="","",K160-F160-IF(N160="",0,N160))</f>
        <v/>
      </c>
    </row>
    <row r="161" customFormat="false" ht="15" hidden="false" customHeight="false" outlineLevel="0" collapsed="false">
      <c r="A161" s="12"/>
      <c r="B161" s="12"/>
      <c r="C161" s="12"/>
      <c r="D161" s="13"/>
      <c r="E161" s="13"/>
      <c r="F161" s="14"/>
      <c r="G161" s="12"/>
      <c r="H161" s="12"/>
      <c r="I161" s="12"/>
      <c r="J161" s="14"/>
      <c r="K161" s="15" t="str">
        <f aca="false">IF(OR(I161="",J161=""),"",I161*J161)</f>
        <v/>
      </c>
      <c r="L161" s="12"/>
      <c r="M161" s="16"/>
      <c r="N161" s="15" t="str">
        <f aca="false">IF(OR(L161="",M161="",K161=""),"",IF(L161="GANANCIA",(K161-F161)*M161,IF(L161="BRUTO",K161*M161,"")))</f>
        <v/>
      </c>
      <c r="O161" s="17" t="str">
        <f aca="false">IF(D161="","",D161+30)</f>
        <v/>
      </c>
      <c r="P161" s="18" t="str">
        <f aca="false">IF(I161="","",IF(COUNTIF(Q161:AN161,TRUE())&gt;=I161,"PAGADO",IF(COUNTIF(Q161:AN161,TRUE())&gt;0,"PARCIAL","VIGENTE")))</f>
        <v/>
      </c>
      <c r="Q161" s="19" t="str">
        <f aca="false">IF(OR(I161="",I161&lt;1,O161=""),"",O161+0)</f>
        <v/>
      </c>
      <c r="R161" s="19" t="str">
        <f aca="false">IF(OR(I161="",I161&lt;2,O161=""),"",O161+30)</f>
        <v/>
      </c>
      <c r="S161" s="19" t="str">
        <f aca="false">IF(OR(I161="",I161&lt;3,O161=""),"",O161+60)</f>
        <v/>
      </c>
      <c r="T161" s="19" t="str">
        <f aca="false">IF(OR(I161="",I161&lt;4,O161=""),"",O161+90)</f>
        <v/>
      </c>
      <c r="U161" s="19" t="str">
        <f aca="false">IF(OR(I161="",I161&lt;5,O161=""),"",O161+120)</f>
        <v/>
      </c>
      <c r="V161" s="19" t="str">
        <f aca="false">IF(OR(I161="",I161&lt;6,O161=""),"",O161+150)</f>
        <v/>
      </c>
      <c r="W161" s="19" t="str">
        <f aca="false">IF(OR(I161="",I161&lt;7,O161=""),"",O161+180)</f>
        <v/>
      </c>
      <c r="X161" s="19" t="str">
        <f aca="false">IF(OR(I161="",I161&lt;8,O161=""),"",O161+210)</f>
        <v/>
      </c>
      <c r="Y161" s="19" t="str">
        <f aca="false">IF(OR(I161="",I161&lt;9,O161=""),"",O161+240)</f>
        <v/>
      </c>
      <c r="Z161" s="19" t="str">
        <f aca="false">IF(OR(I161="",I161&lt;10,O161=""),"",O161+270)</f>
        <v/>
      </c>
      <c r="AA161" s="19" t="str">
        <f aca="false">IF(OR(I161="",I161&lt;11,O161=""),"",O161+300)</f>
        <v/>
      </c>
      <c r="AB161" s="19" t="str">
        <f aca="false">IF(OR(I161="",I161&lt;12,O161=""),"",O161+330)</f>
        <v/>
      </c>
      <c r="AC161" s="19" t="str">
        <f aca="false">IF(OR(I161="",I161&lt;13,O161=""),"",O161+360)</f>
        <v/>
      </c>
      <c r="AD161" s="19" t="str">
        <f aca="false">IF(OR(I161="",I161&lt;14,O161=""),"",O161+390)</f>
        <v/>
      </c>
      <c r="AE161" s="19" t="str">
        <f aca="false">IF(OR(I161="",I161&lt;15,O161=""),"",O161+420)</f>
        <v/>
      </c>
      <c r="AF161" s="19" t="str">
        <f aca="false">IF(OR(I161="",I161&lt;16,O161=""),"",O161+450)</f>
        <v/>
      </c>
      <c r="AG161" s="19" t="str">
        <f aca="false">IF(OR(I161="",I161&lt;17,O161=""),"",O161+480)</f>
        <v/>
      </c>
      <c r="AH161" s="19" t="str">
        <f aca="false">IF(OR(I161="",I161&lt;18,O161=""),"",O161+510)</f>
        <v/>
      </c>
      <c r="AI161" s="19" t="str">
        <f aca="false">IF(OR(I161="",I161&lt;19,O161=""),"",O161+540)</f>
        <v/>
      </c>
      <c r="AJ161" s="19" t="str">
        <f aca="false">IF(OR(I161="",I161&lt;20,O161=""),"",O161+570)</f>
        <v/>
      </c>
      <c r="AK161" s="19" t="str">
        <f aca="false">IF(OR(I161="",I161&lt;21,O161=""),"",O161+600)</f>
        <v/>
      </c>
      <c r="AL161" s="19" t="str">
        <f aca="false">IF(OR(I161="",I161&lt;22,O161=""),"",O161+630)</f>
        <v/>
      </c>
      <c r="AM161" s="19" t="str">
        <f aca="false">IF(OR(I161="",I161&lt;23,O161=""),"",O161+660)</f>
        <v/>
      </c>
      <c r="AN161" s="19" t="str">
        <f aca="false">IF(OR(I161="",I161&lt;24,O161=""),"",O161+690)</f>
        <v/>
      </c>
      <c r="AO161" s="15" t="str">
        <f aca="false">IF(J161="","",COUNTIF(Q161:AN161,TRUE())*J161)</f>
        <v/>
      </c>
      <c r="AP161" s="15" t="str">
        <f aca="false">IF(K161="","",K161-AO161)</f>
        <v/>
      </c>
      <c r="AQ161" s="15" t="str">
        <f aca="false">IF(K161="","",K161-F161-IF(N161="",0,N161))</f>
        <v/>
      </c>
    </row>
    <row r="162" customFormat="false" ht="15" hidden="false" customHeight="false" outlineLevel="0" collapsed="false">
      <c r="A162" s="4"/>
      <c r="B162" s="4"/>
      <c r="C162" s="4"/>
      <c r="D162" s="5"/>
      <c r="E162" s="5"/>
      <c r="F162" s="6"/>
      <c r="G162" s="4"/>
      <c r="H162" s="4"/>
      <c r="I162" s="4"/>
      <c r="J162" s="6"/>
      <c r="K162" s="7" t="str">
        <f aca="false">IF(OR(I162="",J162=""),"",I162*J162)</f>
        <v/>
      </c>
      <c r="L162" s="4"/>
      <c r="M162" s="8"/>
      <c r="N162" s="7" t="str">
        <f aca="false">IF(OR(L162="",M162="",K162=""),"",IF(L162="GANANCIA",(K162-F162)*M162,IF(L162="BRUTO",K162*M162,"")))</f>
        <v/>
      </c>
      <c r="O162" s="9" t="str">
        <f aca="false">IF(D162="","",D162+30)</f>
        <v/>
      </c>
      <c r="P162" s="10" t="str">
        <f aca="false">IF(I162="","",IF(COUNTIF(Q162:AN162,TRUE())&gt;=I162,"PAGADO",IF(COUNTIF(Q162:AN162,TRUE())&gt;0,"PARCIAL","VIGENTE")))</f>
        <v/>
      </c>
      <c r="Q162" s="11" t="str">
        <f aca="false">IF(OR(I162="",I162&lt;1,O162=""),"",O162+0)</f>
        <v/>
      </c>
      <c r="R162" s="11" t="str">
        <f aca="false">IF(OR(I162="",I162&lt;2,O162=""),"",O162+30)</f>
        <v/>
      </c>
      <c r="S162" s="11" t="str">
        <f aca="false">IF(OR(I162="",I162&lt;3,O162=""),"",O162+60)</f>
        <v/>
      </c>
      <c r="T162" s="11" t="str">
        <f aca="false">IF(OR(I162="",I162&lt;4,O162=""),"",O162+90)</f>
        <v/>
      </c>
      <c r="U162" s="11" t="str">
        <f aca="false">IF(OR(I162="",I162&lt;5,O162=""),"",O162+120)</f>
        <v/>
      </c>
      <c r="V162" s="11" t="str">
        <f aca="false">IF(OR(I162="",I162&lt;6,O162=""),"",O162+150)</f>
        <v/>
      </c>
      <c r="W162" s="11" t="str">
        <f aca="false">IF(OR(I162="",I162&lt;7,O162=""),"",O162+180)</f>
        <v/>
      </c>
      <c r="X162" s="11" t="str">
        <f aca="false">IF(OR(I162="",I162&lt;8,O162=""),"",O162+210)</f>
        <v/>
      </c>
      <c r="Y162" s="11" t="str">
        <f aca="false">IF(OR(I162="",I162&lt;9,O162=""),"",O162+240)</f>
        <v/>
      </c>
      <c r="Z162" s="11" t="str">
        <f aca="false">IF(OR(I162="",I162&lt;10,O162=""),"",O162+270)</f>
        <v/>
      </c>
      <c r="AA162" s="11" t="str">
        <f aca="false">IF(OR(I162="",I162&lt;11,O162=""),"",O162+300)</f>
        <v/>
      </c>
      <c r="AB162" s="11" t="str">
        <f aca="false">IF(OR(I162="",I162&lt;12,O162=""),"",O162+330)</f>
        <v/>
      </c>
      <c r="AC162" s="11" t="str">
        <f aca="false">IF(OR(I162="",I162&lt;13,O162=""),"",O162+360)</f>
        <v/>
      </c>
      <c r="AD162" s="11" t="str">
        <f aca="false">IF(OR(I162="",I162&lt;14,O162=""),"",O162+390)</f>
        <v/>
      </c>
      <c r="AE162" s="11" t="str">
        <f aca="false">IF(OR(I162="",I162&lt;15,O162=""),"",O162+420)</f>
        <v/>
      </c>
      <c r="AF162" s="11" t="str">
        <f aca="false">IF(OR(I162="",I162&lt;16,O162=""),"",O162+450)</f>
        <v/>
      </c>
      <c r="AG162" s="11" t="str">
        <f aca="false">IF(OR(I162="",I162&lt;17,O162=""),"",O162+480)</f>
        <v/>
      </c>
      <c r="AH162" s="11" t="str">
        <f aca="false">IF(OR(I162="",I162&lt;18,O162=""),"",O162+510)</f>
        <v/>
      </c>
      <c r="AI162" s="11" t="str">
        <f aca="false">IF(OR(I162="",I162&lt;19,O162=""),"",O162+540)</f>
        <v/>
      </c>
      <c r="AJ162" s="11" t="str">
        <f aca="false">IF(OR(I162="",I162&lt;20,O162=""),"",O162+570)</f>
        <v/>
      </c>
      <c r="AK162" s="11" t="str">
        <f aca="false">IF(OR(I162="",I162&lt;21,O162=""),"",O162+600)</f>
        <v/>
      </c>
      <c r="AL162" s="11" t="str">
        <f aca="false">IF(OR(I162="",I162&lt;22,O162=""),"",O162+630)</f>
        <v/>
      </c>
      <c r="AM162" s="11" t="str">
        <f aca="false">IF(OR(I162="",I162&lt;23,O162=""),"",O162+660)</f>
        <v/>
      </c>
      <c r="AN162" s="11" t="str">
        <f aca="false">IF(OR(I162="",I162&lt;24,O162=""),"",O162+690)</f>
        <v/>
      </c>
      <c r="AO162" s="7" t="str">
        <f aca="false">IF(J162="","",COUNTIF(Q162:AN162,TRUE())*J162)</f>
        <v/>
      </c>
      <c r="AP162" s="7" t="str">
        <f aca="false">IF(K162="","",K162-AO162)</f>
        <v/>
      </c>
      <c r="AQ162" s="7" t="str">
        <f aca="false">IF(K162="","",K162-F162-IF(N162="",0,N162))</f>
        <v/>
      </c>
    </row>
    <row r="163" customFormat="false" ht="15" hidden="false" customHeight="false" outlineLevel="0" collapsed="false">
      <c r="A163" s="12"/>
      <c r="B163" s="12"/>
      <c r="C163" s="12"/>
      <c r="D163" s="13"/>
      <c r="E163" s="13"/>
      <c r="F163" s="14"/>
      <c r="G163" s="12"/>
      <c r="H163" s="12"/>
      <c r="I163" s="12"/>
      <c r="J163" s="14"/>
      <c r="K163" s="15" t="str">
        <f aca="false">IF(OR(I163="",J163=""),"",I163*J163)</f>
        <v/>
      </c>
      <c r="L163" s="12"/>
      <c r="M163" s="16"/>
      <c r="N163" s="15" t="str">
        <f aca="false">IF(OR(L163="",M163="",K163=""),"",IF(L163="GANANCIA",(K163-F163)*M163,IF(L163="BRUTO",K163*M163,"")))</f>
        <v/>
      </c>
      <c r="O163" s="17" t="str">
        <f aca="false">IF(D163="","",D163+30)</f>
        <v/>
      </c>
      <c r="P163" s="18" t="str">
        <f aca="false">IF(I163="","",IF(COUNTIF(Q163:AN163,TRUE())&gt;=I163,"PAGADO",IF(COUNTIF(Q163:AN163,TRUE())&gt;0,"PARCIAL","VIGENTE")))</f>
        <v/>
      </c>
      <c r="Q163" s="19" t="str">
        <f aca="false">IF(OR(I163="",I163&lt;1,O163=""),"",O163+0)</f>
        <v/>
      </c>
      <c r="R163" s="19" t="str">
        <f aca="false">IF(OR(I163="",I163&lt;2,O163=""),"",O163+30)</f>
        <v/>
      </c>
      <c r="S163" s="19" t="str">
        <f aca="false">IF(OR(I163="",I163&lt;3,O163=""),"",O163+60)</f>
        <v/>
      </c>
      <c r="T163" s="19" t="str">
        <f aca="false">IF(OR(I163="",I163&lt;4,O163=""),"",O163+90)</f>
        <v/>
      </c>
      <c r="U163" s="19" t="str">
        <f aca="false">IF(OR(I163="",I163&lt;5,O163=""),"",O163+120)</f>
        <v/>
      </c>
      <c r="V163" s="19" t="str">
        <f aca="false">IF(OR(I163="",I163&lt;6,O163=""),"",O163+150)</f>
        <v/>
      </c>
      <c r="W163" s="19" t="str">
        <f aca="false">IF(OR(I163="",I163&lt;7,O163=""),"",O163+180)</f>
        <v/>
      </c>
      <c r="X163" s="19" t="str">
        <f aca="false">IF(OR(I163="",I163&lt;8,O163=""),"",O163+210)</f>
        <v/>
      </c>
      <c r="Y163" s="19" t="str">
        <f aca="false">IF(OR(I163="",I163&lt;9,O163=""),"",O163+240)</f>
        <v/>
      </c>
      <c r="Z163" s="19" t="str">
        <f aca="false">IF(OR(I163="",I163&lt;10,O163=""),"",O163+270)</f>
        <v/>
      </c>
      <c r="AA163" s="19" t="str">
        <f aca="false">IF(OR(I163="",I163&lt;11,O163=""),"",O163+300)</f>
        <v/>
      </c>
      <c r="AB163" s="19" t="str">
        <f aca="false">IF(OR(I163="",I163&lt;12,O163=""),"",O163+330)</f>
        <v/>
      </c>
      <c r="AC163" s="19" t="str">
        <f aca="false">IF(OR(I163="",I163&lt;13,O163=""),"",O163+360)</f>
        <v/>
      </c>
      <c r="AD163" s="19" t="str">
        <f aca="false">IF(OR(I163="",I163&lt;14,O163=""),"",O163+390)</f>
        <v/>
      </c>
      <c r="AE163" s="19" t="str">
        <f aca="false">IF(OR(I163="",I163&lt;15,O163=""),"",O163+420)</f>
        <v/>
      </c>
      <c r="AF163" s="19" t="str">
        <f aca="false">IF(OR(I163="",I163&lt;16,O163=""),"",O163+450)</f>
        <v/>
      </c>
      <c r="AG163" s="19" t="str">
        <f aca="false">IF(OR(I163="",I163&lt;17,O163=""),"",O163+480)</f>
        <v/>
      </c>
      <c r="AH163" s="19" t="str">
        <f aca="false">IF(OR(I163="",I163&lt;18,O163=""),"",O163+510)</f>
        <v/>
      </c>
      <c r="AI163" s="19" t="str">
        <f aca="false">IF(OR(I163="",I163&lt;19,O163=""),"",O163+540)</f>
        <v/>
      </c>
      <c r="AJ163" s="19" t="str">
        <f aca="false">IF(OR(I163="",I163&lt;20,O163=""),"",O163+570)</f>
        <v/>
      </c>
      <c r="AK163" s="19" t="str">
        <f aca="false">IF(OR(I163="",I163&lt;21,O163=""),"",O163+600)</f>
        <v/>
      </c>
      <c r="AL163" s="19" t="str">
        <f aca="false">IF(OR(I163="",I163&lt;22,O163=""),"",O163+630)</f>
        <v/>
      </c>
      <c r="AM163" s="19" t="str">
        <f aca="false">IF(OR(I163="",I163&lt;23,O163=""),"",O163+660)</f>
        <v/>
      </c>
      <c r="AN163" s="19" t="str">
        <f aca="false">IF(OR(I163="",I163&lt;24,O163=""),"",O163+690)</f>
        <v/>
      </c>
      <c r="AO163" s="15" t="str">
        <f aca="false">IF(J163="","",COUNTIF(Q163:AN163,TRUE())*J163)</f>
        <v/>
      </c>
      <c r="AP163" s="15" t="str">
        <f aca="false">IF(K163="","",K163-AO163)</f>
        <v/>
      </c>
      <c r="AQ163" s="15" t="str">
        <f aca="false">IF(K163="","",K163-F163-IF(N163="",0,N163))</f>
        <v/>
      </c>
    </row>
    <row r="164" customFormat="false" ht="15" hidden="false" customHeight="false" outlineLevel="0" collapsed="false">
      <c r="A164" s="4"/>
      <c r="B164" s="4"/>
      <c r="C164" s="4"/>
      <c r="D164" s="5"/>
      <c r="E164" s="5"/>
      <c r="F164" s="6"/>
      <c r="G164" s="4"/>
      <c r="H164" s="4"/>
      <c r="I164" s="4"/>
      <c r="J164" s="6"/>
      <c r="K164" s="7" t="str">
        <f aca="false">IF(OR(I164="",J164=""),"",I164*J164)</f>
        <v/>
      </c>
      <c r="L164" s="4"/>
      <c r="M164" s="8"/>
      <c r="N164" s="7" t="str">
        <f aca="false">IF(OR(L164="",M164="",K164=""),"",IF(L164="GANANCIA",(K164-F164)*M164,IF(L164="BRUTO",K164*M164,"")))</f>
        <v/>
      </c>
      <c r="O164" s="9" t="str">
        <f aca="false">IF(D164="","",D164+30)</f>
        <v/>
      </c>
      <c r="P164" s="10" t="str">
        <f aca="false">IF(I164="","",IF(COUNTIF(Q164:AN164,TRUE())&gt;=I164,"PAGADO",IF(COUNTIF(Q164:AN164,TRUE())&gt;0,"PARCIAL","VIGENTE")))</f>
        <v/>
      </c>
      <c r="Q164" s="11" t="str">
        <f aca="false">IF(OR(I164="",I164&lt;1,O164=""),"",O164+0)</f>
        <v/>
      </c>
      <c r="R164" s="11" t="str">
        <f aca="false">IF(OR(I164="",I164&lt;2,O164=""),"",O164+30)</f>
        <v/>
      </c>
      <c r="S164" s="11" t="str">
        <f aca="false">IF(OR(I164="",I164&lt;3,O164=""),"",O164+60)</f>
        <v/>
      </c>
      <c r="T164" s="11" t="str">
        <f aca="false">IF(OR(I164="",I164&lt;4,O164=""),"",O164+90)</f>
        <v/>
      </c>
      <c r="U164" s="11" t="str">
        <f aca="false">IF(OR(I164="",I164&lt;5,O164=""),"",O164+120)</f>
        <v/>
      </c>
      <c r="V164" s="11" t="str">
        <f aca="false">IF(OR(I164="",I164&lt;6,O164=""),"",O164+150)</f>
        <v/>
      </c>
      <c r="W164" s="11" t="str">
        <f aca="false">IF(OR(I164="",I164&lt;7,O164=""),"",O164+180)</f>
        <v/>
      </c>
      <c r="X164" s="11" t="str">
        <f aca="false">IF(OR(I164="",I164&lt;8,O164=""),"",O164+210)</f>
        <v/>
      </c>
      <c r="Y164" s="11" t="str">
        <f aca="false">IF(OR(I164="",I164&lt;9,O164=""),"",O164+240)</f>
        <v/>
      </c>
      <c r="Z164" s="11" t="str">
        <f aca="false">IF(OR(I164="",I164&lt;10,O164=""),"",O164+270)</f>
        <v/>
      </c>
      <c r="AA164" s="11" t="str">
        <f aca="false">IF(OR(I164="",I164&lt;11,O164=""),"",O164+300)</f>
        <v/>
      </c>
      <c r="AB164" s="11" t="str">
        <f aca="false">IF(OR(I164="",I164&lt;12,O164=""),"",O164+330)</f>
        <v/>
      </c>
      <c r="AC164" s="11" t="str">
        <f aca="false">IF(OR(I164="",I164&lt;13,O164=""),"",O164+360)</f>
        <v/>
      </c>
      <c r="AD164" s="11" t="str">
        <f aca="false">IF(OR(I164="",I164&lt;14,O164=""),"",O164+390)</f>
        <v/>
      </c>
      <c r="AE164" s="11" t="str">
        <f aca="false">IF(OR(I164="",I164&lt;15,O164=""),"",O164+420)</f>
        <v/>
      </c>
      <c r="AF164" s="11" t="str">
        <f aca="false">IF(OR(I164="",I164&lt;16,O164=""),"",O164+450)</f>
        <v/>
      </c>
      <c r="AG164" s="11" t="str">
        <f aca="false">IF(OR(I164="",I164&lt;17,O164=""),"",O164+480)</f>
        <v/>
      </c>
      <c r="AH164" s="11" t="str">
        <f aca="false">IF(OR(I164="",I164&lt;18,O164=""),"",O164+510)</f>
        <v/>
      </c>
      <c r="AI164" s="11" t="str">
        <f aca="false">IF(OR(I164="",I164&lt;19,O164=""),"",O164+540)</f>
        <v/>
      </c>
      <c r="AJ164" s="11" t="str">
        <f aca="false">IF(OR(I164="",I164&lt;20,O164=""),"",O164+570)</f>
        <v/>
      </c>
      <c r="AK164" s="11" t="str">
        <f aca="false">IF(OR(I164="",I164&lt;21,O164=""),"",O164+600)</f>
        <v/>
      </c>
      <c r="AL164" s="11" t="str">
        <f aca="false">IF(OR(I164="",I164&lt;22,O164=""),"",O164+630)</f>
        <v/>
      </c>
      <c r="AM164" s="11" t="str">
        <f aca="false">IF(OR(I164="",I164&lt;23,O164=""),"",O164+660)</f>
        <v/>
      </c>
      <c r="AN164" s="11" t="str">
        <f aca="false">IF(OR(I164="",I164&lt;24,O164=""),"",O164+690)</f>
        <v/>
      </c>
      <c r="AO164" s="7" t="str">
        <f aca="false">IF(J164="","",COUNTIF(Q164:AN164,TRUE())*J164)</f>
        <v/>
      </c>
      <c r="AP164" s="7" t="str">
        <f aca="false">IF(K164="","",K164-AO164)</f>
        <v/>
      </c>
      <c r="AQ164" s="7" t="str">
        <f aca="false">IF(K164="","",K164-F164-IF(N164="",0,N164))</f>
        <v/>
      </c>
    </row>
    <row r="165" customFormat="false" ht="15" hidden="false" customHeight="false" outlineLevel="0" collapsed="false">
      <c r="A165" s="12"/>
      <c r="B165" s="12"/>
      <c r="C165" s="12"/>
      <c r="D165" s="13"/>
      <c r="E165" s="13"/>
      <c r="F165" s="14"/>
      <c r="G165" s="12"/>
      <c r="H165" s="12"/>
      <c r="I165" s="12"/>
      <c r="J165" s="14"/>
      <c r="K165" s="15" t="str">
        <f aca="false">IF(OR(I165="",J165=""),"",I165*J165)</f>
        <v/>
      </c>
      <c r="L165" s="12"/>
      <c r="M165" s="16"/>
      <c r="N165" s="15" t="str">
        <f aca="false">IF(OR(L165="",M165="",K165=""),"",IF(L165="GANANCIA",(K165-F165)*M165,IF(L165="BRUTO",K165*M165,"")))</f>
        <v/>
      </c>
      <c r="O165" s="17" t="str">
        <f aca="false">IF(D165="","",D165+30)</f>
        <v/>
      </c>
      <c r="P165" s="18" t="str">
        <f aca="false">IF(I165="","",IF(COUNTIF(Q165:AN165,TRUE())&gt;=I165,"PAGADO",IF(COUNTIF(Q165:AN165,TRUE())&gt;0,"PARCIAL","VIGENTE")))</f>
        <v/>
      </c>
      <c r="Q165" s="19" t="str">
        <f aca="false">IF(OR(I165="",I165&lt;1,O165=""),"",O165+0)</f>
        <v/>
      </c>
      <c r="R165" s="19" t="str">
        <f aca="false">IF(OR(I165="",I165&lt;2,O165=""),"",O165+30)</f>
        <v/>
      </c>
      <c r="S165" s="19" t="str">
        <f aca="false">IF(OR(I165="",I165&lt;3,O165=""),"",O165+60)</f>
        <v/>
      </c>
      <c r="T165" s="19" t="str">
        <f aca="false">IF(OR(I165="",I165&lt;4,O165=""),"",O165+90)</f>
        <v/>
      </c>
      <c r="U165" s="19" t="str">
        <f aca="false">IF(OR(I165="",I165&lt;5,O165=""),"",O165+120)</f>
        <v/>
      </c>
      <c r="V165" s="19" t="str">
        <f aca="false">IF(OR(I165="",I165&lt;6,O165=""),"",O165+150)</f>
        <v/>
      </c>
      <c r="W165" s="19" t="str">
        <f aca="false">IF(OR(I165="",I165&lt;7,O165=""),"",O165+180)</f>
        <v/>
      </c>
      <c r="X165" s="19" t="str">
        <f aca="false">IF(OR(I165="",I165&lt;8,O165=""),"",O165+210)</f>
        <v/>
      </c>
      <c r="Y165" s="19" t="str">
        <f aca="false">IF(OR(I165="",I165&lt;9,O165=""),"",O165+240)</f>
        <v/>
      </c>
      <c r="Z165" s="19" t="str">
        <f aca="false">IF(OR(I165="",I165&lt;10,O165=""),"",O165+270)</f>
        <v/>
      </c>
      <c r="AA165" s="19" t="str">
        <f aca="false">IF(OR(I165="",I165&lt;11,O165=""),"",O165+300)</f>
        <v/>
      </c>
      <c r="AB165" s="19" t="str">
        <f aca="false">IF(OR(I165="",I165&lt;12,O165=""),"",O165+330)</f>
        <v/>
      </c>
      <c r="AC165" s="19" t="str">
        <f aca="false">IF(OR(I165="",I165&lt;13,O165=""),"",O165+360)</f>
        <v/>
      </c>
      <c r="AD165" s="19" t="str">
        <f aca="false">IF(OR(I165="",I165&lt;14,O165=""),"",O165+390)</f>
        <v/>
      </c>
      <c r="AE165" s="19" t="str">
        <f aca="false">IF(OR(I165="",I165&lt;15,O165=""),"",O165+420)</f>
        <v/>
      </c>
      <c r="AF165" s="19" t="str">
        <f aca="false">IF(OR(I165="",I165&lt;16,O165=""),"",O165+450)</f>
        <v/>
      </c>
      <c r="AG165" s="19" t="str">
        <f aca="false">IF(OR(I165="",I165&lt;17,O165=""),"",O165+480)</f>
        <v/>
      </c>
      <c r="AH165" s="19" t="str">
        <f aca="false">IF(OR(I165="",I165&lt;18,O165=""),"",O165+510)</f>
        <v/>
      </c>
      <c r="AI165" s="19" t="str">
        <f aca="false">IF(OR(I165="",I165&lt;19,O165=""),"",O165+540)</f>
        <v/>
      </c>
      <c r="AJ165" s="19" t="str">
        <f aca="false">IF(OR(I165="",I165&lt;20,O165=""),"",O165+570)</f>
        <v/>
      </c>
      <c r="AK165" s="19" t="str">
        <f aca="false">IF(OR(I165="",I165&lt;21,O165=""),"",O165+600)</f>
        <v/>
      </c>
      <c r="AL165" s="19" t="str">
        <f aca="false">IF(OR(I165="",I165&lt;22,O165=""),"",O165+630)</f>
        <v/>
      </c>
      <c r="AM165" s="19" t="str">
        <f aca="false">IF(OR(I165="",I165&lt;23,O165=""),"",O165+660)</f>
        <v/>
      </c>
      <c r="AN165" s="19" t="str">
        <f aca="false">IF(OR(I165="",I165&lt;24,O165=""),"",O165+690)</f>
        <v/>
      </c>
      <c r="AO165" s="15" t="str">
        <f aca="false">IF(J165="","",COUNTIF(Q165:AN165,TRUE())*J165)</f>
        <v/>
      </c>
      <c r="AP165" s="15" t="str">
        <f aca="false">IF(K165="","",K165-AO165)</f>
        <v/>
      </c>
      <c r="AQ165" s="15" t="str">
        <f aca="false">IF(K165="","",K165-F165-IF(N165="",0,N165))</f>
        <v/>
      </c>
    </row>
    <row r="166" customFormat="false" ht="15" hidden="false" customHeight="false" outlineLevel="0" collapsed="false">
      <c r="A166" s="4"/>
      <c r="B166" s="4"/>
      <c r="C166" s="4"/>
      <c r="D166" s="5"/>
      <c r="E166" s="5"/>
      <c r="F166" s="6"/>
      <c r="G166" s="4"/>
      <c r="H166" s="4"/>
      <c r="I166" s="4"/>
      <c r="J166" s="6"/>
      <c r="K166" s="7" t="str">
        <f aca="false">IF(OR(I166="",J166=""),"",I166*J166)</f>
        <v/>
      </c>
      <c r="L166" s="4"/>
      <c r="M166" s="8"/>
      <c r="N166" s="7" t="str">
        <f aca="false">IF(OR(L166="",M166="",K166=""),"",IF(L166="GANANCIA",(K166-F166)*M166,IF(L166="BRUTO",K166*M166,"")))</f>
        <v/>
      </c>
      <c r="O166" s="9" t="str">
        <f aca="false">IF(D166="","",D166+30)</f>
        <v/>
      </c>
      <c r="P166" s="10" t="str">
        <f aca="false">IF(I166="","",IF(COUNTIF(Q166:AN166,TRUE())&gt;=I166,"PAGADO",IF(COUNTIF(Q166:AN166,TRUE())&gt;0,"PARCIAL","VIGENTE")))</f>
        <v/>
      </c>
      <c r="Q166" s="11" t="str">
        <f aca="false">IF(OR(I166="",I166&lt;1,O166=""),"",O166+0)</f>
        <v/>
      </c>
      <c r="R166" s="11" t="str">
        <f aca="false">IF(OR(I166="",I166&lt;2,O166=""),"",O166+30)</f>
        <v/>
      </c>
      <c r="S166" s="11" t="str">
        <f aca="false">IF(OR(I166="",I166&lt;3,O166=""),"",O166+60)</f>
        <v/>
      </c>
      <c r="T166" s="11" t="str">
        <f aca="false">IF(OR(I166="",I166&lt;4,O166=""),"",O166+90)</f>
        <v/>
      </c>
      <c r="U166" s="11" t="str">
        <f aca="false">IF(OR(I166="",I166&lt;5,O166=""),"",O166+120)</f>
        <v/>
      </c>
      <c r="V166" s="11" t="str">
        <f aca="false">IF(OR(I166="",I166&lt;6,O166=""),"",O166+150)</f>
        <v/>
      </c>
      <c r="W166" s="11" t="str">
        <f aca="false">IF(OR(I166="",I166&lt;7,O166=""),"",O166+180)</f>
        <v/>
      </c>
      <c r="X166" s="11" t="str">
        <f aca="false">IF(OR(I166="",I166&lt;8,O166=""),"",O166+210)</f>
        <v/>
      </c>
      <c r="Y166" s="11" t="str">
        <f aca="false">IF(OR(I166="",I166&lt;9,O166=""),"",O166+240)</f>
        <v/>
      </c>
      <c r="Z166" s="11" t="str">
        <f aca="false">IF(OR(I166="",I166&lt;10,O166=""),"",O166+270)</f>
        <v/>
      </c>
      <c r="AA166" s="11" t="str">
        <f aca="false">IF(OR(I166="",I166&lt;11,O166=""),"",O166+300)</f>
        <v/>
      </c>
      <c r="AB166" s="11" t="str">
        <f aca="false">IF(OR(I166="",I166&lt;12,O166=""),"",O166+330)</f>
        <v/>
      </c>
      <c r="AC166" s="11" t="str">
        <f aca="false">IF(OR(I166="",I166&lt;13,O166=""),"",O166+360)</f>
        <v/>
      </c>
      <c r="AD166" s="11" t="str">
        <f aca="false">IF(OR(I166="",I166&lt;14,O166=""),"",O166+390)</f>
        <v/>
      </c>
      <c r="AE166" s="11" t="str">
        <f aca="false">IF(OR(I166="",I166&lt;15,O166=""),"",O166+420)</f>
        <v/>
      </c>
      <c r="AF166" s="11" t="str">
        <f aca="false">IF(OR(I166="",I166&lt;16,O166=""),"",O166+450)</f>
        <v/>
      </c>
      <c r="AG166" s="11" t="str">
        <f aca="false">IF(OR(I166="",I166&lt;17,O166=""),"",O166+480)</f>
        <v/>
      </c>
      <c r="AH166" s="11" t="str">
        <f aca="false">IF(OR(I166="",I166&lt;18,O166=""),"",O166+510)</f>
        <v/>
      </c>
      <c r="AI166" s="11" t="str">
        <f aca="false">IF(OR(I166="",I166&lt;19,O166=""),"",O166+540)</f>
        <v/>
      </c>
      <c r="AJ166" s="11" t="str">
        <f aca="false">IF(OR(I166="",I166&lt;20,O166=""),"",O166+570)</f>
        <v/>
      </c>
      <c r="AK166" s="11" t="str">
        <f aca="false">IF(OR(I166="",I166&lt;21,O166=""),"",O166+600)</f>
        <v/>
      </c>
      <c r="AL166" s="11" t="str">
        <f aca="false">IF(OR(I166="",I166&lt;22,O166=""),"",O166+630)</f>
        <v/>
      </c>
      <c r="AM166" s="11" t="str">
        <f aca="false">IF(OR(I166="",I166&lt;23,O166=""),"",O166+660)</f>
        <v/>
      </c>
      <c r="AN166" s="11" t="str">
        <f aca="false">IF(OR(I166="",I166&lt;24,O166=""),"",O166+690)</f>
        <v/>
      </c>
      <c r="AO166" s="7" t="str">
        <f aca="false">IF(J166="","",COUNTIF(Q166:AN166,TRUE())*J166)</f>
        <v/>
      </c>
      <c r="AP166" s="7" t="str">
        <f aca="false">IF(K166="","",K166-AO166)</f>
        <v/>
      </c>
      <c r="AQ166" s="7" t="str">
        <f aca="false">IF(K166="","",K166-F166-IF(N166="",0,N166))</f>
        <v/>
      </c>
    </row>
    <row r="167" customFormat="false" ht="15" hidden="false" customHeight="false" outlineLevel="0" collapsed="false">
      <c r="A167" s="12"/>
      <c r="B167" s="12"/>
      <c r="C167" s="12"/>
      <c r="D167" s="13"/>
      <c r="E167" s="13"/>
      <c r="F167" s="14"/>
      <c r="G167" s="12"/>
      <c r="H167" s="12"/>
      <c r="I167" s="12"/>
      <c r="J167" s="14"/>
      <c r="K167" s="15" t="str">
        <f aca="false">IF(OR(I167="",J167=""),"",I167*J167)</f>
        <v/>
      </c>
      <c r="L167" s="12"/>
      <c r="M167" s="16"/>
      <c r="N167" s="15" t="str">
        <f aca="false">IF(OR(L167="",M167="",K167=""),"",IF(L167="GANANCIA",(K167-F167)*M167,IF(L167="BRUTO",K167*M167,"")))</f>
        <v/>
      </c>
      <c r="O167" s="17" t="str">
        <f aca="false">IF(D167="","",D167+30)</f>
        <v/>
      </c>
      <c r="P167" s="18" t="str">
        <f aca="false">IF(I167="","",IF(COUNTIF(Q167:AN167,TRUE())&gt;=I167,"PAGADO",IF(COUNTIF(Q167:AN167,TRUE())&gt;0,"PARCIAL","VIGENTE")))</f>
        <v/>
      </c>
      <c r="Q167" s="19" t="str">
        <f aca="false">IF(OR(I167="",I167&lt;1,O167=""),"",O167+0)</f>
        <v/>
      </c>
      <c r="R167" s="19" t="str">
        <f aca="false">IF(OR(I167="",I167&lt;2,O167=""),"",O167+30)</f>
        <v/>
      </c>
      <c r="S167" s="19" t="str">
        <f aca="false">IF(OR(I167="",I167&lt;3,O167=""),"",O167+60)</f>
        <v/>
      </c>
      <c r="T167" s="19" t="str">
        <f aca="false">IF(OR(I167="",I167&lt;4,O167=""),"",O167+90)</f>
        <v/>
      </c>
      <c r="U167" s="19" t="str">
        <f aca="false">IF(OR(I167="",I167&lt;5,O167=""),"",O167+120)</f>
        <v/>
      </c>
      <c r="V167" s="19" t="str">
        <f aca="false">IF(OR(I167="",I167&lt;6,O167=""),"",O167+150)</f>
        <v/>
      </c>
      <c r="W167" s="19" t="str">
        <f aca="false">IF(OR(I167="",I167&lt;7,O167=""),"",O167+180)</f>
        <v/>
      </c>
      <c r="X167" s="19" t="str">
        <f aca="false">IF(OR(I167="",I167&lt;8,O167=""),"",O167+210)</f>
        <v/>
      </c>
      <c r="Y167" s="19" t="str">
        <f aca="false">IF(OR(I167="",I167&lt;9,O167=""),"",O167+240)</f>
        <v/>
      </c>
      <c r="Z167" s="19" t="str">
        <f aca="false">IF(OR(I167="",I167&lt;10,O167=""),"",O167+270)</f>
        <v/>
      </c>
      <c r="AA167" s="19" t="str">
        <f aca="false">IF(OR(I167="",I167&lt;11,O167=""),"",O167+300)</f>
        <v/>
      </c>
      <c r="AB167" s="19" t="str">
        <f aca="false">IF(OR(I167="",I167&lt;12,O167=""),"",O167+330)</f>
        <v/>
      </c>
      <c r="AC167" s="19" t="str">
        <f aca="false">IF(OR(I167="",I167&lt;13,O167=""),"",O167+360)</f>
        <v/>
      </c>
      <c r="AD167" s="19" t="str">
        <f aca="false">IF(OR(I167="",I167&lt;14,O167=""),"",O167+390)</f>
        <v/>
      </c>
      <c r="AE167" s="19" t="str">
        <f aca="false">IF(OR(I167="",I167&lt;15,O167=""),"",O167+420)</f>
        <v/>
      </c>
      <c r="AF167" s="19" t="str">
        <f aca="false">IF(OR(I167="",I167&lt;16,O167=""),"",O167+450)</f>
        <v/>
      </c>
      <c r="AG167" s="19" t="str">
        <f aca="false">IF(OR(I167="",I167&lt;17,O167=""),"",O167+480)</f>
        <v/>
      </c>
      <c r="AH167" s="19" t="str">
        <f aca="false">IF(OR(I167="",I167&lt;18,O167=""),"",O167+510)</f>
        <v/>
      </c>
      <c r="AI167" s="19" t="str">
        <f aca="false">IF(OR(I167="",I167&lt;19,O167=""),"",O167+540)</f>
        <v/>
      </c>
      <c r="AJ167" s="19" t="str">
        <f aca="false">IF(OR(I167="",I167&lt;20,O167=""),"",O167+570)</f>
        <v/>
      </c>
      <c r="AK167" s="19" t="str">
        <f aca="false">IF(OR(I167="",I167&lt;21,O167=""),"",O167+600)</f>
        <v/>
      </c>
      <c r="AL167" s="19" t="str">
        <f aca="false">IF(OR(I167="",I167&lt;22,O167=""),"",O167+630)</f>
        <v/>
      </c>
      <c r="AM167" s="19" t="str">
        <f aca="false">IF(OR(I167="",I167&lt;23,O167=""),"",O167+660)</f>
        <v/>
      </c>
      <c r="AN167" s="19" t="str">
        <f aca="false">IF(OR(I167="",I167&lt;24,O167=""),"",O167+690)</f>
        <v/>
      </c>
      <c r="AO167" s="15" t="str">
        <f aca="false">IF(J167="","",COUNTIF(Q167:AN167,TRUE())*J167)</f>
        <v/>
      </c>
      <c r="AP167" s="15" t="str">
        <f aca="false">IF(K167="","",K167-AO167)</f>
        <v/>
      </c>
      <c r="AQ167" s="15" t="str">
        <f aca="false">IF(K167="","",K167-F167-IF(N167="",0,N167))</f>
        <v/>
      </c>
    </row>
    <row r="168" customFormat="false" ht="15" hidden="false" customHeight="false" outlineLevel="0" collapsed="false">
      <c r="A168" s="4"/>
      <c r="B168" s="4"/>
      <c r="C168" s="4"/>
      <c r="D168" s="5"/>
      <c r="E168" s="5"/>
      <c r="F168" s="6"/>
      <c r="G168" s="4"/>
      <c r="H168" s="4"/>
      <c r="I168" s="4"/>
      <c r="J168" s="6"/>
      <c r="K168" s="7" t="str">
        <f aca="false">IF(OR(I168="",J168=""),"",I168*J168)</f>
        <v/>
      </c>
      <c r="L168" s="4"/>
      <c r="M168" s="8"/>
      <c r="N168" s="7" t="str">
        <f aca="false">IF(OR(L168="",M168="",K168=""),"",IF(L168="GANANCIA",(K168-F168)*M168,IF(L168="BRUTO",K168*M168,"")))</f>
        <v/>
      </c>
      <c r="O168" s="9" t="str">
        <f aca="false">IF(D168="","",D168+30)</f>
        <v/>
      </c>
      <c r="P168" s="10" t="str">
        <f aca="false">IF(I168="","",IF(COUNTIF(Q168:AN168,TRUE())&gt;=I168,"PAGADO",IF(COUNTIF(Q168:AN168,TRUE())&gt;0,"PARCIAL","VIGENTE")))</f>
        <v/>
      </c>
      <c r="Q168" s="11" t="str">
        <f aca="false">IF(OR(I168="",I168&lt;1,O168=""),"",O168+0)</f>
        <v/>
      </c>
      <c r="R168" s="11" t="str">
        <f aca="false">IF(OR(I168="",I168&lt;2,O168=""),"",O168+30)</f>
        <v/>
      </c>
      <c r="S168" s="11" t="str">
        <f aca="false">IF(OR(I168="",I168&lt;3,O168=""),"",O168+60)</f>
        <v/>
      </c>
      <c r="T168" s="11" t="str">
        <f aca="false">IF(OR(I168="",I168&lt;4,O168=""),"",O168+90)</f>
        <v/>
      </c>
      <c r="U168" s="11" t="str">
        <f aca="false">IF(OR(I168="",I168&lt;5,O168=""),"",O168+120)</f>
        <v/>
      </c>
      <c r="V168" s="11" t="str">
        <f aca="false">IF(OR(I168="",I168&lt;6,O168=""),"",O168+150)</f>
        <v/>
      </c>
      <c r="W168" s="11" t="str">
        <f aca="false">IF(OR(I168="",I168&lt;7,O168=""),"",O168+180)</f>
        <v/>
      </c>
      <c r="X168" s="11" t="str">
        <f aca="false">IF(OR(I168="",I168&lt;8,O168=""),"",O168+210)</f>
        <v/>
      </c>
      <c r="Y168" s="11" t="str">
        <f aca="false">IF(OR(I168="",I168&lt;9,O168=""),"",O168+240)</f>
        <v/>
      </c>
      <c r="Z168" s="11" t="str">
        <f aca="false">IF(OR(I168="",I168&lt;10,O168=""),"",O168+270)</f>
        <v/>
      </c>
      <c r="AA168" s="11" t="str">
        <f aca="false">IF(OR(I168="",I168&lt;11,O168=""),"",O168+300)</f>
        <v/>
      </c>
      <c r="AB168" s="11" t="str">
        <f aca="false">IF(OR(I168="",I168&lt;12,O168=""),"",O168+330)</f>
        <v/>
      </c>
      <c r="AC168" s="11" t="str">
        <f aca="false">IF(OR(I168="",I168&lt;13,O168=""),"",O168+360)</f>
        <v/>
      </c>
      <c r="AD168" s="11" t="str">
        <f aca="false">IF(OR(I168="",I168&lt;14,O168=""),"",O168+390)</f>
        <v/>
      </c>
      <c r="AE168" s="11" t="str">
        <f aca="false">IF(OR(I168="",I168&lt;15,O168=""),"",O168+420)</f>
        <v/>
      </c>
      <c r="AF168" s="11" t="str">
        <f aca="false">IF(OR(I168="",I168&lt;16,O168=""),"",O168+450)</f>
        <v/>
      </c>
      <c r="AG168" s="11" t="str">
        <f aca="false">IF(OR(I168="",I168&lt;17,O168=""),"",O168+480)</f>
        <v/>
      </c>
      <c r="AH168" s="11" t="str">
        <f aca="false">IF(OR(I168="",I168&lt;18,O168=""),"",O168+510)</f>
        <v/>
      </c>
      <c r="AI168" s="11" t="str">
        <f aca="false">IF(OR(I168="",I168&lt;19,O168=""),"",O168+540)</f>
        <v/>
      </c>
      <c r="AJ168" s="11" t="str">
        <f aca="false">IF(OR(I168="",I168&lt;20,O168=""),"",O168+570)</f>
        <v/>
      </c>
      <c r="AK168" s="11" t="str">
        <f aca="false">IF(OR(I168="",I168&lt;21,O168=""),"",O168+600)</f>
        <v/>
      </c>
      <c r="AL168" s="11" t="str">
        <f aca="false">IF(OR(I168="",I168&lt;22,O168=""),"",O168+630)</f>
        <v/>
      </c>
      <c r="AM168" s="11" t="str">
        <f aca="false">IF(OR(I168="",I168&lt;23,O168=""),"",O168+660)</f>
        <v/>
      </c>
      <c r="AN168" s="11" t="str">
        <f aca="false">IF(OR(I168="",I168&lt;24,O168=""),"",O168+690)</f>
        <v/>
      </c>
      <c r="AO168" s="7" t="str">
        <f aca="false">IF(J168="","",COUNTIF(Q168:AN168,TRUE())*J168)</f>
        <v/>
      </c>
      <c r="AP168" s="7" t="str">
        <f aca="false">IF(K168="","",K168-AO168)</f>
        <v/>
      </c>
      <c r="AQ168" s="7" t="str">
        <f aca="false">IF(K168="","",K168-F168-IF(N168="",0,N168))</f>
        <v/>
      </c>
    </row>
    <row r="169" customFormat="false" ht="15" hidden="false" customHeight="false" outlineLevel="0" collapsed="false">
      <c r="A169" s="12"/>
      <c r="B169" s="12"/>
      <c r="C169" s="12"/>
      <c r="D169" s="13"/>
      <c r="E169" s="13"/>
      <c r="F169" s="14"/>
      <c r="G169" s="12"/>
      <c r="H169" s="12"/>
      <c r="I169" s="12"/>
      <c r="J169" s="14"/>
      <c r="K169" s="15" t="str">
        <f aca="false">IF(OR(I169="",J169=""),"",I169*J169)</f>
        <v/>
      </c>
      <c r="L169" s="12"/>
      <c r="M169" s="16"/>
      <c r="N169" s="15" t="str">
        <f aca="false">IF(OR(L169="",M169="",K169=""),"",IF(L169="GANANCIA",(K169-F169)*M169,IF(L169="BRUTO",K169*M169,"")))</f>
        <v/>
      </c>
      <c r="O169" s="17" t="str">
        <f aca="false">IF(D169="","",D169+30)</f>
        <v/>
      </c>
      <c r="P169" s="18" t="str">
        <f aca="false">IF(I169="","",IF(COUNTIF(Q169:AN169,TRUE())&gt;=I169,"PAGADO",IF(COUNTIF(Q169:AN169,TRUE())&gt;0,"PARCIAL","VIGENTE")))</f>
        <v/>
      </c>
      <c r="Q169" s="19" t="str">
        <f aca="false">IF(OR(I169="",I169&lt;1,O169=""),"",O169+0)</f>
        <v/>
      </c>
      <c r="R169" s="19" t="str">
        <f aca="false">IF(OR(I169="",I169&lt;2,O169=""),"",O169+30)</f>
        <v/>
      </c>
      <c r="S169" s="19" t="str">
        <f aca="false">IF(OR(I169="",I169&lt;3,O169=""),"",O169+60)</f>
        <v/>
      </c>
      <c r="T169" s="19" t="str">
        <f aca="false">IF(OR(I169="",I169&lt;4,O169=""),"",O169+90)</f>
        <v/>
      </c>
      <c r="U169" s="19" t="str">
        <f aca="false">IF(OR(I169="",I169&lt;5,O169=""),"",O169+120)</f>
        <v/>
      </c>
      <c r="V169" s="19" t="str">
        <f aca="false">IF(OR(I169="",I169&lt;6,O169=""),"",O169+150)</f>
        <v/>
      </c>
      <c r="W169" s="19" t="str">
        <f aca="false">IF(OR(I169="",I169&lt;7,O169=""),"",O169+180)</f>
        <v/>
      </c>
      <c r="X169" s="19" t="str">
        <f aca="false">IF(OR(I169="",I169&lt;8,O169=""),"",O169+210)</f>
        <v/>
      </c>
      <c r="Y169" s="19" t="str">
        <f aca="false">IF(OR(I169="",I169&lt;9,O169=""),"",O169+240)</f>
        <v/>
      </c>
      <c r="Z169" s="19" t="str">
        <f aca="false">IF(OR(I169="",I169&lt;10,O169=""),"",O169+270)</f>
        <v/>
      </c>
      <c r="AA169" s="19" t="str">
        <f aca="false">IF(OR(I169="",I169&lt;11,O169=""),"",O169+300)</f>
        <v/>
      </c>
      <c r="AB169" s="19" t="str">
        <f aca="false">IF(OR(I169="",I169&lt;12,O169=""),"",O169+330)</f>
        <v/>
      </c>
      <c r="AC169" s="19" t="str">
        <f aca="false">IF(OR(I169="",I169&lt;13,O169=""),"",O169+360)</f>
        <v/>
      </c>
      <c r="AD169" s="19" t="str">
        <f aca="false">IF(OR(I169="",I169&lt;14,O169=""),"",O169+390)</f>
        <v/>
      </c>
      <c r="AE169" s="19" t="str">
        <f aca="false">IF(OR(I169="",I169&lt;15,O169=""),"",O169+420)</f>
        <v/>
      </c>
      <c r="AF169" s="19" t="str">
        <f aca="false">IF(OR(I169="",I169&lt;16,O169=""),"",O169+450)</f>
        <v/>
      </c>
      <c r="AG169" s="19" t="str">
        <f aca="false">IF(OR(I169="",I169&lt;17,O169=""),"",O169+480)</f>
        <v/>
      </c>
      <c r="AH169" s="19" t="str">
        <f aca="false">IF(OR(I169="",I169&lt;18,O169=""),"",O169+510)</f>
        <v/>
      </c>
      <c r="AI169" s="19" t="str">
        <f aca="false">IF(OR(I169="",I169&lt;19,O169=""),"",O169+540)</f>
        <v/>
      </c>
      <c r="AJ169" s="19" t="str">
        <f aca="false">IF(OR(I169="",I169&lt;20,O169=""),"",O169+570)</f>
        <v/>
      </c>
      <c r="AK169" s="19" t="str">
        <f aca="false">IF(OR(I169="",I169&lt;21,O169=""),"",O169+600)</f>
        <v/>
      </c>
      <c r="AL169" s="19" t="str">
        <f aca="false">IF(OR(I169="",I169&lt;22,O169=""),"",O169+630)</f>
        <v/>
      </c>
      <c r="AM169" s="19" t="str">
        <f aca="false">IF(OR(I169="",I169&lt;23,O169=""),"",O169+660)</f>
        <v/>
      </c>
      <c r="AN169" s="19" t="str">
        <f aca="false">IF(OR(I169="",I169&lt;24,O169=""),"",O169+690)</f>
        <v/>
      </c>
      <c r="AO169" s="15" t="str">
        <f aca="false">IF(J169="","",COUNTIF(Q169:AN169,TRUE())*J169)</f>
        <v/>
      </c>
      <c r="AP169" s="15" t="str">
        <f aca="false">IF(K169="","",K169-AO169)</f>
        <v/>
      </c>
      <c r="AQ169" s="15" t="str">
        <f aca="false">IF(K169="","",K169-F169-IF(N169="",0,N169))</f>
        <v/>
      </c>
    </row>
    <row r="170" customFormat="false" ht="15" hidden="false" customHeight="false" outlineLevel="0" collapsed="false">
      <c r="A170" s="4"/>
      <c r="B170" s="4"/>
      <c r="C170" s="4"/>
      <c r="D170" s="5"/>
      <c r="E170" s="5"/>
      <c r="F170" s="6"/>
      <c r="G170" s="4"/>
      <c r="H170" s="4"/>
      <c r="I170" s="4"/>
      <c r="J170" s="6"/>
      <c r="K170" s="7" t="str">
        <f aca="false">IF(OR(I170="",J170=""),"",I170*J170)</f>
        <v/>
      </c>
      <c r="L170" s="4"/>
      <c r="M170" s="8"/>
      <c r="N170" s="7" t="str">
        <f aca="false">IF(OR(L170="",M170="",K170=""),"",IF(L170="GANANCIA",(K170-F170)*M170,IF(L170="BRUTO",K170*M170,"")))</f>
        <v/>
      </c>
      <c r="O170" s="9" t="str">
        <f aca="false">IF(D170="","",D170+30)</f>
        <v/>
      </c>
      <c r="P170" s="10" t="str">
        <f aca="false">IF(I170="","",IF(COUNTIF(Q170:AN170,TRUE())&gt;=I170,"PAGADO",IF(COUNTIF(Q170:AN170,TRUE())&gt;0,"PARCIAL","VIGENTE")))</f>
        <v/>
      </c>
      <c r="Q170" s="11" t="str">
        <f aca="false">IF(OR(I170="",I170&lt;1,O170=""),"",O170+0)</f>
        <v/>
      </c>
      <c r="R170" s="11" t="str">
        <f aca="false">IF(OR(I170="",I170&lt;2,O170=""),"",O170+30)</f>
        <v/>
      </c>
      <c r="S170" s="11" t="str">
        <f aca="false">IF(OR(I170="",I170&lt;3,O170=""),"",O170+60)</f>
        <v/>
      </c>
      <c r="T170" s="11" t="str">
        <f aca="false">IF(OR(I170="",I170&lt;4,O170=""),"",O170+90)</f>
        <v/>
      </c>
      <c r="U170" s="11" t="str">
        <f aca="false">IF(OR(I170="",I170&lt;5,O170=""),"",O170+120)</f>
        <v/>
      </c>
      <c r="V170" s="11" t="str">
        <f aca="false">IF(OR(I170="",I170&lt;6,O170=""),"",O170+150)</f>
        <v/>
      </c>
      <c r="W170" s="11" t="str">
        <f aca="false">IF(OR(I170="",I170&lt;7,O170=""),"",O170+180)</f>
        <v/>
      </c>
      <c r="X170" s="11" t="str">
        <f aca="false">IF(OR(I170="",I170&lt;8,O170=""),"",O170+210)</f>
        <v/>
      </c>
      <c r="Y170" s="11" t="str">
        <f aca="false">IF(OR(I170="",I170&lt;9,O170=""),"",O170+240)</f>
        <v/>
      </c>
      <c r="Z170" s="11" t="str">
        <f aca="false">IF(OR(I170="",I170&lt;10,O170=""),"",O170+270)</f>
        <v/>
      </c>
      <c r="AA170" s="11" t="str">
        <f aca="false">IF(OR(I170="",I170&lt;11,O170=""),"",O170+300)</f>
        <v/>
      </c>
      <c r="AB170" s="11" t="str">
        <f aca="false">IF(OR(I170="",I170&lt;12,O170=""),"",O170+330)</f>
        <v/>
      </c>
      <c r="AC170" s="11" t="str">
        <f aca="false">IF(OR(I170="",I170&lt;13,O170=""),"",O170+360)</f>
        <v/>
      </c>
      <c r="AD170" s="11" t="str">
        <f aca="false">IF(OR(I170="",I170&lt;14,O170=""),"",O170+390)</f>
        <v/>
      </c>
      <c r="AE170" s="11" t="str">
        <f aca="false">IF(OR(I170="",I170&lt;15,O170=""),"",O170+420)</f>
        <v/>
      </c>
      <c r="AF170" s="11" t="str">
        <f aca="false">IF(OR(I170="",I170&lt;16,O170=""),"",O170+450)</f>
        <v/>
      </c>
      <c r="AG170" s="11" t="str">
        <f aca="false">IF(OR(I170="",I170&lt;17,O170=""),"",O170+480)</f>
        <v/>
      </c>
      <c r="AH170" s="11" t="str">
        <f aca="false">IF(OR(I170="",I170&lt;18,O170=""),"",O170+510)</f>
        <v/>
      </c>
      <c r="AI170" s="11" t="str">
        <f aca="false">IF(OR(I170="",I170&lt;19,O170=""),"",O170+540)</f>
        <v/>
      </c>
      <c r="AJ170" s="11" t="str">
        <f aca="false">IF(OR(I170="",I170&lt;20,O170=""),"",O170+570)</f>
        <v/>
      </c>
      <c r="AK170" s="11" t="str">
        <f aca="false">IF(OR(I170="",I170&lt;21,O170=""),"",O170+600)</f>
        <v/>
      </c>
      <c r="AL170" s="11" t="str">
        <f aca="false">IF(OR(I170="",I170&lt;22,O170=""),"",O170+630)</f>
        <v/>
      </c>
      <c r="AM170" s="11" t="str">
        <f aca="false">IF(OR(I170="",I170&lt;23,O170=""),"",O170+660)</f>
        <v/>
      </c>
      <c r="AN170" s="11" t="str">
        <f aca="false">IF(OR(I170="",I170&lt;24,O170=""),"",O170+690)</f>
        <v/>
      </c>
      <c r="AO170" s="7" t="str">
        <f aca="false">IF(J170="","",COUNTIF(Q170:AN170,TRUE())*J170)</f>
        <v/>
      </c>
      <c r="AP170" s="7" t="str">
        <f aca="false">IF(K170="","",K170-AO170)</f>
        <v/>
      </c>
      <c r="AQ170" s="7" t="str">
        <f aca="false">IF(K170="","",K170-F170-IF(N170="",0,N170))</f>
        <v/>
      </c>
    </row>
    <row r="171" customFormat="false" ht="15" hidden="false" customHeight="false" outlineLevel="0" collapsed="false">
      <c r="A171" s="12"/>
      <c r="B171" s="12"/>
      <c r="C171" s="12"/>
      <c r="D171" s="13"/>
      <c r="E171" s="13"/>
      <c r="F171" s="14"/>
      <c r="G171" s="12"/>
      <c r="H171" s="12"/>
      <c r="I171" s="12"/>
      <c r="J171" s="14"/>
      <c r="K171" s="15" t="str">
        <f aca="false">IF(OR(I171="",J171=""),"",I171*J171)</f>
        <v/>
      </c>
      <c r="L171" s="12"/>
      <c r="M171" s="16"/>
      <c r="N171" s="15" t="str">
        <f aca="false">IF(OR(L171="",M171="",K171=""),"",IF(L171="GANANCIA",(K171-F171)*M171,IF(L171="BRUTO",K171*M171,"")))</f>
        <v/>
      </c>
      <c r="O171" s="17" t="str">
        <f aca="false">IF(D171="","",D171+30)</f>
        <v/>
      </c>
      <c r="P171" s="18" t="str">
        <f aca="false">IF(I171="","",IF(COUNTIF(Q171:AN171,TRUE())&gt;=I171,"PAGADO",IF(COUNTIF(Q171:AN171,TRUE())&gt;0,"PARCIAL","VIGENTE")))</f>
        <v/>
      </c>
      <c r="Q171" s="19" t="str">
        <f aca="false">IF(OR(I171="",I171&lt;1,O171=""),"",O171+0)</f>
        <v/>
      </c>
      <c r="R171" s="19" t="str">
        <f aca="false">IF(OR(I171="",I171&lt;2,O171=""),"",O171+30)</f>
        <v/>
      </c>
      <c r="S171" s="19" t="str">
        <f aca="false">IF(OR(I171="",I171&lt;3,O171=""),"",O171+60)</f>
        <v/>
      </c>
      <c r="T171" s="19" t="str">
        <f aca="false">IF(OR(I171="",I171&lt;4,O171=""),"",O171+90)</f>
        <v/>
      </c>
      <c r="U171" s="19" t="str">
        <f aca="false">IF(OR(I171="",I171&lt;5,O171=""),"",O171+120)</f>
        <v/>
      </c>
      <c r="V171" s="19" t="str">
        <f aca="false">IF(OR(I171="",I171&lt;6,O171=""),"",O171+150)</f>
        <v/>
      </c>
      <c r="W171" s="19" t="str">
        <f aca="false">IF(OR(I171="",I171&lt;7,O171=""),"",O171+180)</f>
        <v/>
      </c>
      <c r="X171" s="19" t="str">
        <f aca="false">IF(OR(I171="",I171&lt;8,O171=""),"",O171+210)</f>
        <v/>
      </c>
      <c r="Y171" s="19" t="str">
        <f aca="false">IF(OR(I171="",I171&lt;9,O171=""),"",O171+240)</f>
        <v/>
      </c>
      <c r="Z171" s="19" t="str">
        <f aca="false">IF(OR(I171="",I171&lt;10,O171=""),"",O171+270)</f>
        <v/>
      </c>
      <c r="AA171" s="19" t="str">
        <f aca="false">IF(OR(I171="",I171&lt;11,O171=""),"",O171+300)</f>
        <v/>
      </c>
      <c r="AB171" s="19" t="str">
        <f aca="false">IF(OR(I171="",I171&lt;12,O171=""),"",O171+330)</f>
        <v/>
      </c>
      <c r="AC171" s="19" t="str">
        <f aca="false">IF(OR(I171="",I171&lt;13,O171=""),"",O171+360)</f>
        <v/>
      </c>
      <c r="AD171" s="19" t="str">
        <f aca="false">IF(OR(I171="",I171&lt;14,O171=""),"",O171+390)</f>
        <v/>
      </c>
      <c r="AE171" s="19" t="str">
        <f aca="false">IF(OR(I171="",I171&lt;15,O171=""),"",O171+420)</f>
        <v/>
      </c>
      <c r="AF171" s="19" t="str">
        <f aca="false">IF(OR(I171="",I171&lt;16,O171=""),"",O171+450)</f>
        <v/>
      </c>
      <c r="AG171" s="19" t="str">
        <f aca="false">IF(OR(I171="",I171&lt;17,O171=""),"",O171+480)</f>
        <v/>
      </c>
      <c r="AH171" s="19" t="str">
        <f aca="false">IF(OR(I171="",I171&lt;18,O171=""),"",O171+510)</f>
        <v/>
      </c>
      <c r="AI171" s="19" t="str">
        <f aca="false">IF(OR(I171="",I171&lt;19,O171=""),"",O171+540)</f>
        <v/>
      </c>
      <c r="AJ171" s="19" t="str">
        <f aca="false">IF(OR(I171="",I171&lt;20,O171=""),"",O171+570)</f>
        <v/>
      </c>
      <c r="AK171" s="19" t="str">
        <f aca="false">IF(OR(I171="",I171&lt;21,O171=""),"",O171+600)</f>
        <v/>
      </c>
      <c r="AL171" s="19" t="str">
        <f aca="false">IF(OR(I171="",I171&lt;22,O171=""),"",O171+630)</f>
        <v/>
      </c>
      <c r="AM171" s="19" t="str">
        <f aca="false">IF(OR(I171="",I171&lt;23,O171=""),"",O171+660)</f>
        <v/>
      </c>
      <c r="AN171" s="19" t="str">
        <f aca="false">IF(OR(I171="",I171&lt;24,O171=""),"",O171+690)</f>
        <v/>
      </c>
      <c r="AO171" s="15" t="str">
        <f aca="false">IF(J171="","",COUNTIF(Q171:AN171,TRUE())*J171)</f>
        <v/>
      </c>
      <c r="AP171" s="15" t="str">
        <f aca="false">IF(K171="","",K171-AO171)</f>
        <v/>
      </c>
      <c r="AQ171" s="15" t="str">
        <f aca="false">IF(K171="","",K171-F171-IF(N171="",0,N171))</f>
        <v/>
      </c>
    </row>
    <row r="172" customFormat="false" ht="15" hidden="false" customHeight="false" outlineLevel="0" collapsed="false">
      <c r="A172" s="4"/>
      <c r="B172" s="4"/>
      <c r="C172" s="4"/>
      <c r="D172" s="5"/>
      <c r="E172" s="5"/>
      <c r="F172" s="6"/>
      <c r="G172" s="4"/>
      <c r="H172" s="4"/>
      <c r="I172" s="4"/>
      <c r="J172" s="6"/>
      <c r="K172" s="7" t="str">
        <f aca="false">IF(OR(I172="",J172=""),"",I172*J172)</f>
        <v/>
      </c>
      <c r="L172" s="4"/>
      <c r="M172" s="8"/>
      <c r="N172" s="7" t="str">
        <f aca="false">IF(OR(L172="",M172="",K172=""),"",IF(L172="GANANCIA",(K172-F172)*M172,IF(L172="BRUTO",K172*M172,"")))</f>
        <v/>
      </c>
      <c r="O172" s="9" t="str">
        <f aca="false">IF(D172="","",D172+30)</f>
        <v/>
      </c>
      <c r="P172" s="10" t="str">
        <f aca="false">IF(I172="","",IF(COUNTIF(Q172:AN172,TRUE())&gt;=I172,"PAGADO",IF(COUNTIF(Q172:AN172,TRUE())&gt;0,"PARCIAL","VIGENTE")))</f>
        <v/>
      </c>
      <c r="Q172" s="11" t="str">
        <f aca="false">IF(OR(I172="",I172&lt;1,O172=""),"",O172+0)</f>
        <v/>
      </c>
      <c r="R172" s="11" t="str">
        <f aca="false">IF(OR(I172="",I172&lt;2,O172=""),"",O172+30)</f>
        <v/>
      </c>
      <c r="S172" s="11" t="str">
        <f aca="false">IF(OR(I172="",I172&lt;3,O172=""),"",O172+60)</f>
        <v/>
      </c>
      <c r="T172" s="11" t="str">
        <f aca="false">IF(OR(I172="",I172&lt;4,O172=""),"",O172+90)</f>
        <v/>
      </c>
      <c r="U172" s="11" t="str">
        <f aca="false">IF(OR(I172="",I172&lt;5,O172=""),"",O172+120)</f>
        <v/>
      </c>
      <c r="V172" s="11" t="str">
        <f aca="false">IF(OR(I172="",I172&lt;6,O172=""),"",O172+150)</f>
        <v/>
      </c>
      <c r="W172" s="11" t="str">
        <f aca="false">IF(OR(I172="",I172&lt;7,O172=""),"",O172+180)</f>
        <v/>
      </c>
      <c r="X172" s="11" t="str">
        <f aca="false">IF(OR(I172="",I172&lt;8,O172=""),"",O172+210)</f>
        <v/>
      </c>
      <c r="Y172" s="11" t="str">
        <f aca="false">IF(OR(I172="",I172&lt;9,O172=""),"",O172+240)</f>
        <v/>
      </c>
      <c r="Z172" s="11" t="str">
        <f aca="false">IF(OR(I172="",I172&lt;10,O172=""),"",O172+270)</f>
        <v/>
      </c>
      <c r="AA172" s="11" t="str">
        <f aca="false">IF(OR(I172="",I172&lt;11,O172=""),"",O172+300)</f>
        <v/>
      </c>
      <c r="AB172" s="11" t="str">
        <f aca="false">IF(OR(I172="",I172&lt;12,O172=""),"",O172+330)</f>
        <v/>
      </c>
      <c r="AC172" s="11" t="str">
        <f aca="false">IF(OR(I172="",I172&lt;13,O172=""),"",O172+360)</f>
        <v/>
      </c>
      <c r="AD172" s="11" t="str">
        <f aca="false">IF(OR(I172="",I172&lt;14,O172=""),"",O172+390)</f>
        <v/>
      </c>
      <c r="AE172" s="11" t="str">
        <f aca="false">IF(OR(I172="",I172&lt;15,O172=""),"",O172+420)</f>
        <v/>
      </c>
      <c r="AF172" s="11" t="str">
        <f aca="false">IF(OR(I172="",I172&lt;16,O172=""),"",O172+450)</f>
        <v/>
      </c>
      <c r="AG172" s="11" t="str">
        <f aca="false">IF(OR(I172="",I172&lt;17,O172=""),"",O172+480)</f>
        <v/>
      </c>
      <c r="AH172" s="11" t="str">
        <f aca="false">IF(OR(I172="",I172&lt;18,O172=""),"",O172+510)</f>
        <v/>
      </c>
      <c r="AI172" s="11" t="str">
        <f aca="false">IF(OR(I172="",I172&lt;19,O172=""),"",O172+540)</f>
        <v/>
      </c>
      <c r="AJ172" s="11" t="str">
        <f aca="false">IF(OR(I172="",I172&lt;20,O172=""),"",O172+570)</f>
        <v/>
      </c>
      <c r="AK172" s="11" t="str">
        <f aca="false">IF(OR(I172="",I172&lt;21,O172=""),"",O172+600)</f>
        <v/>
      </c>
      <c r="AL172" s="11" t="str">
        <f aca="false">IF(OR(I172="",I172&lt;22,O172=""),"",O172+630)</f>
        <v/>
      </c>
      <c r="AM172" s="11" t="str">
        <f aca="false">IF(OR(I172="",I172&lt;23,O172=""),"",O172+660)</f>
        <v/>
      </c>
      <c r="AN172" s="11" t="str">
        <f aca="false">IF(OR(I172="",I172&lt;24,O172=""),"",O172+690)</f>
        <v/>
      </c>
      <c r="AO172" s="7" t="str">
        <f aca="false">IF(J172="","",COUNTIF(Q172:AN172,TRUE())*J172)</f>
        <v/>
      </c>
      <c r="AP172" s="7" t="str">
        <f aca="false">IF(K172="","",K172-AO172)</f>
        <v/>
      </c>
      <c r="AQ172" s="7" t="str">
        <f aca="false">IF(K172="","",K172-F172-IF(N172="",0,N172))</f>
        <v/>
      </c>
    </row>
    <row r="173" customFormat="false" ht="15" hidden="false" customHeight="false" outlineLevel="0" collapsed="false">
      <c r="A173" s="12"/>
      <c r="B173" s="12"/>
      <c r="C173" s="12"/>
      <c r="D173" s="13"/>
      <c r="E173" s="13"/>
      <c r="F173" s="14"/>
      <c r="G173" s="12"/>
      <c r="H173" s="12"/>
      <c r="I173" s="12"/>
      <c r="J173" s="14"/>
      <c r="K173" s="15" t="str">
        <f aca="false">IF(OR(I173="",J173=""),"",I173*J173)</f>
        <v/>
      </c>
      <c r="L173" s="12"/>
      <c r="M173" s="16"/>
      <c r="N173" s="15" t="str">
        <f aca="false">IF(OR(L173="",M173="",K173=""),"",IF(L173="GANANCIA",(K173-F173)*M173,IF(L173="BRUTO",K173*M173,"")))</f>
        <v/>
      </c>
      <c r="O173" s="17" t="str">
        <f aca="false">IF(D173="","",D173+30)</f>
        <v/>
      </c>
      <c r="P173" s="18" t="str">
        <f aca="false">IF(I173="","",IF(COUNTIF(Q173:AN173,TRUE())&gt;=I173,"PAGADO",IF(COUNTIF(Q173:AN173,TRUE())&gt;0,"PARCIAL","VIGENTE")))</f>
        <v/>
      </c>
      <c r="Q173" s="19" t="str">
        <f aca="false">IF(OR(I173="",I173&lt;1,O173=""),"",O173+0)</f>
        <v/>
      </c>
      <c r="R173" s="19" t="str">
        <f aca="false">IF(OR(I173="",I173&lt;2,O173=""),"",O173+30)</f>
        <v/>
      </c>
      <c r="S173" s="19" t="str">
        <f aca="false">IF(OR(I173="",I173&lt;3,O173=""),"",O173+60)</f>
        <v/>
      </c>
      <c r="T173" s="19" t="str">
        <f aca="false">IF(OR(I173="",I173&lt;4,O173=""),"",O173+90)</f>
        <v/>
      </c>
      <c r="U173" s="19" t="str">
        <f aca="false">IF(OR(I173="",I173&lt;5,O173=""),"",O173+120)</f>
        <v/>
      </c>
      <c r="V173" s="19" t="str">
        <f aca="false">IF(OR(I173="",I173&lt;6,O173=""),"",O173+150)</f>
        <v/>
      </c>
      <c r="W173" s="19" t="str">
        <f aca="false">IF(OR(I173="",I173&lt;7,O173=""),"",O173+180)</f>
        <v/>
      </c>
      <c r="X173" s="19" t="str">
        <f aca="false">IF(OR(I173="",I173&lt;8,O173=""),"",O173+210)</f>
        <v/>
      </c>
      <c r="Y173" s="19" t="str">
        <f aca="false">IF(OR(I173="",I173&lt;9,O173=""),"",O173+240)</f>
        <v/>
      </c>
      <c r="Z173" s="19" t="str">
        <f aca="false">IF(OR(I173="",I173&lt;10,O173=""),"",O173+270)</f>
        <v/>
      </c>
      <c r="AA173" s="19" t="str">
        <f aca="false">IF(OR(I173="",I173&lt;11,O173=""),"",O173+300)</f>
        <v/>
      </c>
      <c r="AB173" s="19" t="str">
        <f aca="false">IF(OR(I173="",I173&lt;12,O173=""),"",O173+330)</f>
        <v/>
      </c>
      <c r="AC173" s="19" t="str">
        <f aca="false">IF(OR(I173="",I173&lt;13,O173=""),"",O173+360)</f>
        <v/>
      </c>
      <c r="AD173" s="19" t="str">
        <f aca="false">IF(OR(I173="",I173&lt;14,O173=""),"",O173+390)</f>
        <v/>
      </c>
      <c r="AE173" s="19" t="str">
        <f aca="false">IF(OR(I173="",I173&lt;15,O173=""),"",O173+420)</f>
        <v/>
      </c>
      <c r="AF173" s="19" t="str">
        <f aca="false">IF(OR(I173="",I173&lt;16,O173=""),"",O173+450)</f>
        <v/>
      </c>
      <c r="AG173" s="19" t="str">
        <f aca="false">IF(OR(I173="",I173&lt;17,O173=""),"",O173+480)</f>
        <v/>
      </c>
      <c r="AH173" s="19" t="str">
        <f aca="false">IF(OR(I173="",I173&lt;18,O173=""),"",O173+510)</f>
        <v/>
      </c>
      <c r="AI173" s="19" t="str">
        <f aca="false">IF(OR(I173="",I173&lt;19,O173=""),"",O173+540)</f>
        <v/>
      </c>
      <c r="AJ173" s="19" t="str">
        <f aca="false">IF(OR(I173="",I173&lt;20,O173=""),"",O173+570)</f>
        <v/>
      </c>
      <c r="AK173" s="19" t="str">
        <f aca="false">IF(OR(I173="",I173&lt;21,O173=""),"",O173+600)</f>
        <v/>
      </c>
      <c r="AL173" s="19" t="str">
        <f aca="false">IF(OR(I173="",I173&lt;22,O173=""),"",O173+630)</f>
        <v/>
      </c>
      <c r="AM173" s="19" t="str">
        <f aca="false">IF(OR(I173="",I173&lt;23,O173=""),"",O173+660)</f>
        <v/>
      </c>
      <c r="AN173" s="19" t="str">
        <f aca="false">IF(OR(I173="",I173&lt;24,O173=""),"",O173+690)</f>
        <v/>
      </c>
      <c r="AO173" s="15" t="str">
        <f aca="false">IF(J173="","",COUNTIF(Q173:AN173,TRUE())*J173)</f>
        <v/>
      </c>
      <c r="AP173" s="15" t="str">
        <f aca="false">IF(K173="","",K173-AO173)</f>
        <v/>
      </c>
      <c r="AQ173" s="15" t="str">
        <f aca="false">IF(K173="","",K173-F173-IF(N173="",0,N173))</f>
        <v/>
      </c>
    </row>
    <row r="174" customFormat="false" ht="15" hidden="false" customHeight="false" outlineLevel="0" collapsed="false">
      <c r="A174" s="4"/>
      <c r="B174" s="4"/>
      <c r="C174" s="4"/>
      <c r="D174" s="5"/>
      <c r="E174" s="5"/>
      <c r="F174" s="6"/>
      <c r="G174" s="4"/>
      <c r="H174" s="4"/>
      <c r="I174" s="4"/>
      <c r="J174" s="6"/>
      <c r="K174" s="7" t="str">
        <f aca="false">IF(OR(I174="",J174=""),"",I174*J174)</f>
        <v/>
      </c>
      <c r="L174" s="4"/>
      <c r="M174" s="8"/>
      <c r="N174" s="7" t="str">
        <f aca="false">IF(OR(L174="",M174="",K174=""),"",IF(L174="GANANCIA",(K174-F174)*M174,IF(L174="BRUTO",K174*M174,"")))</f>
        <v/>
      </c>
      <c r="O174" s="9" t="str">
        <f aca="false">IF(D174="","",D174+30)</f>
        <v/>
      </c>
      <c r="P174" s="10" t="str">
        <f aca="false">IF(I174="","",IF(COUNTIF(Q174:AN174,TRUE())&gt;=I174,"PAGADO",IF(COUNTIF(Q174:AN174,TRUE())&gt;0,"PARCIAL","VIGENTE")))</f>
        <v/>
      </c>
      <c r="Q174" s="11" t="str">
        <f aca="false">IF(OR(I174="",I174&lt;1,O174=""),"",O174+0)</f>
        <v/>
      </c>
      <c r="R174" s="11" t="str">
        <f aca="false">IF(OR(I174="",I174&lt;2,O174=""),"",O174+30)</f>
        <v/>
      </c>
      <c r="S174" s="11" t="str">
        <f aca="false">IF(OR(I174="",I174&lt;3,O174=""),"",O174+60)</f>
        <v/>
      </c>
      <c r="T174" s="11" t="str">
        <f aca="false">IF(OR(I174="",I174&lt;4,O174=""),"",O174+90)</f>
        <v/>
      </c>
      <c r="U174" s="11" t="str">
        <f aca="false">IF(OR(I174="",I174&lt;5,O174=""),"",O174+120)</f>
        <v/>
      </c>
      <c r="V174" s="11" t="str">
        <f aca="false">IF(OR(I174="",I174&lt;6,O174=""),"",O174+150)</f>
        <v/>
      </c>
      <c r="W174" s="11" t="str">
        <f aca="false">IF(OR(I174="",I174&lt;7,O174=""),"",O174+180)</f>
        <v/>
      </c>
      <c r="X174" s="11" t="str">
        <f aca="false">IF(OR(I174="",I174&lt;8,O174=""),"",O174+210)</f>
        <v/>
      </c>
      <c r="Y174" s="11" t="str">
        <f aca="false">IF(OR(I174="",I174&lt;9,O174=""),"",O174+240)</f>
        <v/>
      </c>
      <c r="Z174" s="11" t="str">
        <f aca="false">IF(OR(I174="",I174&lt;10,O174=""),"",O174+270)</f>
        <v/>
      </c>
      <c r="AA174" s="11" t="str">
        <f aca="false">IF(OR(I174="",I174&lt;11,O174=""),"",O174+300)</f>
        <v/>
      </c>
      <c r="AB174" s="11" t="str">
        <f aca="false">IF(OR(I174="",I174&lt;12,O174=""),"",O174+330)</f>
        <v/>
      </c>
      <c r="AC174" s="11" t="str">
        <f aca="false">IF(OR(I174="",I174&lt;13,O174=""),"",O174+360)</f>
        <v/>
      </c>
      <c r="AD174" s="11" t="str">
        <f aca="false">IF(OR(I174="",I174&lt;14,O174=""),"",O174+390)</f>
        <v/>
      </c>
      <c r="AE174" s="11" t="str">
        <f aca="false">IF(OR(I174="",I174&lt;15,O174=""),"",O174+420)</f>
        <v/>
      </c>
      <c r="AF174" s="11" t="str">
        <f aca="false">IF(OR(I174="",I174&lt;16,O174=""),"",O174+450)</f>
        <v/>
      </c>
      <c r="AG174" s="11" t="str">
        <f aca="false">IF(OR(I174="",I174&lt;17,O174=""),"",O174+480)</f>
        <v/>
      </c>
      <c r="AH174" s="11" t="str">
        <f aca="false">IF(OR(I174="",I174&lt;18,O174=""),"",O174+510)</f>
        <v/>
      </c>
      <c r="AI174" s="11" t="str">
        <f aca="false">IF(OR(I174="",I174&lt;19,O174=""),"",O174+540)</f>
        <v/>
      </c>
      <c r="AJ174" s="11" t="str">
        <f aca="false">IF(OR(I174="",I174&lt;20,O174=""),"",O174+570)</f>
        <v/>
      </c>
      <c r="AK174" s="11" t="str">
        <f aca="false">IF(OR(I174="",I174&lt;21,O174=""),"",O174+600)</f>
        <v/>
      </c>
      <c r="AL174" s="11" t="str">
        <f aca="false">IF(OR(I174="",I174&lt;22,O174=""),"",O174+630)</f>
        <v/>
      </c>
      <c r="AM174" s="11" t="str">
        <f aca="false">IF(OR(I174="",I174&lt;23,O174=""),"",O174+660)</f>
        <v/>
      </c>
      <c r="AN174" s="11" t="str">
        <f aca="false">IF(OR(I174="",I174&lt;24,O174=""),"",O174+690)</f>
        <v/>
      </c>
      <c r="AO174" s="7" t="str">
        <f aca="false">IF(J174="","",COUNTIF(Q174:AN174,TRUE())*J174)</f>
        <v/>
      </c>
      <c r="AP174" s="7" t="str">
        <f aca="false">IF(K174="","",K174-AO174)</f>
        <v/>
      </c>
      <c r="AQ174" s="7" t="str">
        <f aca="false">IF(K174="","",K174-F174-IF(N174="",0,N174))</f>
        <v/>
      </c>
    </row>
    <row r="175" customFormat="false" ht="15" hidden="false" customHeight="false" outlineLevel="0" collapsed="false">
      <c r="A175" s="12"/>
      <c r="B175" s="12"/>
      <c r="C175" s="12"/>
      <c r="D175" s="13"/>
      <c r="E175" s="13"/>
      <c r="F175" s="14"/>
      <c r="G175" s="12"/>
      <c r="H175" s="12"/>
      <c r="I175" s="12"/>
      <c r="J175" s="14"/>
      <c r="K175" s="15" t="str">
        <f aca="false">IF(OR(I175="",J175=""),"",I175*J175)</f>
        <v/>
      </c>
      <c r="L175" s="12"/>
      <c r="M175" s="16"/>
      <c r="N175" s="15" t="str">
        <f aca="false">IF(OR(L175="",M175="",K175=""),"",IF(L175="GANANCIA",(K175-F175)*M175,IF(L175="BRUTO",K175*M175,"")))</f>
        <v/>
      </c>
      <c r="O175" s="17" t="str">
        <f aca="false">IF(D175="","",D175+30)</f>
        <v/>
      </c>
      <c r="P175" s="18" t="str">
        <f aca="false">IF(I175="","",IF(COUNTIF(Q175:AN175,TRUE())&gt;=I175,"PAGADO",IF(COUNTIF(Q175:AN175,TRUE())&gt;0,"PARCIAL","VIGENTE")))</f>
        <v/>
      </c>
      <c r="Q175" s="19" t="str">
        <f aca="false">IF(OR(I175="",I175&lt;1,O175=""),"",O175+0)</f>
        <v/>
      </c>
      <c r="R175" s="19" t="str">
        <f aca="false">IF(OR(I175="",I175&lt;2,O175=""),"",O175+30)</f>
        <v/>
      </c>
      <c r="S175" s="19" t="str">
        <f aca="false">IF(OR(I175="",I175&lt;3,O175=""),"",O175+60)</f>
        <v/>
      </c>
      <c r="T175" s="19" t="str">
        <f aca="false">IF(OR(I175="",I175&lt;4,O175=""),"",O175+90)</f>
        <v/>
      </c>
      <c r="U175" s="19" t="str">
        <f aca="false">IF(OR(I175="",I175&lt;5,O175=""),"",O175+120)</f>
        <v/>
      </c>
      <c r="V175" s="19" t="str">
        <f aca="false">IF(OR(I175="",I175&lt;6,O175=""),"",O175+150)</f>
        <v/>
      </c>
      <c r="W175" s="19" t="str">
        <f aca="false">IF(OR(I175="",I175&lt;7,O175=""),"",O175+180)</f>
        <v/>
      </c>
      <c r="X175" s="19" t="str">
        <f aca="false">IF(OR(I175="",I175&lt;8,O175=""),"",O175+210)</f>
        <v/>
      </c>
      <c r="Y175" s="19" t="str">
        <f aca="false">IF(OR(I175="",I175&lt;9,O175=""),"",O175+240)</f>
        <v/>
      </c>
      <c r="Z175" s="19" t="str">
        <f aca="false">IF(OR(I175="",I175&lt;10,O175=""),"",O175+270)</f>
        <v/>
      </c>
      <c r="AA175" s="19" t="str">
        <f aca="false">IF(OR(I175="",I175&lt;11,O175=""),"",O175+300)</f>
        <v/>
      </c>
      <c r="AB175" s="19" t="str">
        <f aca="false">IF(OR(I175="",I175&lt;12,O175=""),"",O175+330)</f>
        <v/>
      </c>
      <c r="AC175" s="19" t="str">
        <f aca="false">IF(OR(I175="",I175&lt;13,O175=""),"",O175+360)</f>
        <v/>
      </c>
      <c r="AD175" s="19" t="str">
        <f aca="false">IF(OR(I175="",I175&lt;14,O175=""),"",O175+390)</f>
        <v/>
      </c>
      <c r="AE175" s="19" t="str">
        <f aca="false">IF(OR(I175="",I175&lt;15,O175=""),"",O175+420)</f>
        <v/>
      </c>
      <c r="AF175" s="19" t="str">
        <f aca="false">IF(OR(I175="",I175&lt;16,O175=""),"",O175+450)</f>
        <v/>
      </c>
      <c r="AG175" s="19" t="str">
        <f aca="false">IF(OR(I175="",I175&lt;17,O175=""),"",O175+480)</f>
        <v/>
      </c>
      <c r="AH175" s="19" t="str">
        <f aca="false">IF(OR(I175="",I175&lt;18,O175=""),"",O175+510)</f>
        <v/>
      </c>
      <c r="AI175" s="19" t="str">
        <f aca="false">IF(OR(I175="",I175&lt;19,O175=""),"",O175+540)</f>
        <v/>
      </c>
      <c r="AJ175" s="19" t="str">
        <f aca="false">IF(OR(I175="",I175&lt;20,O175=""),"",O175+570)</f>
        <v/>
      </c>
      <c r="AK175" s="19" t="str">
        <f aca="false">IF(OR(I175="",I175&lt;21,O175=""),"",O175+600)</f>
        <v/>
      </c>
      <c r="AL175" s="19" t="str">
        <f aca="false">IF(OR(I175="",I175&lt;22,O175=""),"",O175+630)</f>
        <v/>
      </c>
      <c r="AM175" s="19" t="str">
        <f aca="false">IF(OR(I175="",I175&lt;23,O175=""),"",O175+660)</f>
        <v/>
      </c>
      <c r="AN175" s="19" t="str">
        <f aca="false">IF(OR(I175="",I175&lt;24,O175=""),"",O175+690)</f>
        <v/>
      </c>
      <c r="AO175" s="15" t="str">
        <f aca="false">IF(J175="","",COUNTIF(Q175:AN175,TRUE())*J175)</f>
        <v/>
      </c>
      <c r="AP175" s="15" t="str">
        <f aca="false">IF(K175="","",K175-AO175)</f>
        <v/>
      </c>
      <c r="AQ175" s="15" t="str">
        <f aca="false">IF(K175="","",K175-F175-IF(N175="",0,N175))</f>
        <v/>
      </c>
    </row>
    <row r="176" customFormat="false" ht="15" hidden="false" customHeight="false" outlineLevel="0" collapsed="false">
      <c r="A176" s="4"/>
      <c r="B176" s="4"/>
      <c r="C176" s="4"/>
      <c r="D176" s="5"/>
      <c r="E176" s="5"/>
      <c r="F176" s="6"/>
      <c r="G176" s="4"/>
      <c r="H176" s="4"/>
      <c r="I176" s="4"/>
      <c r="J176" s="6"/>
      <c r="K176" s="7" t="str">
        <f aca="false">IF(OR(I176="",J176=""),"",I176*J176)</f>
        <v/>
      </c>
      <c r="L176" s="4"/>
      <c r="M176" s="8"/>
      <c r="N176" s="7" t="str">
        <f aca="false">IF(OR(L176="",M176="",K176=""),"",IF(L176="GANANCIA",(K176-F176)*M176,IF(L176="BRUTO",K176*M176,"")))</f>
        <v/>
      </c>
      <c r="O176" s="9" t="str">
        <f aca="false">IF(D176="","",D176+30)</f>
        <v/>
      </c>
      <c r="P176" s="10" t="str">
        <f aca="false">IF(I176="","",IF(COUNTIF(Q176:AN176,TRUE())&gt;=I176,"PAGADO",IF(COUNTIF(Q176:AN176,TRUE())&gt;0,"PARCIAL","VIGENTE")))</f>
        <v/>
      </c>
      <c r="Q176" s="11" t="str">
        <f aca="false">IF(OR(I176="",I176&lt;1,O176=""),"",O176+0)</f>
        <v/>
      </c>
      <c r="R176" s="11" t="str">
        <f aca="false">IF(OR(I176="",I176&lt;2,O176=""),"",O176+30)</f>
        <v/>
      </c>
      <c r="S176" s="11" t="str">
        <f aca="false">IF(OR(I176="",I176&lt;3,O176=""),"",O176+60)</f>
        <v/>
      </c>
      <c r="T176" s="11" t="str">
        <f aca="false">IF(OR(I176="",I176&lt;4,O176=""),"",O176+90)</f>
        <v/>
      </c>
      <c r="U176" s="11" t="str">
        <f aca="false">IF(OR(I176="",I176&lt;5,O176=""),"",O176+120)</f>
        <v/>
      </c>
      <c r="V176" s="11" t="str">
        <f aca="false">IF(OR(I176="",I176&lt;6,O176=""),"",O176+150)</f>
        <v/>
      </c>
      <c r="W176" s="11" t="str">
        <f aca="false">IF(OR(I176="",I176&lt;7,O176=""),"",O176+180)</f>
        <v/>
      </c>
      <c r="X176" s="11" t="str">
        <f aca="false">IF(OR(I176="",I176&lt;8,O176=""),"",O176+210)</f>
        <v/>
      </c>
      <c r="Y176" s="11" t="str">
        <f aca="false">IF(OR(I176="",I176&lt;9,O176=""),"",O176+240)</f>
        <v/>
      </c>
      <c r="Z176" s="11" t="str">
        <f aca="false">IF(OR(I176="",I176&lt;10,O176=""),"",O176+270)</f>
        <v/>
      </c>
      <c r="AA176" s="11" t="str">
        <f aca="false">IF(OR(I176="",I176&lt;11,O176=""),"",O176+300)</f>
        <v/>
      </c>
      <c r="AB176" s="11" t="str">
        <f aca="false">IF(OR(I176="",I176&lt;12,O176=""),"",O176+330)</f>
        <v/>
      </c>
      <c r="AC176" s="11" t="str">
        <f aca="false">IF(OR(I176="",I176&lt;13,O176=""),"",O176+360)</f>
        <v/>
      </c>
      <c r="AD176" s="11" t="str">
        <f aca="false">IF(OR(I176="",I176&lt;14,O176=""),"",O176+390)</f>
        <v/>
      </c>
      <c r="AE176" s="11" t="str">
        <f aca="false">IF(OR(I176="",I176&lt;15,O176=""),"",O176+420)</f>
        <v/>
      </c>
      <c r="AF176" s="11" t="str">
        <f aca="false">IF(OR(I176="",I176&lt;16,O176=""),"",O176+450)</f>
        <v/>
      </c>
      <c r="AG176" s="11" t="str">
        <f aca="false">IF(OR(I176="",I176&lt;17,O176=""),"",O176+480)</f>
        <v/>
      </c>
      <c r="AH176" s="11" t="str">
        <f aca="false">IF(OR(I176="",I176&lt;18,O176=""),"",O176+510)</f>
        <v/>
      </c>
      <c r="AI176" s="11" t="str">
        <f aca="false">IF(OR(I176="",I176&lt;19,O176=""),"",O176+540)</f>
        <v/>
      </c>
      <c r="AJ176" s="11" t="str">
        <f aca="false">IF(OR(I176="",I176&lt;20,O176=""),"",O176+570)</f>
        <v/>
      </c>
      <c r="AK176" s="11" t="str">
        <f aca="false">IF(OR(I176="",I176&lt;21,O176=""),"",O176+600)</f>
        <v/>
      </c>
      <c r="AL176" s="11" t="str">
        <f aca="false">IF(OR(I176="",I176&lt;22,O176=""),"",O176+630)</f>
        <v/>
      </c>
      <c r="AM176" s="11" t="str">
        <f aca="false">IF(OR(I176="",I176&lt;23,O176=""),"",O176+660)</f>
        <v/>
      </c>
      <c r="AN176" s="11" t="str">
        <f aca="false">IF(OR(I176="",I176&lt;24,O176=""),"",O176+690)</f>
        <v/>
      </c>
      <c r="AO176" s="7" t="str">
        <f aca="false">IF(J176="","",COUNTIF(Q176:AN176,TRUE())*J176)</f>
        <v/>
      </c>
      <c r="AP176" s="7" t="str">
        <f aca="false">IF(K176="","",K176-AO176)</f>
        <v/>
      </c>
      <c r="AQ176" s="7" t="str">
        <f aca="false">IF(K176="","",K176-F176-IF(N176="",0,N176))</f>
        <v/>
      </c>
    </row>
    <row r="177" customFormat="false" ht="15" hidden="false" customHeight="false" outlineLevel="0" collapsed="false">
      <c r="A177" s="12"/>
      <c r="B177" s="12"/>
      <c r="C177" s="12"/>
      <c r="D177" s="13"/>
      <c r="E177" s="13"/>
      <c r="F177" s="14"/>
      <c r="G177" s="12"/>
      <c r="H177" s="12"/>
      <c r="I177" s="12"/>
      <c r="J177" s="14"/>
      <c r="K177" s="15" t="str">
        <f aca="false">IF(OR(I177="",J177=""),"",I177*J177)</f>
        <v/>
      </c>
      <c r="L177" s="12"/>
      <c r="M177" s="16"/>
      <c r="N177" s="15" t="str">
        <f aca="false">IF(OR(L177="",M177="",K177=""),"",IF(L177="GANANCIA",(K177-F177)*M177,IF(L177="BRUTO",K177*M177,"")))</f>
        <v/>
      </c>
      <c r="O177" s="17" t="str">
        <f aca="false">IF(D177="","",D177+30)</f>
        <v/>
      </c>
      <c r="P177" s="18" t="str">
        <f aca="false">IF(I177="","",IF(COUNTIF(Q177:AN177,TRUE())&gt;=I177,"PAGADO",IF(COUNTIF(Q177:AN177,TRUE())&gt;0,"PARCIAL","VIGENTE")))</f>
        <v/>
      </c>
      <c r="Q177" s="19" t="str">
        <f aca="false">IF(OR(I177="",I177&lt;1,O177=""),"",O177+0)</f>
        <v/>
      </c>
      <c r="R177" s="19" t="str">
        <f aca="false">IF(OR(I177="",I177&lt;2,O177=""),"",O177+30)</f>
        <v/>
      </c>
      <c r="S177" s="19" t="str">
        <f aca="false">IF(OR(I177="",I177&lt;3,O177=""),"",O177+60)</f>
        <v/>
      </c>
      <c r="T177" s="19" t="str">
        <f aca="false">IF(OR(I177="",I177&lt;4,O177=""),"",O177+90)</f>
        <v/>
      </c>
      <c r="U177" s="19" t="str">
        <f aca="false">IF(OR(I177="",I177&lt;5,O177=""),"",O177+120)</f>
        <v/>
      </c>
      <c r="V177" s="19" t="str">
        <f aca="false">IF(OR(I177="",I177&lt;6,O177=""),"",O177+150)</f>
        <v/>
      </c>
      <c r="W177" s="19" t="str">
        <f aca="false">IF(OR(I177="",I177&lt;7,O177=""),"",O177+180)</f>
        <v/>
      </c>
      <c r="X177" s="19" t="str">
        <f aca="false">IF(OR(I177="",I177&lt;8,O177=""),"",O177+210)</f>
        <v/>
      </c>
      <c r="Y177" s="19" t="str">
        <f aca="false">IF(OR(I177="",I177&lt;9,O177=""),"",O177+240)</f>
        <v/>
      </c>
      <c r="Z177" s="19" t="str">
        <f aca="false">IF(OR(I177="",I177&lt;10,O177=""),"",O177+270)</f>
        <v/>
      </c>
      <c r="AA177" s="19" t="str">
        <f aca="false">IF(OR(I177="",I177&lt;11,O177=""),"",O177+300)</f>
        <v/>
      </c>
      <c r="AB177" s="19" t="str">
        <f aca="false">IF(OR(I177="",I177&lt;12,O177=""),"",O177+330)</f>
        <v/>
      </c>
      <c r="AC177" s="19" t="str">
        <f aca="false">IF(OR(I177="",I177&lt;13,O177=""),"",O177+360)</f>
        <v/>
      </c>
      <c r="AD177" s="19" t="str">
        <f aca="false">IF(OR(I177="",I177&lt;14,O177=""),"",O177+390)</f>
        <v/>
      </c>
      <c r="AE177" s="19" t="str">
        <f aca="false">IF(OR(I177="",I177&lt;15,O177=""),"",O177+420)</f>
        <v/>
      </c>
      <c r="AF177" s="19" t="str">
        <f aca="false">IF(OR(I177="",I177&lt;16,O177=""),"",O177+450)</f>
        <v/>
      </c>
      <c r="AG177" s="19" t="str">
        <f aca="false">IF(OR(I177="",I177&lt;17,O177=""),"",O177+480)</f>
        <v/>
      </c>
      <c r="AH177" s="19" t="str">
        <f aca="false">IF(OR(I177="",I177&lt;18,O177=""),"",O177+510)</f>
        <v/>
      </c>
      <c r="AI177" s="19" t="str">
        <f aca="false">IF(OR(I177="",I177&lt;19,O177=""),"",O177+540)</f>
        <v/>
      </c>
      <c r="AJ177" s="19" t="str">
        <f aca="false">IF(OR(I177="",I177&lt;20,O177=""),"",O177+570)</f>
        <v/>
      </c>
      <c r="AK177" s="19" t="str">
        <f aca="false">IF(OR(I177="",I177&lt;21,O177=""),"",O177+600)</f>
        <v/>
      </c>
      <c r="AL177" s="19" t="str">
        <f aca="false">IF(OR(I177="",I177&lt;22,O177=""),"",O177+630)</f>
        <v/>
      </c>
      <c r="AM177" s="19" t="str">
        <f aca="false">IF(OR(I177="",I177&lt;23,O177=""),"",O177+660)</f>
        <v/>
      </c>
      <c r="AN177" s="19" t="str">
        <f aca="false">IF(OR(I177="",I177&lt;24,O177=""),"",O177+690)</f>
        <v/>
      </c>
      <c r="AO177" s="15" t="str">
        <f aca="false">IF(J177="","",COUNTIF(Q177:AN177,TRUE())*J177)</f>
        <v/>
      </c>
      <c r="AP177" s="15" t="str">
        <f aca="false">IF(K177="","",K177-AO177)</f>
        <v/>
      </c>
      <c r="AQ177" s="15" t="str">
        <f aca="false">IF(K177="","",K177-F177-IF(N177="",0,N177))</f>
        <v/>
      </c>
    </row>
    <row r="178" customFormat="false" ht="15" hidden="false" customHeight="false" outlineLevel="0" collapsed="false">
      <c r="A178" s="4"/>
      <c r="B178" s="4"/>
      <c r="C178" s="4"/>
      <c r="D178" s="5"/>
      <c r="E178" s="5"/>
      <c r="F178" s="6"/>
      <c r="G178" s="4"/>
      <c r="H178" s="4"/>
      <c r="I178" s="4"/>
      <c r="J178" s="6"/>
      <c r="K178" s="7" t="str">
        <f aca="false">IF(OR(I178="",J178=""),"",I178*J178)</f>
        <v/>
      </c>
      <c r="L178" s="4"/>
      <c r="M178" s="8"/>
      <c r="N178" s="7" t="str">
        <f aca="false">IF(OR(L178="",M178="",K178=""),"",IF(L178="GANANCIA",(K178-F178)*M178,IF(L178="BRUTO",K178*M178,"")))</f>
        <v/>
      </c>
      <c r="O178" s="9" t="str">
        <f aca="false">IF(D178="","",D178+30)</f>
        <v/>
      </c>
      <c r="P178" s="10" t="str">
        <f aca="false">IF(I178="","",IF(COUNTIF(Q178:AN178,TRUE())&gt;=I178,"PAGADO",IF(COUNTIF(Q178:AN178,TRUE())&gt;0,"PARCIAL","VIGENTE")))</f>
        <v/>
      </c>
      <c r="Q178" s="11" t="str">
        <f aca="false">IF(OR(I178="",I178&lt;1,O178=""),"",O178+0)</f>
        <v/>
      </c>
      <c r="R178" s="11" t="str">
        <f aca="false">IF(OR(I178="",I178&lt;2,O178=""),"",O178+30)</f>
        <v/>
      </c>
      <c r="S178" s="11" t="str">
        <f aca="false">IF(OR(I178="",I178&lt;3,O178=""),"",O178+60)</f>
        <v/>
      </c>
      <c r="T178" s="11" t="str">
        <f aca="false">IF(OR(I178="",I178&lt;4,O178=""),"",O178+90)</f>
        <v/>
      </c>
      <c r="U178" s="11" t="str">
        <f aca="false">IF(OR(I178="",I178&lt;5,O178=""),"",O178+120)</f>
        <v/>
      </c>
      <c r="V178" s="11" t="str">
        <f aca="false">IF(OR(I178="",I178&lt;6,O178=""),"",O178+150)</f>
        <v/>
      </c>
      <c r="W178" s="11" t="str">
        <f aca="false">IF(OR(I178="",I178&lt;7,O178=""),"",O178+180)</f>
        <v/>
      </c>
      <c r="X178" s="11" t="str">
        <f aca="false">IF(OR(I178="",I178&lt;8,O178=""),"",O178+210)</f>
        <v/>
      </c>
      <c r="Y178" s="11" t="str">
        <f aca="false">IF(OR(I178="",I178&lt;9,O178=""),"",O178+240)</f>
        <v/>
      </c>
      <c r="Z178" s="11" t="str">
        <f aca="false">IF(OR(I178="",I178&lt;10,O178=""),"",O178+270)</f>
        <v/>
      </c>
      <c r="AA178" s="11" t="str">
        <f aca="false">IF(OR(I178="",I178&lt;11,O178=""),"",O178+300)</f>
        <v/>
      </c>
      <c r="AB178" s="11" t="str">
        <f aca="false">IF(OR(I178="",I178&lt;12,O178=""),"",O178+330)</f>
        <v/>
      </c>
      <c r="AC178" s="11" t="str">
        <f aca="false">IF(OR(I178="",I178&lt;13,O178=""),"",O178+360)</f>
        <v/>
      </c>
      <c r="AD178" s="11" t="str">
        <f aca="false">IF(OR(I178="",I178&lt;14,O178=""),"",O178+390)</f>
        <v/>
      </c>
      <c r="AE178" s="11" t="str">
        <f aca="false">IF(OR(I178="",I178&lt;15,O178=""),"",O178+420)</f>
        <v/>
      </c>
      <c r="AF178" s="11" t="str">
        <f aca="false">IF(OR(I178="",I178&lt;16,O178=""),"",O178+450)</f>
        <v/>
      </c>
      <c r="AG178" s="11" t="str">
        <f aca="false">IF(OR(I178="",I178&lt;17,O178=""),"",O178+480)</f>
        <v/>
      </c>
      <c r="AH178" s="11" t="str">
        <f aca="false">IF(OR(I178="",I178&lt;18,O178=""),"",O178+510)</f>
        <v/>
      </c>
      <c r="AI178" s="11" t="str">
        <f aca="false">IF(OR(I178="",I178&lt;19,O178=""),"",O178+540)</f>
        <v/>
      </c>
      <c r="AJ178" s="11" t="str">
        <f aca="false">IF(OR(I178="",I178&lt;20,O178=""),"",O178+570)</f>
        <v/>
      </c>
      <c r="AK178" s="11" t="str">
        <f aca="false">IF(OR(I178="",I178&lt;21,O178=""),"",O178+600)</f>
        <v/>
      </c>
      <c r="AL178" s="11" t="str">
        <f aca="false">IF(OR(I178="",I178&lt;22,O178=""),"",O178+630)</f>
        <v/>
      </c>
      <c r="AM178" s="11" t="str">
        <f aca="false">IF(OR(I178="",I178&lt;23,O178=""),"",O178+660)</f>
        <v/>
      </c>
      <c r="AN178" s="11" t="str">
        <f aca="false">IF(OR(I178="",I178&lt;24,O178=""),"",O178+690)</f>
        <v/>
      </c>
      <c r="AO178" s="7" t="str">
        <f aca="false">IF(J178="","",COUNTIF(Q178:AN178,TRUE())*J178)</f>
        <v/>
      </c>
      <c r="AP178" s="7" t="str">
        <f aca="false">IF(K178="","",K178-AO178)</f>
        <v/>
      </c>
      <c r="AQ178" s="7" t="str">
        <f aca="false">IF(K178="","",K178-F178-IF(N178="",0,N178))</f>
        <v/>
      </c>
    </row>
    <row r="179" customFormat="false" ht="15" hidden="false" customHeight="false" outlineLevel="0" collapsed="false">
      <c r="A179" s="12"/>
      <c r="B179" s="12"/>
      <c r="C179" s="12"/>
      <c r="D179" s="13"/>
      <c r="E179" s="13"/>
      <c r="F179" s="14"/>
      <c r="G179" s="12"/>
      <c r="H179" s="12"/>
      <c r="I179" s="12"/>
      <c r="J179" s="14"/>
      <c r="K179" s="15" t="str">
        <f aca="false">IF(OR(I179="",J179=""),"",I179*J179)</f>
        <v/>
      </c>
      <c r="L179" s="12"/>
      <c r="M179" s="16"/>
      <c r="N179" s="15" t="str">
        <f aca="false">IF(OR(L179="",M179="",K179=""),"",IF(L179="GANANCIA",(K179-F179)*M179,IF(L179="BRUTO",K179*M179,"")))</f>
        <v/>
      </c>
      <c r="O179" s="17" t="str">
        <f aca="false">IF(D179="","",D179+30)</f>
        <v/>
      </c>
      <c r="P179" s="18" t="str">
        <f aca="false">IF(I179="","",IF(COUNTIF(Q179:AN179,TRUE())&gt;=I179,"PAGADO",IF(COUNTIF(Q179:AN179,TRUE())&gt;0,"PARCIAL","VIGENTE")))</f>
        <v/>
      </c>
      <c r="Q179" s="19" t="str">
        <f aca="false">IF(OR(I179="",I179&lt;1,O179=""),"",O179+0)</f>
        <v/>
      </c>
      <c r="R179" s="19" t="str">
        <f aca="false">IF(OR(I179="",I179&lt;2,O179=""),"",O179+30)</f>
        <v/>
      </c>
      <c r="S179" s="19" t="str">
        <f aca="false">IF(OR(I179="",I179&lt;3,O179=""),"",O179+60)</f>
        <v/>
      </c>
      <c r="T179" s="19" t="str">
        <f aca="false">IF(OR(I179="",I179&lt;4,O179=""),"",O179+90)</f>
        <v/>
      </c>
      <c r="U179" s="19" t="str">
        <f aca="false">IF(OR(I179="",I179&lt;5,O179=""),"",O179+120)</f>
        <v/>
      </c>
      <c r="V179" s="19" t="str">
        <f aca="false">IF(OR(I179="",I179&lt;6,O179=""),"",O179+150)</f>
        <v/>
      </c>
      <c r="W179" s="19" t="str">
        <f aca="false">IF(OR(I179="",I179&lt;7,O179=""),"",O179+180)</f>
        <v/>
      </c>
      <c r="X179" s="19" t="str">
        <f aca="false">IF(OR(I179="",I179&lt;8,O179=""),"",O179+210)</f>
        <v/>
      </c>
      <c r="Y179" s="19" t="str">
        <f aca="false">IF(OR(I179="",I179&lt;9,O179=""),"",O179+240)</f>
        <v/>
      </c>
      <c r="Z179" s="19" t="str">
        <f aca="false">IF(OR(I179="",I179&lt;10,O179=""),"",O179+270)</f>
        <v/>
      </c>
      <c r="AA179" s="19" t="str">
        <f aca="false">IF(OR(I179="",I179&lt;11,O179=""),"",O179+300)</f>
        <v/>
      </c>
      <c r="AB179" s="19" t="str">
        <f aca="false">IF(OR(I179="",I179&lt;12,O179=""),"",O179+330)</f>
        <v/>
      </c>
      <c r="AC179" s="19" t="str">
        <f aca="false">IF(OR(I179="",I179&lt;13,O179=""),"",O179+360)</f>
        <v/>
      </c>
      <c r="AD179" s="19" t="str">
        <f aca="false">IF(OR(I179="",I179&lt;14,O179=""),"",O179+390)</f>
        <v/>
      </c>
      <c r="AE179" s="19" t="str">
        <f aca="false">IF(OR(I179="",I179&lt;15,O179=""),"",O179+420)</f>
        <v/>
      </c>
      <c r="AF179" s="19" t="str">
        <f aca="false">IF(OR(I179="",I179&lt;16,O179=""),"",O179+450)</f>
        <v/>
      </c>
      <c r="AG179" s="19" t="str">
        <f aca="false">IF(OR(I179="",I179&lt;17,O179=""),"",O179+480)</f>
        <v/>
      </c>
      <c r="AH179" s="19" t="str">
        <f aca="false">IF(OR(I179="",I179&lt;18,O179=""),"",O179+510)</f>
        <v/>
      </c>
      <c r="AI179" s="19" t="str">
        <f aca="false">IF(OR(I179="",I179&lt;19,O179=""),"",O179+540)</f>
        <v/>
      </c>
      <c r="AJ179" s="19" t="str">
        <f aca="false">IF(OR(I179="",I179&lt;20,O179=""),"",O179+570)</f>
        <v/>
      </c>
      <c r="AK179" s="19" t="str">
        <f aca="false">IF(OR(I179="",I179&lt;21,O179=""),"",O179+600)</f>
        <v/>
      </c>
      <c r="AL179" s="19" t="str">
        <f aca="false">IF(OR(I179="",I179&lt;22,O179=""),"",O179+630)</f>
        <v/>
      </c>
      <c r="AM179" s="19" t="str">
        <f aca="false">IF(OR(I179="",I179&lt;23,O179=""),"",O179+660)</f>
        <v/>
      </c>
      <c r="AN179" s="19" t="str">
        <f aca="false">IF(OR(I179="",I179&lt;24,O179=""),"",O179+690)</f>
        <v/>
      </c>
      <c r="AO179" s="15" t="str">
        <f aca="false">IF(J179="","",COUNTIF(Q179:AN179,TRUE())*J179)</f>
        <v/>
      </c>
      <c r="AP179" s="15" t="str">
        <f aca="false">IF(K179="","",K179-AO179)</f>
        <v/>
      </c>
      <c r="AQ179" s="15" t="str">
        <f aca="false">IF(K179="","",K179-F179-IF(N179="",0,N179))</f>
        <v/>
      </c>
    </row>
    <row r="180" customFormat="false" ht="15" hidden="false" customHeight="false" outlineLevel="0" collapsed="false">
      <c r="A180" s="4"/>
      <c r="B180" s="4"/>
      <c r="C180" s="4"/>
      <c r="D180" s="5"/>
      <c r="E180" s="5"/>
      <c r="F180" s="6"/>
      <c r="G180" s="4"/>
      <c r="H180" s="4"/>
      <c r="I180" s="4"/>
      <c r="J180" s="6"/>
      <c r="K180" s="7" t="str">
        <f aca="false">IF(OR(I180="",J180=""),"",I180*J180)</f>
        <v/>
      </c>
      <c r="L180" s="4"/>
      <c r="M180" s="8"/>
      <c r="N180" s="7" t="str">
        <f aca="false">IF(OR(L180="",M180="",K180=""),"",IF(L180="GANANCIA",(K180-F180)*M180,IF(L180="BRUTO",K180*M180,"")))</f>
        <v/>
      </c>
      <c r="O180" s="9" t="str">
        <f aca="false">IF(D180="","",D180+30)</f>
        <v/>
      </c>
      <c r="P180" s="10" t="str">
        <f aca="false">IF(I180="","",IF(COUNTIF(Q180:AN180,TRUE())&gt;=I180,"PAGADO",IF(COUNTIF(Q180:AN180,TRUE())&gt;0,"PARCIAL","VIGENTE")))</f>
        <v/>
      </c>
      <c r="Q180" s="11" t="str">
        <f aca="false">IF(OR(I180="",I180&lt;1,O180=""),"",O180+0)</f>
        <v/>
      </c>
      <c r="R180" s="11" t="str">
        <f aca="false">IF(OR(I180="",I180&lt;2,O180=""),"",O180+30)</f>
        <v/>
      </c>
      <c r="S180" s="11" t="str">
        <f aca="false">IF(OR(I180="",I180&lt;3,O180=""),"",O180+60)</f>
        <v/>
      </c>
      <c r="T180" s="11" t="str">
        <f aca="false">IF(OR(I180="",I180&lt;4,O180=""),"",O180+90)</f>
        <v/>
      </c>
      <c r="U180" s="11" t="str">
        <f aca="false">IF(OR(I180="",I180&lt;5,O180=""),"",O180+120)</f>
        <v/>
      </c>
      <c r="V180" s="11" t="str">
        <f aca="false">IF(OR(I180="",I180&lt;6,O180=""),"",O180+150)</f>
        <v/>
      </c>
      <c r="W180" s="11" t="str">
        <f aca="false">IF(OR(I180="",I180&lt;7,O180=""),"",O180+180)</f>
        <v/>
      </c>
      <c r="X180" s="11" t="str">
        <f aca="false">IF(OR(I180="",I180&lt;8,O180=""),"",O180+210)</f>
        <v/>
      </c>
      <c r="Y180" s="11" t="str">
        <f aca="false">IF(OR(I180="",I180&lt;9,O180=""),"",O180+240)</f>
        <v/>
      </c>
      <c r="Z180" s="11" t="str">
        <f aca="false">IF(OR(I180="",I180&lt;10,O180=""),"",O180+270)</f>
        <v/>
      </c>
      <c r="AA180" s="11" t="str">
        <f aca="false">IF(OR(I180="",I180&lt;11,O180=""),"",O180+300)</f>
        <v/>
      </c>
      <c r="AB180" s="11" t="str">
        <f aca="false">IF(OR(I180="",I180&lt;12,O180=""),"",O180+330)</f>
        <v/>
      </c>
      <c r="AC180" s="11" t="str">
        <f aca="false">IF(OR(I180="",I180&lt;13,O180=""),"",O180+360)</f>
        <v/>
      </c>
      <c r="AD180" s="11" t="str">
        <f aca="false">IF(OR(I180="",I180&lt;14,O180=""),"",O180+390)</f>
        <v/>
      </c>
      <c r="AE180" s="11" t="str">
        <f aca="false">IF(OR(I180="",I180&lt;15,O180=""),"",O180+420)</f>
        <v/>
      </c>
      <c r="AF180" s="11" t="str">
        <f aca="false">IF(OR(I180="",I180&lt;16,O180=""),"",O180+450)</f>
        <v/>
      </c>
      <c r="AG180" s="11" t="str">
        <f aca="false">IF(OR(I180="",I180&lt;17,O180=""),"",O180+480)</f>
        <v/>
      </c>
      <c r="AH180" s="11" t="str">
        <f aca="false">IF(OR(I180="",I180&lt;18,O180=""),"",O180+510)</f>
        <v/>
      </c>
      <c r="AI180" s="11" t="str">
        <f aca="false">IF(OR(I180="",I180&lt;19,O180=""),"",O180+540)</f>
        <v/>
      </c>
      <c r="AJ180" s="11" t="str">
        <f aca="false">IF(OR(I180="",I180&lt;20,O180=""),"",O180+570)</f>
        <v/>
      </c>
      <c r="AK180" s="11" t="str">
        <f aca="false">IF(OR(I180="",I180&lt;21,O180=""),"",O180+600)</f>
        <v/>
      </c>
      <c r="AL180" s="11" t="str">
        <f aca="false">IF(OR(I180="",I180&lt;22,O180=""),"",O180+630)</f>
        <v/>
      </c>
      <c r="AM180" s="11" t="str">
        <f aca="false">IF(OR(I180="",I180&lt;23,O180=""),"",O180+660)</f>
        <v/>
      </c>
      <c r="AN180" s="11" t="str">
        <f aca="false">IF(OR(I180="",I180&lt;24,O180=""),"",O180+690)</f>
        <v/>
      </c>
      <c r="AO180" s="7" t="str">
        <f aca="false">IF(J180="","",COUNTIF(Q180:AN180,TRUE())*J180)</f>
        <v/>
      </c>
      <c r="AP180" s="7" t="str">
        <f aca="false">IF(K180="","",K180-AO180)</f>
        <v/>
      </c>
      <c r="AQ180" s="7" t="str">
        <f aca="false">IF(K180="","",K180-F180-IF(N180="",0,N180))</f>
        <v/>
      </c>
    </row>
    <row r="181" customFormat="false" ht="15" hidden="false" customHeight="false" outlineLevel="0" collapsed="false">
      <c r="A181" s="12"/>
      <c r="B181" s="12"/>
      <c r="C181" s="12"/>
      <c r="D181" s="13"/>
      <c r="E181" s="13"/>
      <c r="F181" s="14"/>
      <c r="G181" s="12"/>
      <c r="H181" s="12"/>
      <c r="I181" s="12"/>
      <c r="J181" s="14"/>
      <c r="K181" s="15" t="str">
        <f aca="false">IF(OR(I181="",J181=""),"",I181*J181)</f>
        <v/>
      </c>
      <c r="L181" s="12"/>
      <c r="M181" s="16"/>
      <c r="N181" s="15" t="str">
        <f aca="false">IF(OR(L181="",M181="",K181=""),"",IF(L181="GANANCIA",(K181-F181)*M181,IF(L181="BRUTO",K181*M181,"")))</f>
        <v/>
      </c>
      <c r="O181" s="17" t="str">
        <f aca="false">IF(D181="","",D181+30)</f>
        <v/>
      </c>
      <c r="P181" s="18" t="str">
        <f aca="false">IF(I181="","",IF(COUNTIF(Q181:AN181,TRUE())&gt;=I181,"PAGADO",IF(COUNTIF(Q181:AN181,TRUE())&gt;0,"PARCIAL","VIGENTE")))</f>
        <v/>
      </c>
      <c r="Q181" s="19" t="str">
        <f aca="false">IF(OR(I181="",I181&lt;1,O181=""),"",O181+0)</f>
        <v/>
      </c>
      <c r="R181" s="19" t="str">
        <f aca="false">IF(OR(I181="",I181&lt;2,O181=""),"",O181+30)</f>
        <v/>
      </c>
      <c r="S181" s="19" t="str">
        <f aca="false">IF(OR(I181="",I181&lt;3,O181=""),"",O181+60)</f>
        <v/>
      </c>
      <c r="T181" s="19" t="str">
        <f aca="false">IF(OR(I181="",I181&lt;4,O181=""),"",O181+90)</f>
        <v/>
      </c>
      <c r="U181" s="19" t="str">
        <f aca="false">IF(OR(I181="",I181&lt;5,O181=""),"",O181+120)</f>
        <v/>
      </c>
      <c r="V181" s="19" t="str">
        <f aca="false">IF(OR(I181="",I181&lt;6,O181=""),"",O181+150)</f>
        <v/>
      </c>
      <c r="W181" s="19" t="str">
        <f aca="false">IF(OR(I181="",I181&lt;7,O181=""),"",O181+180)</f>
        <v/>
      </c>
      <c r="X181" s="19" t="str">
        <f aca="false">IF(OR(I181="",I181&lt;8,O181=""),"",O181+210)</f>
        <v/>
      </c>
      <c r="Y181" s="19" t="str">
        <f aca="false">IF(OR(I181="",I181&lt;9,O181=""),"",O181+240)</f>
        <v/>
      </c>
      <c r="Z181" s="19" t="str">
        <f aca="false">IF(OR(I181="",I181&lt;10,O181=""),"",O181+270)</f>
        <v/>
      </c>
      <c r="AA181" s="19" t="str">
        <f aca="false">IF(OR(I181="",I181&lt;11,O181=""),"",O181+300)</f>
        <v/>
      </c>
      <c r="AB181" s="19" t="str">
        <f aca="false">IF(OR(I181="",I181&lt;12,O181=""),"",O181+330)</f>
        <v/>
      </c>
      <c r="AC181" s="19" t="str">
        <f aca="false">IF(OR(I181="",I181&lt;13,O181=""),"",O181+360)</f>
        <v/>
      </c>
      <c r="AD181" s="19" t="str">
        <f aca="false">IF(OR(I181="",I181&lt;14,O181=""),"",O181+390)</f>
        <v/>
      </c>
      <c r="AE181" s="19" t="str">
        <f aca="false">IF(OR(I181="",I181&lt;15,O181=""),"",O181+420)</f>
        <v/>
      </c>
      <c r="AF181" s="19" t="str">
        <f aca="false">IF(OR(I181="",I181&lt;16,O181=""),"",O181+450)</f>
        <v/>
      </c>
      <c r="AG181" s="19" t="str">
        <f aca="false">IF(OR(I181="",I181&lt;17,O181=""),"",O181+480)</f>
        <v/>
      </c>
      <c r="AH181" s="19" t="str">
        <f aca="false">IF(OR(I181="",I181&lt;18,O181=""),"",O181+510)</f>
        <v/>
      </c>
      <c r="AI181" s="19" t="str">
        <f aca="false">IF(OR(I181="",I181&lt;19,O181=""),"",O181+540)</f>
        <v/>
      </c>
      <c r="AJ181" s="19" t="str">
        <f aca="false">IF(OR(I181="",I181&lt;20,O181=""),"",O181+570)</f>
        <v/>
      </c>
      <c r="AK181" s="19" t="str">
        <f aca="false">IF(OR(I181="",I181&lt;21,O181=""),"",O181+600)</f>
        <v/>
      </c>
      <c r="AL181" s="19" t="str">
        <f aca="false">IF(OR(I181="",I181&lt;22,O181=""),"",O181+630)</f>
        <v/>
      </c>
      <c r="AM181" s="19" t="str">
        <f aca="false">IF(OR(I181="",I181&lt;23,O181=""),"",O181+660)</f>
        <v/>
      </c>
      <c r="AN181" s="19" t="str">
        <f aca="false">IF(OR(I181="",I181&lt;24,O181=""),"",O181+690)</f>
        <v/>
      </c>
      <c r="AO181" s="15" t="str">
        <f aca="false">IF(J181="","",COUNTIF(Q181:AN181,TRUE())*J181)</f>
        <v/>
      </c>
      <c r="AP181" s="15" t="str">
        <f aca="false">IF(K181="","",K181-AO181)</f>
        <v/>
      </c>
      <c r="AQ181" s="15" t="str">
        <f aca="false">IF(K181="","",K181-F181-IF(N181="",0,N181))</f>
        <v/>
      </c>
    </row>
    <row r="182" customFormat="false" ht="15" hidden="false" customHeight="false" outlineLevel="0" collapsed="false">
      <c r="A182" s="4"/>
      <c r="B182" s="4"/>
      <c r="C182" s="4"/>
      <c r="D182" s="5"/>
      <c r="E182" s="5"/>
      <c r="F182" s="6"/>
      <c r="G182" s="4"/>
      <c r="H182" s="4"/>
      <c r="I182" s="4"/>
      <c r="J182" s="6"/>
      <c r="K182" s="7" t="str">
        <f aca="false">IF(OR(I182="",J182=""),"",I182*J182)</f>
        <v/>
      </c>
      <c r="L182" s="4"/>
      <c r="M182" s="8"/>
      <c r="N182" s="7" t="str">
        <f aca="false">IF(OR(L182="",M182="",K182=""),"",IF(L182="GANANCIA",(K182-F182)*M182,IF(L182="BRUTO",K182*M182,"")))</f>
        <v/>
      </c>
      <c r="O182" s="9" t="str">
        <f aca="false">IF(D182="","",D182+30)</f>
        <v/>
      </c>
      <c r="P182" s="10" t="str">
        <f aca="false">IF(I182="","",IF(COUNTIF(Q182:AN182,TRUE())&gt;=I182,"PAGADO",IF(COUNTIF(Q182:AN182,TRUE())&gt;0,"PARCIAL","VIGENTE")))</f>
        <v/>
      </c>
      <c r="Q182" s="11" t="str">
        <f aca="false">IF(OR(I182="",I182&lt;1,O182=""),"",O182+0)</f>
        <v/>
      </c>
      <c r="R182" s="11" t="str">
        <f aca="false">IF(OR(I182="",I182&lt;2,O182=""),"",O182+30)</f>
        <v/>
      </c>
      <c r="S182" s="11" t="str">
        <f aca="false">IF(OR(I182="",I182&lt;3,O182=""),"",O182+60)</f>
        <v/>
      </c>
      <c r="T182" s="11" t="str">
        <f aca="false">IF(OR(I182="",I182&lt;4,O182=""),"",O182+90)</f>
        <v/>
      </c>
      <c r="U182" s="11" t="str">
        <f aca="false">IF(OR(I182="",I182&lt;5,O182=""),"",O182+120)</f>
        <v/>
      </c>
      <c r="V182" s="11" t="str">
        <f aca="false">IF(OR(I182="",I182&lt;6,O182=""),"",O182+150)</f>
        <v/>
      </c>
      <c r="W182" s="11" t="str">
        <f aca="false">IF(OR(I182="",I182&lt;7,O182=""),"",O182+180)</f>
        <v/>
      </c>
      <c r="X182" s="11" t="str">
        <f aca="false">IF(OR(I182="",I182&lt;8,O182=""),"",O182+210)</f>
        <v/>
      </c>
      <c r="Y182" s="11" t="str">
        <f aca="false">IF(OR(I182="",I182&lt;9,O182=""),"",O182+240)</f>
        <v/>
      </c>
      <c r="Z182" s="11" t="str">
        <f aca="false">IF(OR(I182="",I182&lt;10,O182=""),"",O182+270)</f>
        <v/>
      </c>
      <c r="AA182" s="11" t="str">
        <f aca="false">IF(OR(I182="",I182&lt;11,O182=""),"",O182+300)</f>
        <v/>
      </c>
      <c r="AB182" s="11" t="str">
        <f aca="false">IF(OR(I182="",I182&lt;12,O182=""),"",O182+330)</f>
        <v/>
      </c>
      <c r="AC182" s="11" t="str">
        <f aca="false">IF(OR(I182="",I182&lt;13,O182=""),"",O182+360)</f>
        <v/>
      </c>
      <c r="AD182" s="11" t="str">
        <f aca="false">IF(OR(I182="",I182&lt;14,O182=""),"",O182+390)</f>
        <v/>
      </c>
      <c r="AE182" s="11" t="str">
        <f aca="false">IF(OR(I182="",I182&lt;15,O182=""),"",O182+420)</f>
        <v/>
      </c>
      <c r="AF182" s="11" t="str">
        <f aca="false">IF(OR(I182="",I182&lt;16,O182=""),"",O182+450)</f>
        <v/>
      </c>
      <c r="AG182" s="11" t="str">
        <f aca="false">IF(OR(I182="",I182&lt;17,O182=""),"",O182+480)</f>
        <v/>
      </c>
      <c r="AH182" s="11" t="str">
        <f aca="false">IF(OR(I182="",I182&lt;18,O182=""),"",O182+510)</f>
        <v/>
      </c>
      <c r="AI182" s="11" t="str">
        <f aca="false">IF(OR(I182="",I182&lt;19,O182=""),"",O182+540)</f>
        <v/>
      </c>
      <c r="AJ182" s="11" t="str">
        <f aca="false">IF(OR(I182="",I182&lt;20,O182=""),"",O182+570)</f>
        <v/>
      </c>
      <c r="AK182" s="11" t="str">
        <f aca="false">IF(OR(I182="",I182&lt;21,O182=""),"",O182+600)</f>
        <v/>
      </c>
      <c r="AL182" s="11" t="str">
        <f aca="false">IF(OR(I182="",I182&lt;22,O182=""),"",O182+630)</f>
        <v/>
      </c>
      <c r="AM182" s="11" t="str">
        <f aca="false">IF(OR(I182="",I182&lt;23,O182=""),"",O182+660)</f>
        <v/>
      </c>
      <c r="AN182" s="11" t="str">
        <f aca="false">IF(OR(I182="",I182&lt;24,O182=""),"",O182+690)</f>
        <v/>
      </c>
      <c r="AO182" s="7" t="str">
        <f aca="false">IF(J182="","",COUNTIF(Q182:AN182,TRUE())*J182)</f>
        <v/>
      </c>
      <c r="AP182" s="7" t="str">
        <f aca="false">IF(K182="","",K182-AO182)</f>
        <v/>
      </c>
      <c r="AQ182" s="7" t="str">
        <f aca="false">IF(K182="","",K182-F182-IF(N182="",0,N182))</f>
        <v/>
      </c>
    </row>
    <row r="183" customFormat="false" ht="15" hidden="false" customHeight="false" outlineLevel="0" collapsed="false">
      <c r="A183" s="12"/>
      <c r="B183" s="12"/>
      <c r="C183" s="12"/>
      <c r="D183" s="13"/>
      <c r="E183" s="13"/>
      <c r="F183" s="14"/>
      <c r="G183" s="12"/>
      <c r="H183" s="12"/>
      <c r="I183" s="12"/>
      <c r="J183" s="14"/>
      <c r="K183" s="15" t="str">
        <f aca="false">IF(OR(I183="",J183=""),"",I183*J183)</f>
        <v/>
      </c>
      <c r="L183" s="12"/>
      <c r="M183" s="16"/>
      <c r="N183" s="15" t="str">
        <f aca="false">IF(OR(L183="",M183="",K183=""),"",IF(L183="GANANCIA",(K183-F183)*M183,IF(L183="BRUTO",K183*M183,"")))</f>
        <v/>
      </c>
      <c r="O183" s="17" t="str">
        <f aca="false">IF(D183="","",D183+30)</f>
        <v/>
      </c>
      <c r="P183" s="18" t="str">
        <f aca="false">IF(I183="","",IF(COUNTIF(Q183:AN183,TRUE())&gt;=I183,"PAGADO",IF(COUNTIF(Q183:AN183,TRUE())&gt;0,"PARCIAL","VIGENTE")))</f>
        <v/>
      </c>
      <c r="Q183" s="19" t="str">
        <f aca="false">IF(OR(I183="",I183&lt;1,O183=""),"",O183+0)</f>
        <v/>
      </c>
      <c r="R183" s="19" t="str">
        <f aca="false">IF(OR(I183="",I183&lt;2,O183=""),"",O183+30)</f>
        <v/>
      </c>
      <c r="S183" s="19" t="str">
        <f aca="false">IF(OR(I183="",I183&lt;3,O183=""),"",O183+60)</f>
        <v/>
      </c>
      <c r="T183" s="19" t="str">
        <f aca="false">IF(OR(I183="",I183&lt;4,O183=""),"",O183+90)</f>
        <v/>
      </c>
      <c r="U183" s="19" t="str">
        <f aca="false">IF(OR(I183="",I183&lt;5,O183=""),"",O183+120)</f>
        <v/>
      </c>
      <c r="V183" s="19" t="str">
        <f aca="false">IF(OR(I183="",I183&lt;6,O183=""),"",O183+150)</f>
        <v/>
      </c>
      <c r="W183" s="19" t="str">
        <f aca="false">IF(OR(I183="",I183&lt;7,O183=""),"",O183+180)</f>
        <v/>
      </c>
      <c r="X183" s="19" t="str">
        <f aca="false">IF(OR(I183="",I183&lt;8,O183=""),"",O183+210)</f>
        <v/>
      </c>
      <c r="Y183" s="19" t="str">
        <f aca="false">IF(OR(I183="",I183&lt;9,O183=""),"",O183+240)</f>
        <v/>
      </c>
      <c r="Z183" s="19" t="str">
        <f aca="false">IF(OR(I183="",I183&lt;10,O183=""),"",O183+270)</f>
        <v/>
      </c>
      <c r="AA183" s="19" t="str">
        <f aca="false">IF(OR(I183="",I183&lt;11,O183=""),"",O183+300)</f>
        <v/>
      </c>
      <c r="AB183" s="19" t="str">
        <f aca="false">IF(OR(I183="",I183&lt;12,O183=""),"",O183+330)</f>
        <v/>
      </c>
      <c r="AC183" s="19" t="str">
        <f aca="false">IF(OR(I183="",I183&lt;13,O183=""),"",O183+360)</f>
        <v/>
      </c>
      <c r="AD183" s="19" t="str">
        <f aca="false">IF(OR(I183="",I183&lt;14,O183=""),"",O183+390)</f>
        <v/>
      </c>
      <c r="AE183" s="19" t="str">
        <f aca="false">IF(OR(I183="",I183&lt;15,O183=""),"",O183+420)</f>
        <v/>
      </c>
      <c r="AF183" s="19" t="str">
        <f aca="false">IF(OR(I183="",I183&lt;16,O183=""),"",O183+450)</f>
        <v/>
      </c>
      <c r="AG183" s="19" t="str">
        <f aca="false">IF(OR(I183="",I183&lt;17,O183=""),"",O183+480)</f>
        <v/>
      </c>
      <c r="AH183" s="19" t="str">
        <f aca="false">IF(OR(I183="",I183&lt;18,O183=""),"",O183+510)</f>
        <v/>
      </c>
      <c r="AI183" s="19" t="str">
        <f aca="false">IF(OR(I183="",I183&lt;19,O183=""),"",O183+540)</f>
        <v/>
      </c>
      <c r="AJ183" s="19" t="str">
        <f aca="false">IF(OR(I183="",I183&lt;20,O183=""),"",O183+570)</f>
        <v/>
      </c>
      <c r="AK183" s="19" t="str">
        <f aca="false">IF(OR(I183="",I183&lt;21,O183=""),"",O183+600)</f>
        <v/>
      </c>
      <c r="AL183" s="19" t="str">
        <f aca="false">IF(OR(I183="",I183&lt;22,O183=""),"",O183+630)</f>
        <v/>
      </c>
      <c r="AM183" s="19" t="str">
        <f aca="false">IF(OR(I183="",I183&lt;23,O183=""),"",O183+660)</f>
        <v/>
      </c>
      <c r="AN183" s="19" t="str">
        <f aca="false">IF(OR(I183="",I183&lt;24,O183=""),"",O183+690)</f>
        <v/>
      </c>
      <c r="AO183" s="15" t="str">
        <f aca="false">IF(J183="","",COUNTIF(Q183:AN183,TRUE())*J183)</f>
        <v/>
      </c>
      <c r="AP183" s="15" t="str">
        <f aca="false">IF(K183="","",K183-AO183)</f>
        <v/>
      </c>
      <c r="AQ183" s="15" t="str">
        <f aca="false">IF(K183="","",K183-F183-IF(N183="",0,N183))</f>
        <v/>
      </c>
    </row>
    <row r="184" customFormat="false" ht="15" hidden="false" customHeight="false" outlineLevel="0" collapsed="false">
      <c r="A184" s="4"/>
      <c r="B184" s="4"/>
      <c r="C184" s="4"/>
      <c r="D184" s="5"/>
      <c r="E184" s="5"/>
      <c r="F184" s="6"/>
      <c r="G184" s="4"/>
      <c r="H184" s="4"/>
      <c r="I184" s="4"/>
      <c r="J184" s="6"/>
      <c r="K184" s="7" t="str">
        <f aca="false">IF(OR(I184="",J184=""),"",I184*J184)</f>
        <v/>
      </c>
      <c r="L184" s="4"/>
      <c r="M184" s="8"/>
      <c r="N184" s="7" t="str">
        <f aca="false">IF(OR(L184="",M184="",K184=""),"",IF(L184="GANANCIA",(K184-F184)*M184,IF(L184="BRUTO",K184*M184,"")))</f>
        <v/>
      </c>
      <c r="O184" s="9" t="str">
        <f aca="false">IF(D184="","",D184+30)</f>
        <v/>
      </c>
      <c r="P184" s="10" t="str">
        <f aca="false">IF(I184="","",IF(COUNTIF(Q184:AN184,TRUE())&gt;=I184,"PAGADO",IF(COUNTIF(Q184:AN184,TRUE())&gt;0,"PARCIAL","VIGENTE")))</f>
        <v/>
      </c>
      <c r="Q184" s="11" t="str">
        <f aca="false">IF(OR(I184="",I184&lt;1,O184=""),"",O184+0)</f>
        <v/>
      </c>
      <c r="R184" s="11" t="str">
        <f aca="false">IF(OR(I184="",I184&lt;2,O184=""),"",O184+30)</f>
        <v/>
      </c>
      <c r="S184" s="11" t="str">
        <f aca="false">IF(OR(I184="",I184&lt;3,O184=""),"",O184+60)</f>
        <v/>
      </c>
      <c r="T184" s="11" t="str">
        <f aca="false">IF(OR(I184="",I184&lt;4,O184=""),"",O184+90)</f>
        <v/>
      </c>
      <c r="U184" s="11" t="str">
        <f aca="false">IF(OR(I184="",I184&lt;5,O184=""),"",O184+120)</f>
        <v/>
      </c>
      <c r="V184" s="11" t="str">
        <f aca="false">IF(OR(I184="",I184&lt;6,O184=""),"",O184+150)</f>
        <v/>
      </c>
      <c r="W184" s="11" t="str">
        <f aca="false">IF(OR(I184="",I184&lt;7,O184=""),"",O184+180)</f>
        <v/>
      </c>
      <c r="X184" s="11" t="str">
        <f aca="false">IF(OR(I184="",I184&lt;8,O184=""),"",O184+210)</f>
        <v/>
      </c>
      <c r="Y184" s="11" t="str">
        <f aca="false">IF(OR(I184="",I184&lt;9,O184=""),"",O184+240)</f>
        <v/>
      </c>
      <c r="Z184" s="11" t="str">
        <f aca="false">IF(OR(I184="",I184&lt;10,O184=""),"",O184+270)</f>
        <v/>
      </c>
      <c r="AA184" s="11" t="str">
        <f aca="false">IF(OR(I184="",I184&lt;11,O184=""),"",O184+300)</f>
        <v/>
      </c>
      <c r="AB184" s="11" t="str">
        <f aca="false">IF(OR(I184="",I184&lt;12,O184=""),"",O184+330)</f>
        <v/>
      </c>
      <c r="AC184" s="11" t="str">
        <f aca="false">IF(OR(I184="",I184&lt;13,O184=""),"",O184+360)</f>
        <v/>
      </c>
      <c r="AD184" s="11" t="str">
        <f aca="false">IF(OR(I184="",I184&lt;14,O184=""),"",O184+390)</f>
        <v/>
      </c>
      <c r="AE184" s="11" t="str">
        <f aca="false">IF(OR(I184="",I184&lt;15,O184=""),"",O184+420)</f>
        <v/>
      </c>
      <c r="AF184" s="11" t="str">
        <f aca="false">IF(OR(I184="",I184&lt;16,O184=""),"",O184+450)</f>
        <v/>
      </c>
      <c r="AG184" s="11" t="str">
        <f aca="false">IF(OR(I184="",I184&lt;17,O184=""),"",O184+480)</f>
        <v/>
      </c>
      <c r="AH184" s="11" t="str">
        <f aca="false">IF(OR(I184="",I184&lt;18,O184=""),"",O184+510)</f>
        <v/>
      </c>
      <c r="AI184" s="11" t="str">
        <f aca="false">IF(OR(I184="",I184&lt;19,O184=""),"",O184+540)</f>
        <v/>
      </c>
      <c r="AJ184" s="11" t="str">
        <f aca="false">IF(OR(I184="",I184&lt;20,O184=""),"",O184+570)</f>
        <v/>
      </c>
      <c r="AK184" s="11" t="str">
        <f aca="false">IF(OR(I184="",I184&lt;21,O184=""),"",O184+600)</f>
        <v/>
      </c>
      <c r="AL184" s="11" t="str">
        <f aca="false">IF(OR(I184="",I184&lt;22,O184=""),"",O184+630)</f>
        <v/>
      </c>
      <c r="AM184" s="11" t="str">
        <f aca="false">IF(OR(I184="",I184&lt;23,O184=""),"",O184+660)</f>
        <v/>
      </c>
      <c r="AN184" s="11" t="str">
        <f aca="false">IF(OR(I184="",I184&lt;24,O184=""),"",O184+690)</f>
        <v/>
      </c>
      <c r="AO184" s="7" t="str">
        <f aca="false">IF(J184="","",COUNTIF(Q184:AN184,TRUE())*J184)</f>
        <v/>
      </c>
      <c r="AP184" s="7" t="str">
        <f aca="false">IF(K184="","",K184-AO184)</f>
        <v/>
      </c>
      <c r="AQ184" s="7" t="str">
        <f aca="false">IF(K184="","",K184-F184-IF(N184="",0,N184))</f>
        <v/>
      </c>
    </row>
    <row r="185" customFormat="false" ht="15" hidden="false" customHeight="false" outlineLevel="0" collapsed="false">
      <c r="A185" s="12"/>
      <c r="B185" s="12"/>
      <c r="C185" s="12"/>
      <c r="D185" s="13"/>
      <c r="E185" s="13"/>
      <c r="F185" s="14"/>
      <c r="G185" s="12"/>
      <c r="H185" s="12"/>
      <c r="I185" s="12"/>
      <c r="J185" s="14"/>
      <c r="K185" s="15" t="str">
        <f aca="false">IF(OR(I185="",J185=""),"",I185*J185)</f>
        <v/>
      </c>
      <c r="L185" s="12"/>
      <c r="M185" s="16"/>
      <c r="N185" s="15" t="str">
        <f aca="false">IF(OR(L185="",M185="",K185=""),"",IF(L185="GANANCIA",(K185-F185)*M185,IF(L185="BRUTO",K185*M185,"")))</f>
        <v/>
      </c>
      <c r="O185" s="17" t="str">
        <f aca="false">IF(D185="","",D185+30)</f>
        <v/>
      </c>
      <c r="P185" s="18" t="str">
        <f aca="false">IF(I185="","",IF(COUNTIF(Q185:AN185,TRUE())&gt;=I185,"PAGADO",IF(COUNTIF(Q185:AN185,TRUE())&gt;0,"PARCIAL","VIGENTE")))</f>
        <v/>
      </c>
      <c r="Q185" s="19" t="str">
        <f aca="false">IF(OR(I185="",I185&lt;1,O185=""),"",O185+0)</f>
        <v/>
      </c>
      <c r="R185" s="19" t="str">
        <f aca="false">IF(OR(I185="",I185&lt;2,O185=""),"",O185+30)</f>
        <v/>
      </c>
      <c r="S185" s="19" t="str">
        <f aca="false">IF(OR(I185="",I185&lt;3,O185=""),"",O185+60)</f>
        <v/>
      </c>
      <c r="T185" s="19" t="str">
        <f aca="false">IF(OR(I185="",I185&lt;4,O185=""),"",O185+90)</f>
        <v/>
      </c>
      <c r="U185" s="19" t="str">
        <f aca="false">IF(OR(I185="",I185&lt;5,O185=""),"",O185+120)</f>
        <v/>
      </c>
      <c r="V185" s="19" t="str">
        <f aca="false">IF(OR(I185="",I185&lt;6,O185=""),"",O185+150)</f>
        <v/>
      </c>
      <c r="W185" s="19" t="str">
        <f aca="false">IF(OR(I185="",I185&lt;7,O185=""),"",O185+180)</f>
        <v/>
      </c>
      <c r="X185" s="19" t="str">
        <f aca="false">IF(OR(I185="",I185&lt;8,O185=""),"",O185+210)</f>
        <v/>
      </c>
      <c r="Y185" s="19" t="str">
        <f aca="false">IF(OR(I185="",I185&lt;9,O185=""),"",O185+240)</f>
        <v/>
      </c>
      <c r="Z185" s="19" t="str">
        <f aca="false">IF(OR(I185="",I185&lt;10,O185=""),"",O185+270)</f>
        <v/>
      </c>
      <c r="AA185" s="19" t="str">
        <f aca="false">IF(OR(I185="",I185&lt;11,O185=""),"",O185+300)</f>
        <v/>
      </c>
      <c r="AB185" s="19" t="str">
        <f aca="false">IF(OR(I185="",I185&lt;12,O185=""),"",O185+330)</f>
        <v/>
      </c>
      <c r="AC185" s="19" t="str">
        <f aca="false">IF(OR(I185="",I185&lt;13,O185=""),"",O185+360)</f>
        <v/>
      </c>
      <c r="AD185" s="19" t="str">
        <f aca="false">IF(OR(I185="",I185&lt;14,O185=""),"",O185+390)</f>
        <v/>
      </c>
      <c r="AE185" s="19" t="str">
        <f aca="false">IF(OR(I185="",I185&lt;15,O185=""),"",O185+420)</f>
        <v/>
      </c>
      <c r="AF185" s="19" t="str">
        <f aca="false">IF(OR(I185="",I185&lt;16,O185=""),"",O185+450)</f>
        <v/>
      </c>
      <c r="AG185" s="19" t="str">
        <f aca="false">IF(OR(I185="",I185&lt;17,O185=""),"",O185+480)</f>
        <v/>
      </c>
      <c r="AH185" s="19" t="str">
        <f aca="false">IF(OR(I185="",I185&lt;18,O185=""),"",O185+510)</f>
        <v/>
      </c>
      <c r="AI185" s="19" t="str">
        <f aca="false">IF(OR(I185="",I185&lt;19,O185=""),"",O185+540)</f>
        <v/>
      </c>
      <c r="AJ185" s="19" t="str">
        <f aca="false">IF(OR(I185="",I185&lt;20,O185=""),"",O185+570)</f>
        <v/>
      </c>
      <c r="AK185" s="19" t="str">
        <f aca="false">IF(OR(I185="",I185&lt;21,O185=""),"",O185+600)</f>
        <v/>
      </c>
      <c r="AL185" s="19" t="str">
        <f aca="false">IF(OR(I185="",I185&lt;22,O185=""),"",O185+630)</f>
        <v/>
      </c>
      <c r="AM185" s="19" t="str">
        <f aca="false">IF(OR(I185="",I185&lt;23,O185=""),"",O185+660)</f>
        <v/>
      </c>
      <c r="AN185" s="19" t="str">
        <f aca="false">IF(OR(I185="",I185&lt;24,O185=""),"",O185+690)</f>
        <v/>
      </c>
      <c r="AO185" s="15" t="str">
        <f aca="false">IF(J185="","",COUNTIF(Q185:AN185,TRUE())*J185)</f>
        <v/>
      </c>
      <c r="AP185" s="15" t="str">
        <f aca="false">IF(K185="","",K185-AO185)</f>
        <v/>
      </c>
      <c r="AQ185" s="15" t="str">
        <f aca="false">IF(K185="","",K185-F185-IF(N185="",0,N185))</f>
        <v/>
      </c>
    </row>
    <row r="186" customFormat="false" ht="15" hidden="false" customHeight="false" outlineLevel="0" collapsed="false">
      <c r="A186" s="4"/>
      <c r="B186" s="4"/>
      <c r="C186" s="4"/>
      <c r="D186" s="5"/>
      <c r="E186" s="5"/>
      <c r="F186" s="6"/>
      <c r="G186" s="4"/>
      <c r="H186" s="4"/>
      <c r="I186" s="4"/>
      <c r="J186" s="6"/>
      <c r="K186" s="7" t="str">
        <f aca="false">IF(OR(I186="",J186=""),"",I186*J186)</f>
        <v/>
      </c>
      <c r="L186" s="4"/>
      <c r="M186" s="8"/>
      <c r="N186" s="7" t="str">
        <f aca="false">IF(OR(L186="",M186="",K186=""),"",IF(L186="GANANCIA",(K186-F186)*M186,IF(L186="BRUTO",K186*M186,"")))</f>
        <v/>
      </c>
      <c r="O186" s="9" t="str">
        <f aca="false">IF(D186="","",D186+30)</f>
        <v/>
      </c>
      <c r="P186" s="10" t="str">
        <f aca="false">IF(I186="","",IF(COUNTIF(Q186:AN186,TRUE())&gt;=I186,"PAGADO",IF(COUNTIF(Q186:AN186,TRUE())&gt;0,"PARCIAL","VIGENTE")))</f>
        <v/>
      </c>
      <c r="Q186" s="11" t="str">
        <f aca="false">IF(OR(I186="",I186&lt;1,O186=""),"",O186+0)</f>
        <v/>
      </c>
      <c r="R186" s="11" t="str">
        <f aca="false">IF(OR(I186="",I186&lt;2,O186=""),"",O186+30)</f>
        <v/>
      </c>
      <c r="S186" s="11" t="str">
        <f aca="false">IF(OR(I186="",I186&lt;3,O186=""),"",O186+60)</f>
        <v/>
      </c>
      <c r="T186" s="11" t="str">
        <f aca="false">IF(OR(I186="",I186&lt;4,O186=""),"",O186+90)</f>
        <v/>
      </c>
      <c r="U186" s="11" t="str">
        <f aca="false">IF(OR(I186="",I186&lt;5,O186=""),"",O186+120)</f>
        <v/>
      </c>
      <c r="V186" s="11" t="str">
        <f aca="false">IF(OR(I186="",I186&lt;6,O186=""),"",O186+150)</f>
        <v/>
      </c>
      <c r="W186" s="11" t="str">
        <f aca="false">IF(OR(I186="",I186&lt;7,O186=""),"",O186+180)</f>
        <v/>
      </c>
      <c r="X186" s="11" t="str">
        <f aca="false">IF(OR(I186="",I186&lt;8,O186=""),"",O186+210)</f>
        <v/>
      </c>
      <c r="Y186" s="11" t="str">
        <f aca="false">IF(OR(I186="",I186&lt;9,O186=""),"",O186+240)</f>
        <v/>
      </c>
      <c r="Z186" s="11" t="str">
        <f aca="false">IF(OR(I186="",I186&lt;10,O186=""),"",O186+270)</f>
        <v/>
      </c>
      <c r="AA186" s="11" t="str">
        <f aca="false">IF(OR(I186="",I186&lt;11,O186=""),"",O186+300)</f>
        <v/>
      </c>
      <c r="AB186" s="11" t="str">
        <f aca="false">IF(OR(I186="",I186&lt;12,O186=""),"",O186+330)</f>
        <v/>
      </c>
      <c r="AC186" s="11" t="str">
        <f aca="false">IF(OR(I186="",I186&lt;13,O186=""),"",O186+360)</f>
        <v/>
      </c>
      <c r="AD186" s="11" t="str">
        <f aca="false">IF(OR(I186="",I186&lt;14,O186=""),"",O186+390)</f>
        <v/>
      </c>
      <c r="AE186" s="11" t="str">
        <f aca="false">IF(OR(I186="",I186&lt;15,O186=""),"",O186+420)</f>
        <v/>
      </c>
      <c r="AF186" s="11" t="str">
        <f aca="false">IF(OR(I186="",I186&lt;16,O186=""),"",O186+450)</f>
        <v/>
      </c>
      <c r="AG186" s="11" t="str">
        <f aca="false">IF(OR(I186="",I186&lt;17,O186=""),"",O186+480)</f>
        <v/>
      </c>
      <c r="AH186" s="11" t="str">
        <f aca="false">IF(OR(I186="",I186&lt;18,O186=""),"",O186+510)</f>
        <v/>
      </c>
      <c r="AI186" s="11" t="str">
        <f aca="false">IF(OR(I186="",I186&lt;19,O186=""),"",O186+540)</f>
        <v/>
      </c>
      <c r="AJ186" s="11" t="str">
        <f aca="false">IF(OR(I186="",I186&lt;20,O186=""),"",O186+570)</f>
        <v/>
      </c>
      <c r="AK186" s="11" t="str">
        <f aca="false">IF(OR(I186="",I186&lt;21,O186=""),"",O186+600)</f>
        <v/>
      </c>
      <c r="AL186" s="11" t="str">
        <f aca="false">IF(OR(I186="",I186&lt;22,O186=""),"",O186+630)</f>
        <v/>
      </c>
      <c r="AM186" s="11" t="str">
        <f aca="false">IF(OR(I186="",I186&lt;23,O186=""),"",O186+660)</f>
        <v/>
      </c>
      <c r="AN186" s="11" t="str">
        <f aca="false">IF(OR(I186="",I186&lt;24,O186=""),"",O186+690)</f>
        <v/>
      </c>
      <c r="AO186" s="7" t="str">
        <f aca="false">IF(J186="","",COUNTIF(Q186:AN186,TRUE())*J186)</f>
        <v/>
      </c>
      <c r="AP186" s="7" t="str">
        <f aca="false">IF(K186="","",K186-AO186)</f>
        <v/>
      </c>
      <c r="AQ186" s="7" t="str">
        <f aca="false">IF(K186="","",K186-F186-IF(N186="",0,N186))</f>
        <v/>
      </c>
    </row>
    <row r="187" customFormat="false" ht="15" hidden="false" customHeight="false" outlineLevel="0" collapsed="false">
      <c r="A187" s="12"/>
      <c r="B187" s="12"/>
      <c r="C187" s="12"/>
      <c r="D187" s="13"/>
      <c r="E187" s="13"/>
      <c r="F187" s="14"/>
      <c r="G187" s="12"/>
      <c r="H187" s="12"/>
      <c r="I187" s="12"/>
      <c r="J187" s="14"/>
      <c r="K187" s="15" t="str">
        <f aca="false">IF(OR(I187="",J187=""),"",I187*J187)</f>
        <v/>
      </c>
      <c r="L187" s="12"/>
      <c r="M187" s="16"/>
      <c r="N187" s="15" t="str">
        <f aca="false">IF(OR(L187="",M187="",K187=""),"",IF(L187="GANANCIA",(K187-F187)*M187,IF(L187="BRUTO",K187*M187,"")))</f>
        <v/>
      </c>
      <c r="O187" s="17" t="str">
        <f aca="false">IF(D187="","",D187+30)</f>
        <v/>
      </c>
      <c r="P187" s="18" t="str">
        <f aca="false">IF(I187="","",IF(COUNTIF(Q187:AN187,TRUE())&gt;=I187,"PAGADO",IF(COUNTIF(Q187:AN187,TRUE())&gt;0,"PARCIAL","VIGENTE")))</f>
        <v/>
      </c>
      <c r="Q187" s="19" t="str">
        <f aca="false">IF(OR(I187="",I187&lt;1,O187=""),"",O187+0)</f>
        <v/>
      </c>
      <c r="R187" s="19" t="str">
        <f aca="false">IF(OR(I187="",I187&lt;2,O187=""),"",O187+30)</f>
        <v/>
      </c>
      <c r="S187" s="19" t="str">
        <f aca="false">IF(OR(I187="",I187&lt;3,O187=""),"",O187+60)</f>
        <v/>
      </c>
      <c r="T187" s="19" t="str">
        <f aca="false">IF(OR(I187="",I187&lt;4,O187=""),"",O187+90)</f>
        <v/>
      </c>
      <c r="U187" s="19" t="str">
        <f aca="false">IF(OR(I187="",I187&lt;5,O187=""),"",O187+120)</f>
        <v/>
      </c>
      <c r="V187" s="19" t="str">
        <f aca="false">IF(OR(I187="",I187&lt;6,O187=""),"",O187+150)</f>
        <v/>
      </c>
      <c r="W187" s="19" t="str">
        <f aca="false">IF(OR(I187="",I187&lt;7,O187=""),"",O187+180)</f>
        <v/>
      </c>
      <c r="X187" s="19" t="str">
        <f aca="false">IF(OR(I187="",I187&lt;8,O187=""),"",O187+210)</f>
        <v/>
      </c>
      <c r="Y187" s="19" t="str">
        <f aca="false">IF(OR(I187="",I187&lt;9,O187=""),"",O187+240)</f>
        <v/>
      </c>
      <c r="Z187" s="19" t="str">
        <f aca="false">IF(OR(I187="",I187&lt;10,O187=""),"",O187+270)</f>
        <v/>
      </c>
      <c r="AA187" s="19" t="str">
        <f aca="false">IF(OR(I187="",I187&lt;11,O187=""),"",O187+300)</f>
        <v/>
      </c>
      <c r="AB187" s="19" t="str">
        <f aca="false">IF(OR(I187="",I187&lt;12,O187=""),"",O187+330)</f>
        <v/>
      </c>
      <c r="AC187" s="19" t="str">
        <f aca="false">IF(OR(I187="",I187&lt;13,O187=""),"",O187+360)</f>
        <v/>
      </c>
      <c r="AD187" s="19" t="str">
        <f aca="false">IF(OR(I187="",I187&lt;14,O187=""),"",O187+390)</f>
        <v/>
      </c>
      <c r="AE187" s="19" t="str">
        <f aca="false">IF(OR(I187="",I187&lt;15,O187=""),"",O187+420)</f>
        <v/>
      </c>
      <c r="AF187" s="19" t="str">
        <f aca="false">IF(OR(I187="",I187&lt;16,O187=""),"",O187+450)</f>
        <v/>
      </c>
      <c r="AG187" s="19" t="str">
        <f aca="false">IF(OR(I187="",I187&lt;17,O187=""),"",O187+480)</f>
        <v/>
      </c>
      <c r="AH187" s="19" t="str">
        <f aca="false">IF(OR(I187="",I187&lt;18,O187=""),"",O187+510)</f>
        <v/>
      </c>
      <c r="AI187" s="19" t="str">
        <f aca="false">IF(OR(I187="",I187&lt;19,O187=""),"",O187+540)</f>
        <v/>
      </c>
      <c r="AJ187" s="19" t="str">
        <f aca="false">IF(OR(I187="",I187&lt;20,O187=""),"",O187+570)</f>
        <v/>
      </c>
      <c r="AK187" s="19" t="str">
        <f aca="false">IF(OR(I187="",I187&lt;21,O187=""),"",O187+600)</f>
        <v/>
      </c>
      <c r="AL187" s="19" t="str">
        <f aca="false">IF(OR(I187="",I187&lt;22,O187=""),"",O187+630)</f>
        <v/>
      </c>
      <c r="AM187" s="19" t="str">
        <f aca="false">IF(OR(I187="",I187&lt;23,O187=""),"",O187+660)</f>
        <v/>
      </c>
      <c r="AN187" s="19" t="str">
        <f aca="false">IF(OR(I187="",I187&lt;24,O187=""),"",O187+690)</f>
        <v/>
      </c>
      <c r="AO187" s="15" t="str">
        <f aca="false">IF(J187="","",COUNTIF(Q187:AN187,TRUE())*J187)</f>
        <v/>
      </c>
      <c r="AP187" s="15" t="str">
        <f aca="false">IF(K187="","",K187-AO187)</f>
        <v/>
      </c>
      <c r="AQ187" s="15" t="str">
        <f aca="false">IF(K187="","",K187-F187-IF(N187="",0,N187))</f>
        <v/>
      </c>
    </row>
    <row r="188" customFormat="false" ht="15" hidden="false" customHeight="false" outlineLevel="0" collapsed="false">
      <c r="A188" s="4"/>
      <c r="B188" s="4"/>
      <c r="C188" s="4"/>
      <c r="D188" s="5"/>
      <c r="E188" s="5"/>
      <c r="F188" s="6"/>
      <c r="G188" s="4"/>
      <c r="H188" s="4"/>
      <c r="I188" s="4"/>
      <c r="J188" s="6"/>
      <c r="K188" s="7" t="str">
        <f aca="false">IF(OR(I188="",J188=""),"",I188*J188)</f>
        <v/>
      </c>
      <c r="L188" s="4"/>
      <c r="M188" s="8"/>
      <c r="N188" s="7" t="str">
        <f aca="false">IF(OR(L188="",M188="",K188=""),"",IF(L188="GANANCIA",(K188-F188)*M188,IF(L188="BRUTO",K188*M188,"")))</f>
        <v/>
      </c>
      <c r="O188" s="9" t="str">
        <f aca="false">IF(D188="","",D188+30)</f>
        <v/>
      </c>
      <c r="P188" s="10" t="str">
        <f aca="false">IF(I188="","",IF(COUNTIF(Q188:AN188,TRUE())&gt;=I188,"PAGADO",IF(COUNTIF(Q188:AN188,TRUE())&gt;0,"PARCIAL","VIGENTE")))</f>
        <v/>
      </c>
      <c r="Q188" s="11" t="str">
        <f aca="false">IF(OR(I188="",I188&lt;1,O188=""),"",O188+0)</f>
        <v/>
      </c>
      <c r="R188" s="11" t="str">
        <f aca="false">IF(OR(I188="",I188&lt;2,O188=""),"",O188+30)</f>
        <v/>
      </c>
      <c r="S188" s="11" t="str">
        <f aca="false">IF(OR(I188="",I188&lt;3,O188=""),"",O188+60)</f>
        <v/>
      </c>
      <c r="T188" s="11" t="str">
        <f aca="false">IF(OR(I188="",I188&lt;4,O188=""),"",O188+90)</f>
        <v/>
      </c>
      <c r="U188" s="11" t="str">
        <f aca="false">IF(OR(I188="",I188&lt;5,O188=""),"",O188+120)</f>
        <v/>
      </c>
      <c r="V188" s="11" t="str">
        <f aca="false">IF(OR(I188="",I188&lt;6,O188=""),"",O188+150)</f>
        <v/>
      </c>
      <c r="W188" s="11" t="str">
        <f aca="false">IF(OR(I188="",I188&lt;7,O188=""),"",O188+180)</f>
        <v/>
      </c>
      <c r="X188" s="11" t="str">
        <f aca="false">IF(OR(I188="",I188&lt;8,O188=""),"",O188+210)</f>
        <v/>
      </c>
      <c r="Y188" s="11" t="str">
        <f aca="false">IF(OR(I188="",I188&lt;9,O188=""),"",O188+240)</f>
        <v/>
      </c>
      <c r="Z188" s="11" t="str">
        <f aca="false">IF(OR(I188="",I188&lt;10,O188=""),"",O188+270)</f>
        <v/>
      </c>
      <c r="AA188" s="11" t="str">
        <f aca="false">IF(OR(I188="",I188&lt;11,O188=""),"",O188+300)</f>
        <v/>
      </c>
      <c r="AB188" s="11" t="str">
        <f aca="false">IF(OR(I188="",I188&lt;12,O188=""),"",O188+330)</f>
        <v/>
      </c>
      <c r="AC188" s="11" t="str">
        <f aca="false">IF(OR(I188="",I188&lt;13,O188=""),"",O188+360)</f>
        <v/>
      </c>
      <c r="AD188" s="11" t="str">
        <f aca="false">IF(OR(I188="",I188&lt;14,O188=""),"",O188+390)</f>
        <v/>
      </c>
      <c r="AE188" s="11" t="str">
        <f aca="false">IF(OR(I188="",I188&lt;15,O188=""),"",O188+420)</f>
        <v/>
      </c>
      <c r="AF188" s="11" t="str">
        <f aca="false">IF(OR(I188="",I188&lt;16,O188=""),"",O188+450)</f>
        <v/>
      </c>
      <c r="AG188" s="11" t="str">
        <f aca="false">IF(OR(I188="",I188&lt;17,O188=""),"",O188+480)</f>
        <v/>
      </c>
      <c r="AH188" s="11" t="str">
        <f aca="false">IF(OR(I188="",I188&lt;18,O188=""),"",O188+510)</f>
        <v/>
      </c>
      <c r="AI188" s="11" t="str">
        <f aca="false">IF(OR(I188="",I188&lt;19,O188=""),"",O188+540)</f>
        <v/>
      </c>
      <c r="AJ188" s="11" t="str">
        <f aca="false">IF(OR(I188="",I188&lt;20,O188=""),"",O188+570)</f>
        <v/>
      </c>
      <c r="AK188" s="11" t="str">
        <f aca="false">IF(OR(I188="",I188&lt;21,O188=""),"",O188+600)</f>
        <v/>
      </c>
      <c r="AL188" s="11" t="str">
        <f aca="false">IF(OR(I188="",I188&lt;22,O188=""),"",O188+630)</f>
        <v/>
      </c>
      <c r="AM188" s="11" t="str">
        <f aca="false">IF(OR(I188="",I188&lt;23,O188=""),"",O188+660)</f>
        <v/>
      </c>
      <c r="AN188" s="11" t="str">
        <f aca="false">IF(OR(I188="",I188&lt;24,O188=""),"",O188+690)</f>
        <v/>
      </c>
      <c r="AO188" s="7" t="str">
        <f aca="false">IF(J188="","",COUNTIF(Q188:AN188,TRUE())*J188)</f>
        <v/>
      </c>
      <c r="AP188" s="7" t="str">
        <f aca="false">IF(K188="","",K188-AO188)</f>
        <v/>
      </c>
      <c r="AQ188" s="7" t="str">
        <f aca="false">IF(K188="","",K188-F188-IF(N188="",0,N188))</f>
        <v/>
      </c>
    </row>
    <row r="189" customFormat="false" ht="15" hidden="false" customHeight="false" outlineLevel="0" collapsed="false">
      <c r="A189" s="12"/>
      <c r="B189" s="12"/>
      <c r="C189" s="12"/>
      <c r="D189" s="13"/>
      <c r="E189" s="13"/>
      <c r="F189" s="14"/>
      <c r="G189" s="12"/>
      <c r="H189" s="12"/>
      <c r="I189" s="12"/>
      <c r="J189" s="14"/>
      <c r="K189" s="15" t="str">
        <f aca="false">IF(OR(I189="",J189=""),"",I189*J189)</f>
        <v/>
      </c>
      <c r="L189" s="12"/>
      <c r="M189" s="16"/>
      <c r="N189" s="15" t="str">
        <f aca="false">IF(OR(L189="",M189="",K189=""),"",IF(L189="GANANCIA",(K189-F189)*M189,IF(L189="BRUTO",K189*M189,"")))</f>
        <v/>
      </c>
      <c r="O189" s="17" t="str">
        <f aca="false">IF(D189="","",D189+30)</f>
        <v/>
      </c>
      <c r="P189" s="18" t="str">
        <f aca="false">IF(I189="","",IF(COUNTIF(Q189:AN189,TRUE())&gt;=I189,"PAGADO",IF(COUNTIF(Q189:AN189,TRUE())&gt;0,"PARCIAL","VIGENTE")))</f>
        <v/>
      </c>
      <c r="Q189" s="19" t="str">
        <f aca="false">IF(OR(I189="",I189&lt;1,O189=""),"",O189+0)</f>
        <v/>
      </c>
      <c r="R189" s="19" t="str">
        <f aca="false">IF(OR(I189="",I189&lt;2,O189=""),"",O189+30)</f>
        <v/>
      </c>
      <c r="S189" s="19" t="str">
        <f aca="false">IF(OR(I189="",I189&lt;3,O189=""),"",O189+60)</f>
        <v/>
      </c>
      <c r="T189" s="19" t="str">
        <f aca="false">IF(OR(I189="",I189&lt;4,O189=""),"",O189+90)</f>
        <v/>
      </c>
      <c r="U189" s="19" t="str">
        <f aca="false">IF(OR(I189="",I189&lt;5,O189=""),"",O189+120)</f>
        <v/>
      </c>
      <c r="V189" s="19" t="str">
        <f aca="false">IF(OR(I189="",I189&lt;6,O189=""),"",O189+150)</f>
        <v/>
      </c>
      <c r="W189" s="19" t="str">
        <f aca="false">IF(OR(I189="",I189&lt;7,O189=""),"",O189+180)</f>
        <v/>
      </c>
      <c r="X189" s="19" t="str">
        <f aca="false">IF(OR(I189="",I189&lt;8,O189=""),"",O189+210)</f>
        <v/>
      </c>
      <c r="Y189" s="19" t="str">
        <f aca="false">IF(OR(I189="",I189&lt;9,O189=""),"",O189+240)</f>
        <v/>
      </c>
      <c r="Z189" s="19" t="str">
        <f aca="false">IF(OR(I189="",I189&lt;10,O189=""),"",O189+270)</f>
        <v/>
      </c>
      <c r="AA189" s="19" t="str">
        <f aca="false">IF(OR(I189="",I189&lt;11,O189=""),"",O189+300)</f>
        <v/>
      </c>
      <c r="AB189" s="19" t="str">
        <f aca="false">IF(OR(I189="",I189&lt;12,O189=""),"",O189+330)</f>
        <v/>
      </c>
      <c r="AC189" s="19" t="str">
        <f aca="false">IF(OR(I189="",I189&lt;13,O189=""),"",O189+360)</f>
        <v/>
      </c>
      <c r="AD189" s="19" t="str">
        <f aca="false">IF(OR(I189="",I189&lt;14,O189=""),"",O189+390)</f>
        <v/>
      </c>
      <c r="AE189" s="19" t="str">
        <f aca="false">IF(OR(I189="",I189&lt;15,O189=""),"",O189+420)</f>
        <v/>
      </c>
      <c r="AF189" s="19" t="str">
        <f aca="false">IF(OR(I189="",I189&lt;16,O189=""),"",O189+450)</f>
        <v/>
      </c>
      <c r="AG189" s="19" t="str">
        <f aca="false">IF(OR(I189="",I189&lt;17,O189=""),"",O189+480)</f>
        <v/>
      </c>
      <c r="AH189" s="19" t="str">
        <f aca="false">IF(OR(I189="",I189&lt;18,O189=""),"",O189+510)</f>
        <v/>
      </c>
      <c r="AI189" s="19" t="str">
        <f aca="false">IF(OR(I189="",I189&lt;19,O189=""),"",O189+540)</f>
        <v/>
      </c>
      <c r="AJ189" s="19" t="str">
        <f aca="false">IF(OR(I189="",I189&lt;20,O189=""),"",O189+570)</f>
        <v/>
      </c>
      <c r="AK189" s="19" t="str">
        <f aca="false">IF(OR(I189="",I189&lt;21,O189=""),"",O189+600)</f>
        <v/>
      </c>
      <c r="AL189" s="19" t="str">
        <f aca="false">IF(OR(I189="",I189&lt;22,O189=""),"",O189+630)</f>
        <v/>
      </c>
      <c r="AM189" s="19" t="str">
        <f aca="false">IF(OR(I189="",I189&lt;23,O189=""),"",O189+660)</f>
        <v/>
      </c>
      <c r="AN189" s="19" t="str">
        <f aca="false">IF(OR(I189="",I189&lt;24,O189=""),"",O189+690)</f>
        <v/>
      </c>
      <c r="AO189" s="15" t="str">
        <f aca="false">IF(J189="","",COUNTIF(Q189:AN189,TRUE())*J189)</f>
        <v/>
      </c>
      <c r="AP189" s="15" t="str">
        <f aca="false">IF(K189="","",K189-AO189)</f>
        <v/>
      </c>
      <c r="AQ189" s="15" t="str">
        <f aca="false">IF(K189="","",K189-F189-IF(N189="",0,N189))</f>
        <v/>
      </c>
    </row>
    <row r="190" customFormat="false" ht="15" hidden="false" customHeight="false" outlineLevel="0" collapsed="false">
      <c r="A190" s="4"/>
      <c r="B190" s="4"/>
      <c r="C190" s="4"/>
      <c r="D190" s="5"/>
      <c r="E190" s="5"/>
      <c r="F190" s="6"/>
      <c r="G190" s="4"/>
      <c r="H190" s="4"/>
      <c r="I190" s="4"/>
      <c r="J190" s="6"/>
      <c r="K190" s="7" t="str">
        <f aca="false">IF(OR(I190="",J190=""),"",I190*J190)</f>
        <v/>
      </c>
      <c r="L190" s="4"/>
      <c r="M190" s="8"/>
      <c r="N190" s="7" t="str">
        <f aca="false">IF(OR(L190="",M190="",K190=""),"",IF(L190="GANANCIA",(K190-F190)*M190,IF(L190="BRUTO",K190*M190,"")))</f>
        <v/>
      </c>
      <c r="O190" s="9" t="str">
        <f aca="false">IF(D190="","",D190+30)</f>
        <v/>
      </c>
      <c r="P190" s="10" t="str">
        <f aca="false">IF(I190="","",IF(COUNTIF(Q190:AN190,TRUE())&gt;=I190,"PAGADO",IF(COUNTIF(Q190:AN190,TRUE())&gt;0,"PARCIAL","VIGENTE")))</f>
        <v/>
      </c>
      <c r="Q190" s="11" t="str">
        <f aca="false">IF(OR(I190="",I190&lt;1,O190=""),"",O190+0)</f>
        <v/>
      </c>
      <c r="R190" s="11" t="str">
        <f aca="false">IF(OR(I190="",I190&lt;2,O190=""),"",O190+30)</f>
        <v/>
      </c>
      <c r="S190" s="11" t="str">
        <f aca="false">IF(OR(I190="",I190&lt;3,O190=""),"",O190+60)</f>
        <v/>
      </c>
      <c r="T190" s="11" t="str">
        <f aca="false">IF(OR(I190="",I190&lt;4,O190=""),"",O190+90)</f>
        <v/>
      </c>
      <c r="U190" s="11" t="str">
        <f aca="false">IF(OR(I190="",I190&lt;5,O190=""),"",O190+120)</f>
        <v/>
      </c>
      <c r="V190" s="11" t="str">
        <f aca="false">IF(OR(I190="",I190&lt;6,O190=""),"",O190+150)</f>
        <v/>
      </c>
      <c r="W190" s="11" t="str">
        <f aca="false">IF(OR(I190="",I190&lt;7,O190=""),"",O190+180)</f>
        <v/>
      </c>
      <c r="X190" s="11" t="str">
        <f aca="false">IF(OR(I190="",I190&lt;8,O190=""),"",O190+210)</f>
        <v/>
      </c>
      <c r="Y190" s="11" t="str">
        <f aca="false">IF(OR(I190="",I190&lt;9,O190=""),"",O190+240)</f>
        <v/>
      </c>
      <c r="Z190" s="11" t="str">
        <f aca="false">IF(OR(I190="",I190&lt;10,O190=""),"",O190+270)</f>
        <v/>
      </c>
      <c r="AA190" s="11" t="str">
        <f aca="false">IF(OR(I190="",I190&lt;11,O190=""),"",O190+300)</f>
        <v/>
      </c>
      <c r="AB190" s="11" t="str">
        <f aca="false">IF(OR(I190="",I190&lt;12,O190=""),"",O190+330)</f>
        <v/>
      </c>
      <c r="AC190" s="11" t="str">
        <f aca="false">IF(OR(I190="",I190&lt;13,O190=""),"",O190+360)</f>
        <v/>
      </c>
      <c r="AD190" s="11" t="str">
        <f aca="false">IF(OR(I190="",I190&lt;14,O190=""),"",O190+390)</f>
        <v/>
      </c>
      <c r="AE190" s="11" t="str">
        <f aca="false">IF(OR(I190="",I190&lt;15,O190=""),"",O190+420)</f>
        <v/>
      </c>
      <c r="AF190" s="11" t="str">
        <f aca="false">IF(OR(I190="",I190&lt;16,O190=""),"",O190+450)</f>
        <v/>
      </c>
      <c r="AG190" s="11" t="str">
        <f aca="false">IF(OR(I190="",I190&lt;17,O190=""),"",O190+480)</f>
        <v/>
      </c>
      <c r="AH190" s="11" t="str">
        <f aca="false">IF(OR(I190="",I190&lt;18,O190=""),"",O190+510)</f>
        <v/>
      </c>
      <c r="AI190" s="11" t="str">
        <f aca="false">IF(OR(I190="",I190&lt;19,O190=""),"",O190+540)</f>
        <v/>
      </c>
      <c r="AJ190" s="11" t="str">
        <f aca="false">IF(OR(I190="",I190&lt;20,O190=""),"",O190+570)</f>
        <v/>
      </c>
      <c r="AK190" s="11" t="str">
        <f aca="false">IF(OR(I190="",I190&lt;21,O190=""),"",O190+600)</f>
        <v/>
      </c>
      <c r="AL190" s="11" t="str">
        <f aca="false">IF(OR(I190="",I190&lt;22,O190=""),"",O190+630)</f>
        <v/>
      </c>
      <c r="AM190" s="11" t="str">
        <f aca="false">IF(OR(I190="",I190&lt;23,O190=""),"",O190+660)</f>
        <v/>
      </c>
      <c r="AN190" s="11" t="str">
        <f aca="false">IF(OR(I190="",I190&lt;24,O190=""),"",O190+690)</f>
        <v/>
      </c>
      <c r="AO190" s="7" t="str">
        <f aca="false">IF(J190="","",COUNTIF(Q190:AN190,TRUE())*J190)</f>
        <v/>
      </c>
      <c r="AP190" s="7" t="str">
        <f aca="false">IF(K190="","",K190-AO190)</f>
        <v/>
      </c>
      <c r="AQ190" s="7" t="str">
        <f aca="false">IF(K190="","",K190-F190-IF(N190="",0,N190))</f>
        <v/>
      </c>
    </row>
    <row r="191" customFormat="false" ht="15" hidden="false" customHeight="false" outlineLevel="0" collapsed="false">
      <c r="A191" s="12"/>
      <c r="B191" s="12"/>
      <c r="C191" s="12"/>
      <c r="D191" s="13"/>
      <c r="E191" s="13"/>
      <c r="F191" s="14"/>
      <c r="G191" s="12"/>
      <c r="H191" s="12"/>
      <c r="I191" s="12"/>
      <c r="J191" s="14"/>
      <c r="K191" s="15" t="str">
        <f aca="false">IF(OR(I191="",J191=""),"",I191*J191)</f>
        <v/>
      </c>
      <c r="L191" s="12"/>
      <c r="M191" s="16"/>
      <c r="N191" s="15" t="str">
        <f aca="false">IF(OR(L191="",M191="",K191=""),"",IF(L191="GANANCIA",(K191-F191)*M191,IF(L191="BRUTO",K191*M191,"")))</f>
        <v/>
      </c>
      <c r="O191" s="17" t="str">
        <f aca="false">IF(D191="","",D191+30)</f>
        <v/>
      </c>
      <c r="P191" s="18" t="str">
        <f aca="false">IF(I191="","",IF(COUNTIF(Q191:AN191,TRUE())&gt;=I191,"PAGADO",IF(COUNTIF(Q191:AN191,TRUE())&gt;0,"PARCIAL","VIGENTE")))</f>
        <v/>
      </c>
      <c r="Q191" s="19" t="str">
        <f aca="false">IF(OR(I191="",I191&lt;1,O191=""),"",O191+0)</f>
        <v/>
      </c>
      <c r="R191" s="19" t="str">
        <f aca="false">IF(OR(I191="",I191&lt;2,O191=""),"",O191+30)</f>
        <v/>
      </c>
      <c r="S191" s="19" t="str">
        <f aca="false">IF(OR(I191="",I191&lt;3,O191=""),"",O191+60)</f>
        <v/>
      </c>
      <c r="T191" s="19" t="str">
        <f aca="false">IF(OR(I191="",I191&lt;4,O191=""),"",O191+90)</f>
        <v/>
      </c>
      <c r="U191" s="19" t="str">
        <f aca="false">IF(OR(I191="",I191&lt;5,O191=""),"",O191+120)</f>
        <v/>
      </c>
      <c r="V191" s="19" t="str">
        <f aca="false">IF(OR(I191="",I191&lt;6,O191=""),"",O191+150)</f>
        <v/>
      </c>
      <c r="W191" s="19" t="str">
        <f aca="false">IF(OR(I191="",I191&lt;7,O191=""),"",O191+180)</f>
        <v/>
      </c>
      <c r="X191" s="19" t="str">
        <f aca="false">IF(OR(I191="",I191&lt;8,O191=""),"",O191+210)</f>
        <v/>
      </c>
      <c r="Y191" s="19" t="str">
        <f aca="false">IF(OR(I191="",I191&lt;9,O191=""),"",O191+240)</f>
        <v/>
      </c>
      <c r="Z191" s="19" t="str">
        <f aca="false">IF(OR(I191="",I191&lt;10,O191=""),"",O191+270)</f>
        <v/>
      </c>
      <c r="AA191" s="19" t="str">
        <f aca="false">IF(OR(I191="",I191&lt;11,O191=""),"",O191+300)</f>
        <v/>
      </c>
      <c r="AB191" s="19" t="str">
        <f aca="false">IF(OR(I191="",I191&lt;12,O191=""),"",O191+330)</f>
        <v/>
      </c>
      <c r="AC191" s="19" t="str">
        <f aca="false">IF(OR(I191="",I191&lt;13,O191=""),"",O191+360)</f>
        <v/>
      </c>
      <c r="AD191" s="19" t="str">
        <f aca="false">IF(OR(I191="",I191&lt;14,O191=""),"",O191+390)</f>
        <v/>
      </c>
      <c r="AE191" s="19" t="str">
        <f aca="false">IF(OR(I191="",I191&lt;15,O191=""),"",O191+420)</f>
        <v/>
      </c>
      <c r="AF191" s="19" t="str">
        <f aca="false">IF(OR(I191="",I191&lt;16,O191=""),"",O191+450)</f>
        <v/>
      </c>
      <c r="AG191" s="19" t="str">
        <f aca="false">IF(OR(I191="",I191&lt;17,O191=""),"",O191+480)</f>
        <v/>
      </c>
      <c r="AH191" s="19" t="str">
        <f aca="false">IF(OR(I191="",I191&lt;18,O191=""),"",O191+510)</f>
        <v/>
      </c>
      <c r="AI191" s="19" t="str">
        <f aca="false">IF(OR(I191="",I191&lt;19,O191=""),"",O191+540)</f>
        <v/>
      </c>
      <c r="AJ191" s="19" t="str">
        <f aca="false">IF(OR(I191="",I191&lt;20,O191=""),"",O191+570)</f>
        <v/>
      </c>
      <c r="AK191" s="19" t="str">
        <f aca="false">IF(OR(I191="",I191&lt;21,O191=""),"",O191+600)</f>
        <v/>
      </c>
      <c r="AL191" s="19" t="str">
        <f aca="false">IF(OR(I191="",I191&lt;22,O191=""),"",O191+630)</f>
        <v/>
      </c>
      <c r="AM191" s="19" t="str">
        <f aca="false">IF(OR(I191="",I191&lt;23,O191=""),"",O191+660)</f>
        <v/>
      </c>
      <c r="AN191" s="19" t="str">
        <f aca="false">IF(OR(I191="",I191&lt;24,O191=""),"",O191+690)</f>
        <v/>
      </c>
      <c r="AO191" s="15" t="str">
        <f aca="false">IF(J191="","",COUNTIF(Q191:AN191,TRUE())*J191)</f>
        <v/>
      </c>
      <c r="AP191" s="15" t="str">
        <f aca="false">IF(K191="","",K191-AO191)</f>
        <v/>
      </c>
      <c r="AQ191" s="15" t="str">
        <f aca="false">IF(K191="","",K191-F191-IF(N191="",0,N191))</f>
        <v/>
      </c>
    </row>
    <row r="192" customFormat="false" ht="15" hidden="false" customHeight="false" outlineLevel="0" collapsed="false">
      <c r="A192" s="4"/>
      <c r="B192" s="4"/>
      <c r="C192" s="4"/>
      <c r="D192" s="5"/>
      <c r="E192" s="5"/>
      <c r="F192" s="6"/>
      <c r="G192" s="4"/>
      <c r="H192" s="4"/>
      <c r="I192" s="4"/>
      <c r="J192" s="6"/>
      <c r="K192" s="7" t="str">
        <f aca="false">IF(OR(I192="",J192=""),"",I192*J192)</f>
        <v/>
      </c>
      <c r="L192" s="4"/>
      <c r="M192" s="8"/>
      <c r="N192" s="7" t="str">
        <f aca="false">IF(OR(L192="",M192="",K192=""),"",IF(L192="GANANCIA",(K192-F192)*M192,IF(L192="BRUTO",K192*M192,"")))</f>
        <v/>
      </c>
      <c r="O192" s="9" t="str">
        <f aca="false">IF(D192="","",D192+30)</f>
        <v/>
      </c>
      <c r="P192" s="10" t="str">
        <f aca="false">IF(I192="","",IF(COUNTIF(Q192:AN192,TRUE())&gt;=I192,"PAGADO",IF(COUNTIF(Q192:AN192,TRUE())&gt;0,"PARCIAL","VIGENTE")))</f>
        <v/>
      </c>
      <c r="Q192" s="11" t="str">
        <f aca="false">IF(OR(I192="",I192&lt;1,O192=""),"",O192+0)</f>
        <v/>
      </c>
      <c r="R192" s="11" t="str">
        <f aca="false">IF(OR(I192="",I192&lt;2,O192=""),"",O192+30)</f>
        <v/>
      </c>
      <c r="S192" s="11" t="str">
        <f aca="false">IF(OR(I192="",I192&lt;3,O192=""),"",O192+60)</f>
        <v/>
      </c>
      <c r="T192" s="11" t="str">
        <f aca="false">IF(OR(I192="",I192&lt;4,O192=""),"",O192+90)</f>
        <v/>
      </c>
      <c r="U192" s="11" t="str">
        <f aca="false">IF(OR(I192="",I192&lt;5,O192=""),"",O192+120)</f>
        <v/>
      </c>
      <c r="V192" s="11" t="str">
        <f aca="false">IF(OR(I192="",I192&lt;6,O192=""),"",O192+150)</f>
        <v/>
      </c>
      <c r="W192" s="11" t="str">
        <f aca="false">IF(OR(I192="",I192&lt;7,O192=""),"",O192+180)</f>
        <v/>
      </c>
      <c r="X192" s="11" t="str">
        <f aca="false">IF(OR(I192="",I192&lt;8,O192=""),"",O192+210)</f>
        <v/>
      </c>
      <c r="Y192" s="11" t="str">
        <f aca="false">IF(OR(I192="",I192&lt;9,O192=""),"",O192+240)</f>
        <v/>
      </c>
      <c r="Z192" s="11" t="str">
        <f aca="false">IF(OR(I192="",I192&lt;10,O192=""),"",O192+270)</f>
        <v/>
      </c>
      <c r="AA192" s="11" t="str">
        <f aca="false">IF(OR(I192="",I192&lt;11,O192=""),"",O192+300)</f>
        <v/>
      </c>
      <c r="AB192" s="11" t="str">
        <f aca="false">IF(OR(I192="",I192&lt;12,O192=""),"",O192+330)</f>
        <v/>
      </c>
      <c r="AC192" s="11" t="str">
        <f aca="false">IF(OR(I192="",I192&lt;13,O192=""),"",O192+360)</f>
        <v/>
      </c>
      <c r="AD192" s="11" t="str">
        <f aca="false">IF(OR(I192="",I192&lt;14,O192=""),"",O192+390)</f>
        <v/>
      </c>
      <c r="AE192" s="11" t="str">
        <f aca="false">IF(OR(I192="",I192&lt;15,O192=""),"",O192+420)</f>
        <v/>
      </c>
      <c r="AF192" s="11" t="str">
        <f aca="false">IF(OR(I192="",I192&lt;16,O192=""),"",O192+450)</f>
        <v/>
      </c>
      <c r="AG192" s="11" t="str">
        <f aca="false">IF(OR(I192="",I192&lt;17,O192=""),"",O192+480)</f>
        <v/>
      </c>
      <c r="AH192" s="11" t="str">
        <f aca="false">IF(OR(I192="",I192&lt;18,O192=""),"",O192+510)</f>
        <v/>
      </c>
      <c r="AI192" s="11" t="str">
        <f aca="false">IF(OR(I192="",I192&lt;19,O192=""),"",O192+540)</f>
        <v/>
      </c>
      <c r="AJ192" s="11" t="str">
        <f aca="false">IF(OR(I192="",I192&lt;20,O192=""),"",O192+570)</f>
        <v/>
      </c>
      <c r="AK192" s="11" t="str">
        <f aca="false">IF(OR(I192="",I192&lt;21,O192=""),"",O192+600)</f>
        <v/>
      </c>
      <c r="AL192" s="11" t="str">
        <f aca="false">IF(OR(I192="",I192&lt;22,O192=""),"",O192+630)</f>
        <v/>
      </c>
      <c r="AM192" s="11" t="str">
        <f aca="false">IF(OR(I192="",I192&lt;23,O192=""),"",O192+660)</f>
        <v/>
      </c>
      <c r="AN192" s="11" t="str">
        <f aca="false">IF(OR(I192="",I192&lt;24,O192=""),"",O192+690)</f>
        <v/>
      </c>
      <c r="AO192" s="7" t="str">
        <f aca="false">IF(J192="","",COUNTIF(Q192:AN192,TRUE())*J192)</f>
        <v/>
      </c>
      <c r="AP192" s="7" t="str">
        <f aca="false">IF(K192="","",K192-AO192)</f>
        <v/>
      </c>
      <c r="AQ192" s="7" t="str">
        <f aca="false">IF(K192="","",K192-F192-IF(N192="",0,N192))</f>
        <v/>
      </c>
    </row>
    <row r="193" customFormat="false" ht="15" hidden="false" customHeight="false" outlineLevel="0" collapsed="false">
      <c r="A193" s="12"/>
      <c r="B193" s="12"/>
      <c r="C193" s="12"/>
      <c r="D193" s="13"/>
      <c r="E193" s="13"/>
      <c r="F193" s="14"/>
      <c r="G193" s="12"/>
      <c r="H193" s="12"/>
      <c r="I193" s="12"/>
      <c r="J193" s="14"/>
      <c r="K193" s="15" t="str">
        <f aca="false">IF(OR(I193="",J193=""),"",I193*J193)</f>
        <v/>
      </c>
      <c r="L193" s="12"/>
      <c r="M193" s="16"/>
      <c r="N193" s="15" t="str">
        <f aca="false">IF(OR(L193="",M193="",K193=""),"",IF(L193="GANANCIA",(K193-F193)*M193,IF(L193="BRUTO",K193*M193,"")))</f>
        <v/>
      </c>
      <c r="O193" s="17" t="str">
        <f aca="false">IF(D193="","",D193+30)</f>
        <v/>
      </c>
      <c r="P193" s="18" t="str">
        <f aca="false">IF(I193="","",IF(COUNTIF(Q193:AN193,TRUE())&gt;=I193,"PAGADO",IF(COUNTIF(Q193:AN193,TRUE())&gt;0,"PARCIAL","VIGENTE")))</f>
        <v/>
      </c>
      <c r="Q193" s="19" t="str">
        <f aca="false">IF(OR(I193="",I193&lt;1,O193=""),"",O193+0)</f>
        <v/>
      </c>
      <c r="R193" s="19" t="str">
        <f aca="false">IF(OR(I193="",I193&lt;2,O193=""),"",O193+30)</f>
        <v/>
      </c>
      <c r="S193" s="19" t="str">
        <f aca="false">IF(OR(I193="",I193&lt;3,O193=""),"",O193+60)</f>
        <v/>
      </c>
      <c r="T193" s="19" t="str">
        <f aca="false">IF(OR(I193="",I193&lt;4,O193=""),"",O193+90)</f>
        <v/>
      </c>
      <c r="U193" s="19" t="str">
        <f aca="false">IF(OR(I193="",I193&lt;5,O193=""),"",O193+120)</f>
        <v/>
      </c>
      <c r="V193" s="19" t="str">
        <f aca="false">IF(OR(I193="",I193&lt;6,O193=""),"",O193+150)</f>
        <v/>
      </c>
      <c r="W193" s="19" t="str">
        <f aca="false">IF(OR(I193="",I193&lt;7,O193=""),"",O193+180)</f>
        <v/>
      </c>
      <c r="X193" s="19" t="str">
        <f aca="false">IF(OR(I193="",I193&lt;8,O193=""),"",O193+210)</f>
        <v/>
      </c>
      <c r="Y193" s="19" t="str">
        <f aca="false">IF(OR(I193="",I193&lt;9,O193=""),"",O193+240)</f>
        <v/>
      </c>
      <c r="Z193" s="19" t="str">
        <f aca="false">IF(OR(I193="",I193&lt;10,O193=""),"",O193+270)</f>
        <v/>
      </c>
      <c r="AA193" s="19" t="str">
        <f aca="false">IF(OR(I193="",I193&lt;11,O193=""),"",O193+300)</f>
        <v/>
      </c>
      <c r="AB193" s="19" t="str">
        <f aca="false">IF(OR(I193="",I193&lt;12,O193=""),"",O193+330)</f>
        <v/>
      </c>
      <c r="AC193" s="19" t="str">
        <f aca="false">IF(OR(I193="",I193&lt;13,O193=""),"",O193+360)</f>
        <v/>
      </c>
      <c r="AD193" s="19" t="str">
        <f aca="false">IF(OR(I193="",I193&lt;14,O193=""),"",O193+390)</f>
        <v/>
      </c>
      <c r="AE193" s="19" t="str">
        <f aca="false">IF(OR(I193="",I193&lt;15,O193=""),"",O193+420)</f>
        <v/>
      </c>
      <c r="AF193" s="19" t="str">
        <f aca="false">IF(OR(I193="",I193&lt;16,O193=""),"",O193+450)</f>
        <v/>
      </c>
      <c r="AG193" s="19" t="str">
        <f aca="false">IF(OR(I193="",I193&lt;17,O193=""),"",O193+480)</f>
        <v/>
      </c>
      <c r="AH193" s="19" t="str">
        <f aca="false">IF(OR(I193="",I193&lt;18,O193=""),"",O193+510)</f>
        <v/>
      </c>
      <c r="AI193" s="19" t="str">
        <f aca="false">IF(OR(I193="",I193&lt;19,O193=""),"",O193+540)</f>
        <v/>
      </c>
      <c r="AJ193" s="19" t="str">
        <f aca="false">IF(OR(I193="",I193&lt;20,O193=""),"",O193+570)</f>
        <v/>
      </c>
      <c r="AK193" s="19" t="str">
        <f aca="false">IF(OR(I193="",I193&lt;21,O193=""),"",O193+600)</f>
        <v/>
      </c>
      <c r="AL193" s="19" t="str">
        <f aca="false">IF(OR(I193="",I193&lt;22,O193=""),"",O193+630)</f>
        <v/>
      </c>
      <c r="AM193" s="19" t="str">
        <f aca="false">IF(OR(I193="",I193&lt;23,O193=""),"",O193+660)</f>
        <v/>
      </c>
      <c r="AN193" s="19" t="str">
        <f aca="false">IF(OR(I193="",I193&lt;24,O193=""),"",O193+690)</f>
        <v/>
      </c>
      <c r="AO193" s="15" t="str">
        <f aca="false">IF(J193="","",COUNTIF(Q193:AN193,TRUE())*J193)</f>
        <v/>
      </c>
      <c r="AP193" s="15" t="str">
        <f aca="false">IF(K193="","",K193-AO193)</f>
        <v/>
      </c>
      <c r="AQ193" s="15" t="str">
        <f aca="false">IF(K193="","",K193-F193-IF(N193="",0,N193))</f>
        <v/>
      </c>
    </row>
    <row r="194" customFormat="false" ht="15" hidden="false" customHeight="false" outlineLevel="0" collapsed="false">
      <c r="A194" s="4"/>
      <c r="B194" s="4"/>
      <c r="C194" s="4"/>
      <c r="D194" s="5"/>
      <c r="E194" s="5"/>
      <c r="F194" s="6"/>
      <c r="G194" s="4"/>
      <c r="H194" s="4"/>
      <c r="I194" s="4"/>
      <c r="J194" s="6"/>
      <c r="K194" s="7" t="str">
        <f aca="false">IF(OR(I194="",J194=""),"",I194*J194)</f>
        <v/>
      </c>
      <c r="L194" s="4"/>
      <c r="M194" s="8"/>
      <c r="N194" s="7" t="str">
        <f aca="false">IF(OR(L194="",M194="",K194=""),"",IF(L194="GANANCIA",(K194-F194)*M194,IF(L194="BRUTO",K194*M194,"")))</f>
        <v/>
      </c>
      <c r="O194" s="9" t="str">
        <f aca="false">IF(D194="","",D194+30)</f>
        <v/>
      </c>
      <c r="P194" s="10" t="str">
        <f aca="false">IF(I194="","",IF(COUNTIF(Q194:AN194,TRUE())&gt;=I194,"PAGADO",IF(COUNTIF(Q194:AN194,TRUE())&gt;0,"PARCIAL","VIGENTE")))</f>
        <v/>
      </c>
      <c r="Q194" s="11" t="str">
        <f aca="false">IF(OR(I194="",I194&lt;1,O194=""),"",O194+0)</f>
        <v/>
      </c>
      <c r="R194" s="11" t="str">
        <f aca="false">IF(OR(I194="",I194&lt;2,O194=""),"",O194+30)</f>
        <v/>
      </c>
      <c r="S194" s="11" t="str">
        <f aca="false">IF(OR(I194="",I194&lt;3,O194=""),"",O194+60)</f>
        <v/>
      </c>
      <c r="T194" s="11" t="str">
        <f aca="false">IF(OR(I194="",I194&lt;4,O194=""),"",O194+90)</f>
        <v/>
      </c>
      <c r="U194" s="11" t="str">
        <f aca="false">IF(OR(I194="",I194&lt;5,O194=""),"",O194+120)</f>
        <v/>
      </c>
      <c r="V194" s="11" t="str">
        <f aca="false">IF(OR(I194="",I194&lt;6,O194=""),"",O194+150)</f>
        <v/>
      </c>
      <c r="W194" s="11" t="str">
        <f aca="false">IF(OR(I194="",I194&lt;7,O194=""),"",O194+180)</f>
        <v/>
      </c>
      <c r="X194" s="11" t="str">
        <f aca="false">IF(OR(I194="",I194&lt;8,O194=""),"",O194+210)</f>
        <v/>
      </c>
      <c r="Y194" s="11" t="str">
        <f aca="false">IF(OR(I194="",I194&lt;9,O194=""),"",O194+240)</f>
        <v/>
      </c>
      <c r="Z194" s="11" t="str">
        <f aca="false">IF(OR(I194="",I194&lt;10,O194=""),"",O194+270)</f>
        <v/>
      </c>
      <c r="AA194" s="11" t="str">
        <f aca="false">IF(OR(I194="",I194&lt;11,O194=""),"",O194+300)</f>
        <v/>
      </c>
      <c r="AB194" s="11" t="str">
        <f aca="false">IF(OR(I194="",I194&lt;12,O194=""),"",O194+330)</f>
        <v/>
      </c>
      <c r="AC194" s="11" t="str">
        <f aca="false">IF(OR(I194="",I194&lt;13,O194=""),"",O194+360)</f>
        <v/>
      </c>
      <c r="AD194" s="11" t="str">
        <f aca="false">IF(OR(I194="",I194&lt;14,O194=""),"",O194+390)</f>
        <v/>
      </c>
      <c r="AE194" s="11" t="str">
        <f aca="false">IF(OR(I194="",I194&lt;15,O194=""),"",O194+420)</f>
        <v/>
      </c>
      <c r="AF194" s="11" t="str">
        <f aca="false">IF(OR(I194="",I194&lt;16,O194=""),"",O194+450)</f>
        <v/>
      </c>
      <c r="AG194" s="11" t="str">
        <f aca="false">IF(OR(I194="",I194&lt;17,O194=""),"",O194+480)</f>
        <v/>
      </c>
      <c r="AH194" s="11" t="str">
        <f aca="false">IF(OR(I194="",I194&lt;18,O194=""),"",O194+510)</f>
        <v/>
      </c>
      <c r="AI194" s="11" t="str">
        <f aca="false">IF(OR(I194="",I194&lt;19,O194=""),"",O194+540)</f>
        <v/>
      </c>
      <c r="AJ194" s="11" t="str">
        <f aca="false">IF(OR(I194="",I194&lt;20,O194=""),"",O194+570)</f>
        <v/>
      </c>
      <c r="AK194" s="11" t="str">
        <f aca="false">IF(OR(I194="",I194&lt;21,O194=""),"",O194+600)</f>
        <v/>
      </c>
      <c r="AL194" s="11" t="str">
        <f aca="false">IF(OR(I194="",I194&lt;22,O194=""),"",O194+630)</f>
        <v/>
      </c>
      <c r="AM194" s="11" t="str">
        <f aca="false">IF(OR(I194="",I194&lt;23,O194=""),"",O194+660)</f>
        <v/>
      </c>
      <c r="AN194" s="11" t="str">
        <f aca="false">IF(OR(I194="",I194&lt;24,O194=""),"",O194+690)</f>
        <v/>
      </c>
      <c r="AO194" s="7" t="str">
        <f aca="false">IF(J194="","",COUNTIF(Q194:AN194,TRUE())*J194)</f>
        <v/>
      </c>
      <c r="AP194" s="7" t="str">
        <f aca="false">IF(K194="","",K194-AO194)</f>
        <v/>
      </c>
      <c r="AQ194" s="7" t="str">
        <f aca="false">IF(K194="","",K194-F194-IF(N194="",0,N194))</f>
        <v/>
      </c>
    </row>
    <row r="195" customFormat="false" ht="15" hidden="false" customHeight="false" outlineLevel="0" collapsed="false">
      <c r="A195" s="12"/>
      <c r="B195" s="12"/>
      <c r="C195" s="12"/>
      <c r="D195" s="13"/>
      <c r="E195" s="13"/>
      <c r="F195" s="14"/>
      <c r="G195" s="12"/>
      <c r="H195" s="12"/>
      <c r="I195" s="12"/>
      <c r="J195" s="14"/>
      <c r="K195" s="15" t="str">
        <f aca="false">IF(OR(I195="",J195=""),"",I195*J195)</f>
        <v/>
      </c>
      <c r="L195" s="12"/>
      <c r="M195" s="16"/>
      <c r="N195" s="15" t="str">
        <f aca="false">IF(OR(L195="",M195="",K195=""),"",IF(L195="GANANCIA",(K195-F195)*M195,IF(L195="BRUTO",K195*M195,"")))</f>
        <v/>
      </c>
      <c r="O195" s="17" t="str">
        <f aca="false">IF(D195="","",D195+30)</f>
        <v/>
      </c>
      <c r="P195" s="18" t="str">
        <f aca="false">IF(I195="","",IF(COUNTIF(Q195:AN195,TRUE())&gt;=I195,"PAGADO",IF(COUNTIF(Q195:AN195,TRUE())&gt;0,"PARCIAL","VIGENTE")))</f>
        <v/>
      </c>
      <c r="Q195" s="19" t="str">
        <f aca="false">IF(OR(I195="",I195&lt;1,O195=""),"",O195+0)</f>
        <v/>
      </c>
      <c r="R195" s="19" t="str">
        <f aca="false">IF(OR(I195="",I195&lt;2,O195=""),"",O195+30)</f>
        <v/>
      </c>
      <c r="S195" s="19" t="str">
        <f aca="false">IF(OR(I195="",I195&lt;3,O195=""),"",O195+60)</f>
        <v/>
      </c>
      <c r="T195" s="19" t="str">
        <f aca="false">IF(OR(I195="",I195&lt;4,O195=""),"",O195+90)</f>
        <v/>
      </c>
      <c r="U195" s="19" t="str">
        <f aca="false">IF(OR(I195="",I195&lt;5,O195=""),"",O195+120)</f>
        <v/>
      </c>
      <c r="V195" s="19" t="str">
        <f aca="false">IF(OR(I195="",I195&lt;6,O195=""),"",O195+150)</f>
        <v/>
      </c>
      <c r="W195" s="19" t="str">
        <f aca="false">IF(OR(I195="",I195&lt;7,O195=""),"",O195+180)</f>
        <v/>
      </c>
      <c r="X195" s="19" t="str">
        <f aca="false">IF(OR(I195="",I195&lt;8,O195=""),"",O195+210)</f>
        <v/>
      </c>
      <c r="Y195" s="19" t="str">
        <f aca="false">IF(OR(I195="",I195&lt;9,O195=""),"",O195+240)</f>
        <v/>
      </c>
      <c r="Z195" s="19" t="str">
        <f aca="false">IF(OR(I195="",I195&lt;10,O195=""),"",O195+270)</f>
        <v/>
      </c>
      <c r="AA195" s="19" t="str">
        <f aca="false">IF(OR(I195="",I195&lt;11,O195=""),"",O195+300)</f>
        <v/>
      </c>
      <c r="AB195" s="19" t="str">
        <f aca="false">IF(OR(I195="",I195&lt;12,O195=""),"",O195+330)</f>
        <v/>
      </c>
      <c r="AC195" s="19" t="str">
        <f aca="false">IF(OR(I195="",I195&lt;13,O195=""),"",O195+360)</f>
        <v/>
      </c>
      <c r="AD195" s="19" t="str">
        <f aca="false">IF(OR(I195="",I195&lt;14,O195=""),"",O195+390)</f>
        <v/>
      </c>
      <c r="AE195" s="19" t="str">
        <f aca="false">IF(OR(I195="",I195&lt;15,O195=""),"",O195+420)</f>
        <v/>
      </c>
      <c r="AF195" s="19" t="str">
        <f aca="false">IF(OR(I195="",I195&lt;16,O195=""),"",O195+450)</f>
        <v/>
      </c>
      <c r="AG195" s="19" t="str">
        <f aca="false">IF(OR(I195="",I195&lt;17,O195=""),"",O195+480)</f>
        <v/>
      </c>
      <c r="AH195" s="19" t="str">
        <f aca="false">IF(OR(I195="",I195&lt;18,O195=""),"",O195+510)</f>
        <v/>
      </c>
      <c r="AI195" s="19" t="str">
        <f aca="false">IF(OR(I195="",I195&lt;19,O195=""),"",O195+540)</f>
        <v/>
      </c>
      <c r="AJ195" s="19" t="str">
        <f aca="false">IF(OR(I195="",I195&lt;20,O195=""),"",O195+570)</f>
        <v/>
      </c>
      <c r="AK195" s="19" t="str">
        <f aca="false">IF(OR(I195="",I195&lt;21,O195=""),"",O195+600)</f>
        <v/>
      </c>
      <c r="AL195" s="19" t="str">
        <f aca="false">IF(OR(I195="",I195&lt;22,O195=""),"",O195+630)</f>
        <v/>
      </c>
      <c r="AM195" s="19" t="str">
        <f aca="false">IF(OR(I195="",I195&lt;23,O195=""),"",O195+660)</f>
        <v/>
      </c>
      <c r="AN195" s="19" t="str">
        <f aca="false">IF(OR(I195="",I195&lt;24,O195=""),"",O195+690)</f>
        <v/>
      </c>
      <c r="AO195" s="15" t="str">
        <f aca="false">IF(J195="","",COUNTIF(Q195:AN195,TRUE())*J195)</f>
        <v/>
      </c>
      <c r="AP195" s="15" t="str">
        <f aca="false">IF(K195="","",K195-AO195)</f>
        <v/>
      </c>
      <c r="AQ195" s="15" t="str">
        <f aca="false">IF(K195="","",K195-F195-IF(N195="",0,N195))</f>
        <v/>
      </c>
    </row>
    <row r="196" customFormat="false" ht="15" hidden="false" customHeight="false" outlineLevel="0" collapsed="false">
      <c r="A196" s="4"/>
      <c r="B196" s="4"/>
      <c r="C196" s="4"/>
      <c r="D196" s="5"/>
      <c r="E196" s="5"/>
      <c r="F196" s="6"/>
      <c r="G196" s="4"/>
      <c r="H196" s="4"/>
      <c r="I196" s="4"/>
      <c r="J196" s="6"/>
      <c r="K196" s="7" t="str">
        <f aca="false">IF(OR(I196="",J196=""),"",I196*J196)</f>
        <v/>
      </c>
      <c r="L196" s="4"/>
      <c r="M196" s="8"/>
      <c r="N196" s="7" t="str">
        <f aca="false">IF(OR(L196="",M196="",K196=""),"",IF(L196="GANANCIA",(K196-F196)*M196,IF(L196="BRUTO",K196*M196,"")))</f>
        <v/>
      </c>
      <c r="O196" s="9" t="str">
        <f aca="false">IF(D196="","",D196+30)</f>
        <v/>
      </c>
      <c r="P196" s="10" t="str">
        <f aca="false">IF(I196="","",IF(COUNTIF(Q196:AN196,TRUE())&gt;=I196,"PAGADO",IF(COUNTIF(Q196:AN196,TRUE())&gt;0,"PARCIAL","VIGENTE")))</f>
        <v/>
      </c>
      <c r="Q196" s="11" t="str">
        <f aca="false">IF(OR(I196="",I196&lt;1,O196=""),"",O196+0)</f>
        <v/>
      </c>
      <c r="R196" s="11" t="str">
        <f aca="false">IF(OR(I196="",I196&lt;2,O196=""),"",O196+30)</f>
        <v/>
      </c>
      <c r="S196" s="11" t="str">
        <f aca="false">IF(OR(I196="",I196&lt;3,O196=""),"",O196+60)</f>
        <v/>
      </c>
      <c r="T196" s="11" t="str">
        <f aca="false">IF(OR(I196="",I196&lt;4,O196=""),"",O196+90)</f>
        <v/>
      </c>
      <c r="U196" s="11" t="str">
        <f aca="false">IF(OR(I196="",I196&lt;5,O196=""),"",O196+120)</f>
        <v/>
      </c>
      <c r="V196" s="11" t="str">
        <f aca="false">IF(OR(I196="",I196&lt;6,O196=""),"",O196+150)</f>
        <v/>
      </c>
      <c r="W196" s="11" t="str">
        <f aca="false">IF(OR(I196="",I196&lt;7,O196=""),"",O196+180)</f>
        <v/>
      </c>
      <c r="X196" s="11" t="str">
        <f aca="false">IF(OR(I196="",I196&lt;8,O196=""),"",O196+210)</f>
        <v/>
      </c>
      <c r="Y196" s="11" t="str">
        <f aca="false">IF(OR(I196="",I196&lt;9,O196=""),"",O196+240)</f>
        <v/>
      </c>
      <c r="Z196" s="11" t="str">
        <f aca="false">IF(OR(I196="",I196&lt;10,O196=""),"",O196+270)</f>
        <v/>
      </c>
      <c r="AA196" s="11" t="str">
        <f aca="false">IF(OR(I196="",I196&lt;11,O196=""),"",O196+300)</f>
        <v/>
      </c>
      <c r="AB196" s="11" t="str">
        <f aca="false">IF(OR(I196="",I196&lt;12,O196=""),"",O196+330)</f>
        <v/>
      </c>
      <c r="AC196" s="11" t="str">
        <f aca="false">IF(OR(I196="",I196&lt;13,O196=""),"",O196+360)</f>
        <v/>
      </c>
      <c r="AD196" s="11" t="str">
        <f aca="false">IF(OR(I196="",I196&lt;14,O196=""),"",O196+390)</f>
        <v/>
      </c>
      <c r="AE196" s="11" t="str">
        <f aca="false">IF(OR(I196="",I196&lt;15,O196=""),"",O196+420)</f>
        <v/>
      </c>
      <c r="AF196" s="11" t="str">
        <f aca="false">IF(OR(I196="",I196&lt;16,O196=""),"",O196+450)</f>
        <v/>
      </c>
      <c r="AG196" s="11" t="str">
        <f aca="false">IF(OR(I196="",I196&lt;17,O196=""),"",O196+480)</f>
        <v/>
      </c>
      <c r="AH196" s="11" t="str">
        <f aca="false">IF(OR(I196="",I196&lt;18,O196=""),"",O196+510)</f>
        <v/>
      </c>
      <c r="AI196" s="11" t="str">
        <f aca="false">IF(OR(I196="",I196&lt;19,O196=""),"",O196+540)</f>
        <v/>
      </c>
      <c r="AJ196" s="11" t="str">
        <f aca="false">IF(OR(I196="",I196&lt;20,O196=""),"",O196+570)</f>
        <v/>
      </c>
      <c r="AK196" s="11" t="str">
        <f aca="false">IF(OR(I196="",I196&lt;21,O196=""),"",O196+600)</f>
        <v/>
      </c>
      <c r="AL196" s="11" t="str">
        <f aca="false">IF(OR(I196="",I196&lt;22,O196=""),"",O196+630)</f>
        <v/>
      </c>
      <c r="AM196" s="11" t="str">
        <f aca="false">IF(OR(I196="",I196&lt;23,O196=""),"",O196+660)</f>
        <v/>
      </c>
      <c r="AN196" s="11" t="str">
        <f aca="false">IF(OR(I196="",I196&lt;24,O196=""),"",O196+690)</f>
        <v/>
      </c>
      <c r="AO196" s="7" t="str">
        <f aca="false">IF(J196="","",COUNTIF(Q196:AN196,TRUE())*J196)</f>
        <v/>
      </c>
      <c r="AP196" s="7" t="str">
        <f aca="false">IF(K196="","",K196-AO196)</f>
        <v/>
      </c>
      <c r="AQ196" s="7" t="str">
        <f aca="false">IF(K196="","",K196-F196-IF(N196="",0,N196))</f>
        <v/>
      </c>
    </row>
    <row r="197" customFormat="false" ht="15" hidden="false" customHeight="false" outlineLevel="0" collapsed="false">
      <c r="A197" s="12"/>
      <c r="B197" s="12"/>
      <c r="C197" s="12"/>
      <c r="D197" s="13"/>
      <c r="E197" s="13"/>
      <c r="F197" s="14"/>
      <c r="G197" s="12"/>
      <c r="H197" s="12"/>
      <c r="I197" s="12"/>
      <c r="J197" s="14"/>
      <c r="K197" s="15" t="str">
        <f aca="false">IF(OR(I197="",J197=""),"",I197*J197)</f>
        <v/>
      </c>
      <c r="L197" s="12"/>
      <c r="M197" s="16"/>
      <c r="N197" s="15" t="str">
        <f aca="false">IF(OR(L197="",M197="",K197=""),"",IF(L197="GANANCIA",(K197-F197)*M197,IF(L197="BRUTO",K197*M197,"")))</f>
        <v/>
      </c>
      <c r="O197" s="17" t="str">
        <f aca="false">IF(D197="","",D197+30)</f>
        <v/>
      </c>
      <c r="P197" s="18" t="str">
        <f aca="false">IF(I197="","",IF(COUNTIF(Q197:AN197,TRUE())&gt;=I197,"PAGADO",IF(COUNTIF(Q197:AN197,TRUE())&gt;0,"PARCIAL","VIGENTE")))</f>
        <v/>
      </c>
      <c r="Q197" s="19" t="str">
        <f aca="false">IF(OR(I197="",I197&lt;1,O197=""),"",O197+0)</f>
        <v/>
      </c>
      <c r="R197" s="19" t="str">
        <f aca="false">IF(OR(I197="",I197&lt;2,O197=""),"",O197+30)</f>
        <v/>
      </c>
      <c r="S197" s="19" t="str">
        <f aca="false">IF(OR(I197="",I197&lt;3,O197=""),"",O197+60)</f>
        <v/>
      </c>
      <c r="T197" s="19" t="str">
        <f aca="false">IF(OR(I197="",I197&lt;4,O197=""),"",O197+90)</f>
        <v/>
      </c>
      <c r="U197" s="19" t="str">
        <f aca="false">IF(OR(I197="",I197&lt;5,O197=""),"",O197+120)</f>
        <v/>
      </c>
      <c r="V197" s="19" t="str">
        <f aca="false">IF(OR(I197="",I197&lt;6,O197=""),"",O197+150)</f>
        <v/>
      </c>
      <c r="W197" s="19" t="str">
        <f aca="false">IF(OR(I197="",I197&lt;7,O197=""),"",O197+180)</f>
        <v/>
      </c>
      <c r="X197" s="19" t="str">
        <f aca="false">IF(OR(I197="",I197&lt;8,O197=""),"",O197+210)</f>
        <v/>
      </c>
      <c r="Y197" s="19" t="str">
        <f aca="false">IF(OR(I197="",I197&lt;9,O197=""),"",O197+240)</f>
        <v/>
      </c>
      <c r="Z197" s="19" t="str">
        <f aca="false">IF(OR(I197="",I197&lt;10,O197=""),"",O197+270)</f>
        <v/>
      </c>
      <c r="AA197" s="19" t="str">
        <f aca="false">IF(OR(I197="",I197&lt;11,O197=""),"",O197+300)</f>
        <v/>
      </c>
      <c r="AB197" s="19" t="str">
        <f aca="false">IF(OR(I197="",I197&lt;12,O197=""),"",O197+330)</f>
        <v/>
      </c>
      <c r="AC197" s="19" t="str">
        <f aca="false">IF(OR(I197="",I197&lt;13,O197=""),"",O197+360)</f>
        <v/>
      </c>
      <c r="AD197" s="19" t="str">
        <f aca="false">IF(OR(I197="",I197&lt;14,O197=""),"",O197+390)</f>
        <v/>
      </c>
      <c r="AE197" s="19" t="str">
        <f aca="false">IF(OR(I197="",I197&lt;15,O197=""),"",O197+420)</f>
        <v/>
      </c>
      <c r="AF197" s="19" t="str">
        <f aca="false">IF(OR(I197="",I197&lt;16,O197=""),"",O197+450)</f>
        <v/>
      </c>
      <c r="AG197" s="19" t="str">
        <f aca="false">IF(OR(I197="",I197&lt;17,O197=""),"",O197+480)</f>
        <v/>
      </c>
      <c r="AH197" s="19" t="str">
        <f aca="false">IF(OR(I197="",I197&lt;18,O197=""),"",O197+510)</f>
        <v/>
      </c>
      <c r="AI197" s="19" t="str">
        <f aca="false">IF(OR(I197="",I197&lt;19,O197=""),"",O197+540)</f>
        <v/>
      </c>
      <c r="AJ197" s="19" t="str">
        <f aca="false">IF(OR(I197="",I197&lt;20,O197=""),"",O197+570)</f>
        <v/>
      </c>
      <c r="AK197" s="19" t="str">
        <f aca="false">IF(OR(I197="",I197&lt;21,O197=""),"",O197+600)</f>
        <v/>
      </c>
      <c r="AL197" s="19" t="str">
        <f aca="false">IF(OR(I197="",I197&lt;22,O197=""),"",O197+630)</f>
        <v/>
      </c>
      <c r="AM197" s="19" t="str">
        <f aca="false">IF(OR(I197="",I197&lt;23,O197=""),"",O197+660)</f>
        <v/>
      </c>
      <c r="AN197" s="19" t="str">
        <f aca="false">IF(OR(I197="",I197&lt;24,O197=""),"",O197+690)</f>
        <v/>
      </c>
      <c r="AO197" s="15" t="str">
        <f aca="false">IF(J197="","",COUNTIF(Q197:AN197,TRUE())*J197)</f>
        <v/>
      </c>
      <c r="AP197" s="15" t="str">
        <f aca="false">IF(K197="","",K197-AO197)</f>
        <v/>
      </c>
      <c r="AQ197" s="15" t="str">
        <f aca="false">IF(K197="","",K197-F197-IF(N197="",0,N197))</f>
        <v/>
      </c>
    </row>
    <row r="198" customFormat="false" ht="15" hidden="false" customHeight="false" outlineLevel="0" collapsed="false">
      <c r="A198" s="4"/>
      <c r="B198" s="4"/>
      <c r="C198" s="4"/>
      <c r="D198" s="5"/>
      <c r="E198" s="5"/>
      <c r="F198" s="6"/>
      <c r="G198" s="4"/>
      <c r="H198" s="4"/>
      <c r="I198" s="4"/>
      <c r="J198" s="6"/>
      <c r="K198" s="7" t="str">
        <f aca="false">IF(OR(I198="",J198=""),"",I198*J198)</f>
        <v/>
      </c>
      <c r="L198" s="4"/>
      <c r="M198" s="8"/>
      <c r="N198" s="7" t="str">
        <f aca="false">IF(OR(L198="",M198="",K198=""),"",IF(L198="GANANCIA",(K198-F198)*M198,IF(L198="BRUTO",K198*M198,"")))</f>
        <v/>
      </c>
      <c r="O198" s="9" t="str">
        <f aca="false">IF(D198="","",D198+30)</f>
        <v/>
      </c>
      <c r="P198" s="10" t="str">
        <f aca="false">IF(I198="","",IF(COUNTIF(Q198:AN198,TRUE())&gt;=I198,"PAGADO",IF(COUNTIF(Q198:AN198,TRUE())&gt;0,"PARCIAL","VIGENTE")))</f>
        <v/>
      </c>
      <c r="Q198" s="11" t="str">
        <f aca="false">IF(OR(I198="",I198&lt;1,O198=""),"",O198+0)</f>
        <v/>
      </c>
      <c r="R198" s="11" t="str">
        <f aca="false">IF(OR(I198="",I198&lt;2,O198=""),"",O198+30)</f>
        <v/>
      </c>
      <c r="S198" s="11" t="str">
        <f aca="false">IF(OR(I198="",I198&lt;3,O198=""),"",O198+60)</f>
        <v/>
      </c>
      <c r="T198" s="11" t="str">
        <f aca="false">IF(OR(I198="",I198&lt;4,O198=""),"",O198+90)</f>
        <v/>
      </c>
      <c r="U198" s="11" t="str">
        <f aca="false">IF(OR(I198="",I198&lt;5,O198=""),"",O198+120)</f>
        <v/>
      </c>
      <c r="V198" s="11" t="str">
        <f aca="false">IF(OR(I198="",I198&lt;6,O198=""),"",O198+150)</f>
        <v/>
      </c>
      <c r="W198" s="11" t="str">
        <f aca="false">IF(OR(I198="",I198&lt;7,O198=""),"",O198+180)</f>
        <v/>
      </c>
      <c r="X198" s="11" t="str">
        <f aca="false">IF(OR(I198="",I198&lt;8,O198=""),"",O198+210)</f>
        <v/>
      </c>
      <c r="Y198" s="11" t="str">
        <f aca="false">IF(OR(I198="",I198&lt;9,O198=""),"",O198+240)</f>
        <v/>
      </c>
      <c r="Z198" s="11" t="str">
        <f aca="false">IF(OR(I198="",I198&lt;10,O198=""),"",O198+270)</f>
        <v/>
      </c>
      <c r="AA198" s="11" t="str">
        <f aca="false">IF(OR(I198="",I198&lt;11,O198=""),"",O198+300)</f>
        <v/>
      </c>
      <c r="AB198" s="11" t="str">
        <f aca="false">IF(OR(I198="",I198&lt;12,O198=""),"",O198+330)</f>
        <v/>
      </c>
      <c r="AC198" s="11" t="str">
        <f aca="false">IF(OR(I198="",I198&lt;13,O198=""),"",O198+360)</f>
        <v/>
      </c>
      <c r="AD198" s="11" t="str">
        <f aca="false">IF(OR(I198="",I198&lt;14,O198=""),"",O198+390)</f>
        <v/>
      </c>
      <c r="AE198" s="11" t="str">
        <f aca="false">IF(OR(I198="",I198&lt;15,O198=""),"",O198+420)</f>
        <v/>
      </c>
      <c r="AF198" s="11" t="str">
        <f aca="false">IF(OR(I198="",I198&lt;16,O198=""),"",O198+450)</f>
        <v/>
      </c>
      <c r="AG198" s="11" t="str">
        <f aca="false">IF(OR(I198="",I198&lt;17,O198=""),"",O198+480)</f>
        <v/>
      </c>
      <c r="AH198" s="11" t="str">
        <f aca="false">IF(OR(I198="",I198&lt;18,O198=""),"",O198+510)</f>
        <v/>
      </c>
      <c r="AI198" s="11" t="str">
        <f aca="false">IF(OR(I198="",I198&lt;19,O198=""),"",O198+540)</f>
        <v/>
      </c>
      <c r="AJ198" s="11" t="str">
        <f aca="false">IF(OR(I198="",I198&lt;20,O198=""),"",O198+570)</f>
        <v/>
      </c>
      <c r="AK198" s="11" t="str">
        <f aca="false">IF(OR(I198="",I198&lt;21,O198=""),"",O198+600)</f>
        <v/>
      </c>
      <c r="AL198" s="11" t="str">
        <f aca="false">IF(OR(I198="",I198&lt;22,O198=""),"",O198+630)</f>
        <v/>
      </c>
      <c r="AM198" s="11" t="str">
        <f aca="false">IF(OR(I198="",I198&lt;23,O198=""),"",O198+660)</f>
        <v/>
      </c>
      <c r="AN198" s="11" t="str">
        <f aca="false">IF(OR(I198="",I198&lt;24,O198=""),"",O198+690)</f>
        <v/>
      </c>
      <c r="AO198" s="7" t="str">
        <f aca="false">IF(J198="","",COUNTIF(Q198:AN198,TRUE())*J198)</f>
        <v/>
      </c>
      <c r="AP198" s="7" t="str">
        <f aca="false">IF(K198="","",K198-AO198)</f>
        <v/>
      </c>
      <c r="AQ198" s="7" t="str">
        <f aca="false">IF(K198="","",K198-F198-IF(N198="",0,N198))</f>
        <v/>
      </c>
    </row>
    <row r="199" customFormat="false" ht="15" hidden="false" customHeight="false" outlineLevel="0" collapsed="false">
      <c r="A199" s="12"/>
      <c r="B199" s="12"/>
      <c r="C199" s="12"/>
      <c r="D199" s="13"/>
      <c r="E199" s="13"/>
      <c r="F199" s="14"/>
      <c r="G199" s="12"/>
      <c r="H199" s="12"/>
      <c r="I199" s="12"/>
      <c r="J199" s="14"/>
      <c r="K199" s="15" t="str">
        <f aca="false">IF(OR(I199="",J199=""),"",I199*J199)</f>
        <v/>
      </c>
      <c r="L199" s="12"/>
      <c r="M199" s="16"/>
      <c r="N199" s="15" t="str">
        <f aca="false">IF(OR(L199="",M199="",K199=""),"",IF(L199="GANANCIA",(K199-F199)*M199,IF(L199="BRUTO",K199*M199,"")))</f>
        <v/>
      </c>
      <c r="O199" s="17" t="str">
        <f aca="false">IF(D199="","",D199+30)</f>
        <v/>
      </c>
      <c r="P199" s="18" t="str">
        <f aca="false">IF(I199="","",IF(COUNTIF(Q199:AN199,TRUE())&gt;=I199,"PAGADO",IF(COUNTIF(Q199:AN199,TRUE())&gt;0,"PARCIAL","VIGENTE")))</f>
        <v/>
      </c>
      <c r="Q199" s="19" t="str">
        <f aca="false">IF(OR(I199="",I199&lt;1,O199=""),"",O199+0)</f>
        <v/>
      </c>
      <c r="R199" s="19" t="str">
        <f aca="false">IF(OR(I199="",I199&lt;2,O199=""),"",O199+30)</f>
        <v/>
      </c>
      <c r="S199" s="19" t="str">
        <f aca="false">IF(OR(I199="",I199&lt;3,O199=""),"",O199+60)</f>
        <v/>
      </c>
      <c r="T199" s="19" t="str">
        <f aca="false">IF(OR(I199="",I199&lt;4,O199=""),"",O199+90)</f>
        <v/>
      </c>
      <c r="U199" s="19" t="str">
        <f aca="false">IF(OR(I199="",I199&lt;5,O199=""),"",O199+120)</f>
        <v/>
      </c>
      <c r="V199" s="19" t="str">
        <f aca="false">IF(OR(I199="",I199&lt;6,O199=""),"",O199+150)</f>
        <v/>
      </c>
      <c r="W199" s="19" t="str">
        <f aca="false">IF(OR(I199="",I199&lt;7,O199=""),"",O199+180)</f>
        <v/>
      </c>
      <c r="X199" s="19" t="str">
        <f aca="false">IF(OR(I199="",I199&lt;8,O199=""),"",O199+210)</f>
        <v/>
      </c>
      <c r="Y199" s="19" t="str">
        <f aca="false">IF(OR(I199="",I199&lt;9,O199=""),"",O199+240)</f>
        <v/>
      </c>
      <c r="Z199" s="19" t="str">
        <f aca="false">IF(OR(I199="",I199&lt;10,O199=""),"",O199+270)</f>
        <v/>
      </c>
      <c r="AA199" s="19" t="str">
        <f aca="false">IF(OR(I199="",I199&lt;11,O199=""),"",O199+300)</f>
        <v/>
      </c>
      <c r="AB199" s="19" t="str">
        <f aca="false">IF(OR(I199="",I199&lt;12,O199=""),"",O199+330)</f>
        <v/>
      </c>
      <c r="AC199" s="19" t="str">
        <f aca="false">IF(OR(I199="",I199&lt;13,O199=""),"",O199+360)</f>
        <v/>
      </c>
      <c r="AD199" s="19" t="str">
        <f aca="false">IF(OR(I199="",I199&lt;14,O199=""),"",O199+390)</f>
        <v/>
      </c>
      <c r="AE199" s="19" t="str">
        <f aca="false">IF(OR(I199="",I199&lt;15,O199=""),"",O199+420)</f>
        <v/>
      </c>
      <c r="AF199" s="19" t="str">
        <f aca="false">IF(OR(I199="",I199&lt;16,O199=""),"",O199+450)</f>
        <v/>
      </c>
      <c r="AG199" s="19" t="str">
        <f aca="false">IF(OR(I199="",I199&lt;17,O199=""),"",O199+480)</f>
        <v/>
      </c>
      <c r="AH199" s="19" t="str">
        <f aca="false">IF(OR(I199="",I199&lt;18,O199=""),"",O199+510)</f>
        <v/>
      </c>
      <c r="AI199" s="19" t="str">
        <f aca="false">IF(OR(I199="",I199&lt;19,O199=""),"",O199+540)</f>
        <v/>
      </c>
      <c r="AJ199" s="19" t="str">
        <f aca="false">IF(OR(I199="",I199&lt;20,O199=""),"",O199+570)</f>
        <v/>
      </c>
      <c r="AK199" s="19" t="str">
        <f aca="false">IF(OR(I199="",I199&lt;21,O199=""),"",O199+600)</f>
        <v/>
      </c>
      <c r="AL199" s="19" t="str">
        <f aca="false">IF(OR(I199="",I199&lt;22,O199=""),"",O199+630)</f>
        <v/>
      </c>
      <c r="AM199" s="19" t="str">
        <f aca="false">IF(OR(I199="",I199&lt;23,O199=""),"",O199+660)</f>
        <v/>
      </c>
      <c r="AN199" s="19" t="str">
        <f aca="false">IF(OR(I199="",I199&lt;24,O199=""),"",O199+690)</f>
        <v/>
      </c>
      <c r="AO199" s="15" t="str">
        <f aca="false">IF(J199="","",COUNTIF(Q199:AN199,TRUE())*J199)</f>
        <v/>
      </c>
      <c r="AP199" s="15" t="str">
        <f aca="false">IF(K199="","",K199-AO199)</f>
        <v/>
      </c>
      <c r="AQ199" s="15" t="str">
        <f aca="false">IF(K199="","",K199-F199-IF(N199="",0,N199))</f>
        <v/>
      </c>
    </row>
    <row r="200" customFormat="false" ht="15" hidden="false" customHeight="false" outlineLevel="0" collapsed="false">
      <c r="A200" s="4"/>
      <c r="B200" s="4"/>
      <c r="C200" s="4"/>
      <c r="D200" s="5"/>
      <c r="E200" s="5"/>
      <c r="F200" s="6"/>
      <c r="G200" s="4"/>
      <c r="H200" s="4"/>
      <c r="I200" s="4"/>
      <c r="J200" s="6"/>
      <c r="K200" s="7" t="str">
        <f aca="false">IF(OR(I200="",J200=""),"",I200*J200)</f>
        <v/>
      </c>
      <c r="L200" s="4"/>
      <c r="M200" s="8"/>
      <c r="N200" s="7" t="str">
        <f aca="false">IF(OR(L200="",M200="",K200=""),"",IF(L200="GANANCIA",(K200-F200)*M200,IF(L200="BRUTO",K200*M200,"")))</f>
        <v/>
      </c>
      <c r="O200" s="9" t="str">
        <f aca="false">IF(D200="","",D200+30)</f>
        <v/>
      </c>
      <c r="P200" s="10" t="str">
        <f aca="false">IF(I200="","",IF(COUNTIF(Q200:AN200,TRUE())&gt;=I200,"PAGADO",IF(COUNTIF(Q200:AN200,TRUE())&gt;0,"PARCIAL","VIGENTE")))</f>
        <v/>
      </c>
      <c r="Q200" s="11" t="str">
        <f aca="false">IF(OR(I200="",I200&lt;1,O200=""),"",O200+0)</f>
        <v/>
      </c>
      <c r="R200" s="11" t="str">
        <f aca="false">IF(OR(I200="",I200&lt;2,O200=""),"",O200+30)</f>
        <v/>
      </c>
      <c r="S200" s="11" t="str">
        <f aca="false">IF(OR(I200="",I200&lt;3,O200=""),"",O200+60)</f>
        <v/>
      </c>
      <c r="T200" s="11" t="str">
        <f aca="false">IF(OR(I200="",I200&lt;4,O200=""),"",O200+90)</f>
        <v/>
      </c>
      <c r="U200" s="11" t="str">
        <f aca="false">IF(OR(I200="",I200&lt;5,O200=""),"",O200+120)</f>
        <v/>
      </c>
      <c r="V200" s="11" t="str">
        <f aca="false">IF(OR(I200="",I200&lt;6,O200=""),"",O200+150)</f>
        <v/>
      </c>
      <c r="W200" s="11" t="str">
        <f aca="false">IF(OR(I200="",I200&lt;7,O200=""),"",O200+180)</f>
        <v/>
      </c>
      <c r="X200" s="11" t="str">
        <f aca="false">IF(OR(I200="",I200&lt;8,O200=""),"",O200+210)</f>
        <v/>
      </c>
      <c r="Y200" s="11" t="str">
        <f aca="false">IF(OR(I200="",I200&lt;9,O200=""),"",O200+240)</f>
        <v/>
      </c>
      <c r="Z200" s="11" t="str">
        <f aca="false">IF(OR(I200="",I200&lt;10,O200=""),"",O200+270)</f>
        <v/>
      </c>
      <c r="AA200" s="11" t="str">
        <f aca="false">IF(OR(I200="",I200&lt;11,O200=""),"",O200+300)</f>
        <v/>
      </c>
      <c r="AB200" s="11" t="str">
        <f aca="false">IF(OR(I200="",I200&lt;12,O200=""),"",O200+330)</f>
        <v/>
      </c>
      <c r="AC200" s="11" t="str">
        <f aca="false">IF(OR(I200="",I200&lt;13,O200=""),"",O200+360)</f>
        <v/>
      </c>
      <c r="AD200" s="11" t="str">
        <f aca="false">IF(OR(I200="",I200&lt;14,O200=""),"",O200+390)</f>
        <v/>
      </c>
      <c r="AE200" s="11" t="str">
        <f aca="false">IF(OR(I200="",I200&lt;15,O200=""),"",O200+420)</f>
        <v/>
      </c>
      <c r="AF200" s="11" t="str">
        <f aca="false">IF(OR(I200="",I200&lt;16,O200=""),"",O200+450)</f>
        <v/>
      </c>
      <c r="AG200" s="11" t="str">
        <f aca="false">IF(OR(I200="",I200&lt;17,O200=""),"",O200+480)</f>
        <v/>
      </c>
      <c r="AH200" s="11" t="str">
        <f aca="false">IF(OR(I200="",I200&lt;18,O200=""),"",O200+510)</f>
        <v/>
      </c>
      <c r="AI200" s="11" t="str">
        <f aca="false">IF(OR(I200="",I200&lt;19,O200=""),"",O200+540)</f>
        <v/>
      </c>
      <c r="AJ200" s="11" t="str">
        <f aca="false">IF(OR(I200="",I200&lt;20,O200=""),"",O200+570)</f>
        <v/>
      </c>
      <c r="AK200" s="11" t="str">
        <f aca="false">IF(OR(I200="",I200&lt;21,O200=""),"",O200+600)</f>
        <v/>
      </c>
      <c r="AL200" s="11" t="str">
        <f aca="false">IF(OR(I200="",I200&lt;22,O200=""),"",O200+630)</f>
        <v/>
      </c>
      <c r="AM200" s="11" t="str">
        <f aca="false">IF(OR(I200="",I200&lt;23,O200=""),"",O200+660)</f>
        <v/>
      </c>
      <c r="AN200" s="11" t="str">
        <f aca="false">IF(OR(I200="",I200&lt;24,O200=""),"",O200+690)</f>
        <v/>
      </c>
      <c r="AO200" s="7" t="str">
        <f aca="false">IF(J200="","",COUNTIF(Q200:AN200,TRUE())*J200)</f>
        <v/>
      </c>
      <c r="AP200" s="7" t="str">
        <f aca="false">IF(K200="","",K200-AO200)</f>
        <v/>
      </c>
      <c r="AQ200" s="7" t="str">
        <f aca="false">IF(K200="","",K200-F200-IF(N200="",0,N200))</f>
        <v/>
      </c>
    </row>
    <row r="201" customFormat="false" ht="15" hidden="false" customHeight="false" outlineLevel="0" collapsed="false">
      <c r="A201" s="12"/>
      <c r="B201" s="12"/>
      <c r="C201" s="12"/>
      <c r="D201" s="13"/>
      <c r="E201" s="13"/>
      <c r="F201" s="14"/>
      <c r="G201" s="12"/>
      <c r="H201" s="12"/>
      <c r="I201" s="12"/>
      <c r="J201" s="14"/>
      <c r="K201" s="15" t="str">
        <f aca="false">IF(OR(I201="",J201=""),"",I201*J201)</f>
        <v/>
      </c>
      <c r="L201" s="12"/>
      <c r="M201" s="16"/>
      <c r="N201" s="15" t="str">
        <f aca="false">IF(OR(L201="",M201="",K201=""),"",IF(L201="GANANCIA",(K201-F201)*M201,IF(L201="BRUTO",K201*M201,"")))</f>
        <v/>
      </c>
      <c r="O201" s="17" t="str">
        <f aca="false">IF(D201="","",D201+30)</f>
        <v/>
      </c>
      <c r="P201" s="18" t="str">
        <f aca="false">IF(I201="","",IF(COUNTIF(Q201:AN201,TRUE())&gt;=I201,"PAGADO",IF(COUNTIF(Q201:AN201,TRUE())&gt;0,"PARCIAL","VIGENTE")))</f>
        <v/>
      </c>
      <c r="Q201" s="19" t="str">
        <f aca="false">IF(OR(I201="",I201&lt;1,O201=""),"",O201+0)</f>
        <v/>
      </c>
      <c r="R201" s="19" t="str">
        <f aca="false">IF(OR(I201="",I201&lt;2,O201=""),"",O201+30)</f>
        <v/>
      </c>
      <c r="S201" s="19" t="str">
        <f aca="false">IF(OR(I201="",I201&lt;3,O201=""),"",O201+60)</f>
        <v/>
      </c>
      <c r="T201" s="19" t="str">
        <f aca="false">IF(OR(I201="",I201&lt;4,O201=""),"",O201+90)</f>
        <v/>
      </c>
      <c r="U201" s="19" t="str">
        <f aca="false">IF(OR(I201="",I201&lt;5,O201=""),"",O201+120)</f>
        <v/>
      </c>
      <c r="V201" s="19" t="str">
        <f aca="false">IF(OR(I201="",I201&lt;6,O201=""),"",O201+150)</f>
        <v/>
      </c>
      <c r="W201" s="19" t="str">
        <f aca="false">IF(OR(I201="",I201&lt;7,O201=""),"",O201+180)</f>
        <v/>
      </c>
      <c r="X201" s="19" t="str">
        <f aca="false">IF(OR(I201="",I201&lt;8,O201=""),"",O201+210)</f>
        <v/>
      </c>
      <c r="Y201" s="19" t="str">
        <f aca="false">IF(OR(I201="",I201&lt;9,O201=""),"",O201+240)</f>
        <v/>
      </c>
      <c r="Z201" s="19" t="str">
        <f aca="false">IF(OR(I201="",I201&lt;10,O201=""),"",O201+270)</f>
        <v/>
      </c>
      <c r="AA201" s="19" t="str">
        <f aca="false">IF(OR(I201="",I201&lt;11,O201=""),"",O201+300)</f>
        <v/>
      </c>
      <c r="AB201" s="19" t="str">
        <f aca="false">IF(OR(I201="",I201&lt;12,O201=""),"",O201+330)</f>
        <v/>
      </c>
      <c r="AC201" s="19" t="str">
        <f aca="false">IF(OR(I201="",I201&lt;13,O201=""),"",O201+360)</f>
        <v/>
      </c>
      <c r="AD201" s="19" t="str">
        <f aca="false">IF(OR(I201="",I201&lt;14,O201=""),"",O201+390)</f>
        <v/>
      </c>
      <c r="AE201" s="19" t="str">
        <f aca="false">IF(OR(I201="",I201&lt;15,O201=""),"",O201+420)</f>
        <v/>
      </c>
      <c r="AF201" s="19" t="str">
        <f aca="false">IF(OR(I201="",I201&lt;16,O201=""),"",O201+450)</f>
        <v/>
      </c>
      <c r="AG201" s="19" t="str">
        <f aca="false">IF(OR(I201="",I201&lt;17,O201=""),"",O201+480)</f>
        <v/>
      </c>
      <c r="AH201" s="19" t="str">
        <f aca="false">IF(OR(I201="",I201&lt;18,O201=""),"",O201+510)</f>
        <v/>
      </c>
      <c r="AI201" s="19" t="str">
        <f aca="false">IF(OR(I201="",I201&lt;19,O201=""),"",O201+540)</f>
        <v/>
      </c>
      <c r="AJ201" s="19" t="str">
        <f aca="false">IF(OR(I201="",I201&lt;20,O201=""),"",O201+570)</f>
        <v/>
      </c>
      <c r="AK201" s="19" t="str">
        <f aca="false">IF(OR(I201="",I201&lt;21,O201=""),"",O201+600)</f>
        <v/>
      </c>
      <c r="AL201" s="19" t="str">
        <f aca="false">IF(OR(I201="",I201&lt;22,O201=""),"",O201+630)</f>
        <v/>
      </c>
      <c r="AM201" s="19" t="str">
        <f aca="false">IF(OR(I201="",I201&lt;23,O201=""),"",O201+660)</f>
        <v/>
      </c>
      <c r="AN201" s="19" t="str">
        <f aca="false">IF(OR(I201="",I201&lt;24,O201=""),"",O201+690)</f>
        <v/>
      </c>
      <c r="AO201" s="15" t="str">
        <f aca="false">IF(J201="","",COUNTIF(Q201:AN201,TRUE())*J201)</f>
        <v/>
      </c>
      <c r="AP201" s="15" t="str">
        <f aca="false">IF(K201="","",K201-AO201)</f>
        <v/>
      </c>
      <c r="AQ201" s="15" t="str">
        <f aca="false">IF(K201="","",K201-F201-IF(N201="",0,N201))</f>
        <v/>
      </c>
    </row>
    <row r="202" customFormat="false" ht="15" hidden="false" customHeight="false" outlineLevel="0" collapsed="false">
      <c r="A202" s="4"/>
      <c r="B202" s="4"/>
      <c r="C202" s="4"/>
      <c r="D202" s="5"/>
      <c r="E202" s="5"/>
      <c r="F202" s="6"/>
      <c r="G202" s="4"/>
      <c r="H202" s="4"/>
      <c r="I202" s="4"/>
      <c r="J202" s="6"/>
      <c r="K202" s="7" t="str">
        <f aca="false">IF(OR(I202="",J202=""),"",I202*J202)</f>
        <v/>
      </c>
      <c r="L202" s="4"/>
      <c r="M202" s="8"/>
      <c r="N202" s="7" t="str">
        <f aca="false">IF(OR(L202="",M202="",K202=""),"",IF(L202="GANANCIA",(K202-F202)*M202,IF(L202="BRUTO",K202*M202,"")))</f>
        <v/>
      </c>
      <c r="O202" s="9" t="str">
        <f aca="false">IF(D202="","",D202+30)</f>
        <v/>
      </c>
      <c r="P202" s="10" t="str">
        <f aca="false">IF(I202="","",IF(COUNTIF(Q202:AN202,TRUE())&gt;=I202,"PAGADO",IF(COUNTIF(Q202:AN202,TRUE())&gt;0,"PARCIAL","VIGENTE")))</f>
        <v/>
      </c>
      <c r="Q202" s="11" t="str">
        <f aca="false">IF(OR(I202="",I202&lt;1,O202=""),"",O202+0)</f>
        <v/>
      </c>
      <c r="R202" s="11" t="str">
        <f aca="false">IF(OR(I202="",I202&lt;2,O202=""),"",O202+30)</f>
        <v/>
      </c>
      <c r="S202" s="11" t="str">
        <f aca="false">IF(OR(I202="",I202&lt;3,O202=""),"",O202+60)</f>
        <v/>
      </c>
      <c r="T202" s="11" t="str">
        <f aca="false">IF(OR(I202="",I202&lt;4,O202=""),"",O202+90)</f>
        <v/>
      </c>
      <c r="U202" s="11" t="str">
        <f aca="false">IF(OR(I202="",I202&lt;5,O202=""),"",O202+120)</f>
        <v/>
      </c>
      <c r="V202" s="11" t="str">
        <f aca="false">IF(OR(I202="",I202&lt;6,O202=""),"",O202+150)</f>
        <v/>
      </c>
      <c r="W202" s="11" t="str">
        <f aca="false">IF(OR(I202="",I202&lt;7,O202=""),"",O202+180)</f>
        <v/>
      </c>
      <c r="X202" s="11" t="str">
        <f aca="false">IF(OR(I202="",I202&lt;8,O202=""),"",O202+210)</f>
        <v/>
      </c>
      <c r="Y202" s="11" t="str">
        <f aca="false">IF(OR(I202="",I202&lt;9,O202=""),"",O202+240)</f>
        <v/>
      </c>
      <c r="Z202" s="11" t="str">
        <f aca="false">IF(OR(I202="",I202&lt;10,O202=""),"",O202+270)</f>
        <v/>
      </c>
      <c r="AA202" s="11" t="str">
        <f aca="false">IF(OR(I202="",I202&lt;11,O202=""),"",O202+300)</f>
        <v/>
      </c>
      <c r="AB202" s="11" t="str">
        <f aca="false">IF(OR(I202="",I202&lt;12,O202=""),"",O202+330)</f>
        <v/>
      </c>
      <c r="AC202" s="11" t="str">
        <f aca="false">IF(OR(I202="",I202&lt;13,O202=""),"",O202+360)</f>
        <v/>
      </c>
      <c r="AD202" s="11" t="str">
        <f aca="false">IF(OR(I202="",I202&lt;14,O202=""),"",O202+390)</f>
        <v/>
      </c>
      <c r="AE202" s="11" t="str">
        <f aca="false">IF(OR(I202="",I202&lt;15,O202=""),"",O202+420)</f>
        <v/>
      </c>
      <c r="AF202" s="11" t="str">
        <f aca="false">IF(OR(I202="",I202&lt;16,O202=""),"",O202+450)</f>
        <v/>
      </c>
      <c r="AG202" s="11" t="str">
        <f aca="false">IF(OR(I202="",I202&lt;17,O202=""),"",O202+480)</f>
        <v/>
      </c>
      <c r="AH202" s="11" t="str">
        <f aca="false">IF(OR(I202="",I202&lt;18,O202=""),"",O202+510)</f>
        <v/>
      </c>
      <c r="AI202" s="11" t="str">
        <f aca="false">IF(OR(I202="",I202&lt;19,O202=""),"",O202+540)</f>
        <v/>
      </c>
      <c r="AJ202" s="11" t="str">
        <f aca="false">IF(OR(I202="",I202&lt;20,O202=""),"",O202+570)</f>
        <v/>
      </c>
      <c r="AK202" s="11" t="str">
        <f aca="false">IF(OR(I202="",I202&lt;21,O202=""),"",O202+600)</f>
        <v/>
      </c>
      <c r="AL202" s="11" t="str">
        <f aca="false">IF(OR(I202="",I202&lt;22,O202=""),"",O202+630)</f>
        <v/>
      </c>
      <c r="AM202" s="11" t="str">
        <f aca="false">IF(OR(I202="",I202&lt;23,O202=""),"",O202+660)</f>
        <v/>
      </c>
      <c r="AN202" s="11" t="str">
        <f aca="false">IF(OR(I202="",I202&lt;24,O202=""),"",O202+690)</f>
        <v/>
      </c>
      <c r="AO202" s="7" t="str">
        <f aca="false">IF(J202="","",COUNTIF(Q202:AN202,TRUE())*J202)</f>
        <v/>
      </c>
      <c r="AP202" s="7" t="str">
        <f aca="false">IF(K202="","",K202-AO202)</f>
        <v/>
      </c>
      <c r="AQ202" s="7" t="str">
        <f aca="false">IF(K202="","",K202-F202-IF(N202="",0,N202))</f>
        <v/>
      </c>
    </row>
    <row r="203" customFormat="false" ht="15" hidden="false" customHeight="false" outlineLevel="0" collapsed="false">
      <c r="A203" s="12"/>
      <c r="B203" s="12"/>
      <c r="C203" s="12"/>
      <c r="D203" s="13"/>
      <c r="E203" s="13"/>
      <c r="F203" s="14"/>
      <c r="G203" s="12"/>
      <c r="H203" s="12"/>
      <c r="I203" s="12"/>
      <c r="J203" s="14"/>
      <c r="K203" s="15" t="str">
        <f aca="false">IF(OR(I203="",J203=""),"",I203*J203)</f>
        <v/>
      </c>
      <c r="L203" s="12"/>
      <c r="M203" s="16"/>
      <c r="N203" s="15" t="str">
        <f aca="false">IF(OR(L203="",M203="",K203=""),"",IF(L203="GANANCIA",(K203-F203)*M203,IF(L203="BRUTO",K203*M203,"")))</f>
        <v/>
      </c>
      <c r="O203" s="17" t="str">
        <f aca="false">IF(D203="","",D203+30)</f>
        <v/>
      </c>
      <c r="P203" s="18" t="str">
        <f aca="false">IF(I203="","",IF(COUNTIF(Q203:AN203,TRUE())&gt;=I203,"PAGADO",IF(COUNTIF(Q203:AN203,TRUE())&gt;0,"PARCIAL","VIGENTE")))</f>
        <v/>
      </c>
      <c r="Q203" s="19" t="str">
        <f aca="false">IF(OR(I203="",I203&lt;1,O203=""),"",O203+0)</f>
        <v/>
      </c>
      <c r="R203" s="19" t="str">
        <f aca="false">IF(OR(I203="",I203&lt;2,O203=""),"",O203+30)</f>
        <v/>
      </c>
      <c r="S203" s="19" t="str">
        <f aca="false">IF(OR(I203="",I203&lt;3,O203=""),"",O203+60)</f>
        <v/>
      </c>
      <c r="T203" s="19" t="str">
        <f aca="false">IF(OR(I203="",I203&lt;4,O203=""),"",O203+90)</f>
        <v/>
      </c>
      <c r="U203" s="19" t="str">
        <f aca="false">IF(OR(I203="",I203&lt;5,O203=""),"",O203+120)</f>
        <v/>
      </c>
      <c r="V203" s="19" t="str">
        <f aca="false">IF(OR(I203="",I203&lt;6,O203=""),"",O203+150)</f>
        <v/>
      </c>
      <c r="W203" s="19" t="str">
        <f aca="false">IF(OR(I203="",I203&lt;7,O203=""),"",O203+180)</f>
        <v/>
      </c>
      <c r="X203" s="19" t="str">
        <f aca="false">IF(OR(I203="",I203&lt;8,O203=""),"",O203+210)</f>
        <v/>
      </c>
      <c r="Y203" s="19" t="str">
        <f aca="false">IF(OR(I203="",I203&lt;9,O203=""),"",O203+240)</f>
        <v/>
      </c>
      <c r="Z203" s="19" t="str">
        <f aca="false">IF(OR(I203="",I203&lt;10,O203=""),"",O203+270)</f>
        <v/>
      </c>
      <c r="AA203" s="19" t="str">
        <f aca="false">IF(OR(I203="",I203&lt;11,O203=""),"",O203+300)</f>
        <v/>
      </c>
      <c r="AB203" s="19" t="str">
        <f aca="false">IF(OR(I203="",I203&lt;12,O203=""),"",O203+330)</f>
        <v/>
      </c>
      <c r="AC203" s="19" t="str">
        <f aca="false">IF(OR(I203="",I203&lt;13,O203=""),"",O203+360)</f>
        <v/>
      </c>
      <c r="AD203" s="19" t="str">
        <f aca="false">IF(OR(I203="",I203&lt;14,O203=""),"",O203+390)</f>
        <v/>
      </c>
      <c r="AE203" s="19" t="str">
        <f aca="false">IF(OR(I203="",I203&lt;15,O203=""),"",O203+420)</f>
        <v/>
      </c>
      <c r="AF203" s="19" t="str">
        <f aca="false">IF(OR(I203="",I203&lt;16,O203=""),"",O203+450)</f>
        <v/>
      </c>
      <c r="AG203" s="19" t="str">
        <f aca="false">IF(OR(I203="",I203&lt;17,O203=""),"",O203+480)</f>
        <v/>
      </c>
      <c r="AH203" s="19" t="str">
        <f aca="false">IF(OR(I203="",I203&lt;18,O203=""),"",O203+510)</f>
        <v/>
      </c>
      <c r="AI203" s="19" t="str">
        <f aca="false">IF(OR(I203="",I203&lt;19,O203=""),"",O203+540)</f>
        <v/>
      </c>
      <c r="AJ203" s="19" t="str">
        <f aca="false">IF(OR(I203="",I203&lt;20,O203=""),"",O203+570)</f>
        <v/>
      </c>
      <c r="AK203" s="19" t="str">
        <f aca="false">IF(OR(I203="",I203&lt;21,O203=""),"",O203+600)</f>
        <v/>
      </c>
      <c r="AL203" s="19" t="str">
        <f aca="false">IF(OR(I203="",I203&lt;22,O203=""),"",O203+630)</f>
        <v/>
      </c>
      <c r="AM203" s="19" t="str">
        <f aca="false">IF(OR(I203="",I203&lt;23,O203=""),"",O203+660)</f>
        <v/>
      </c>
      <c r="AN203" s="19" t="str">
        <f aca="false">IF(OR(I203="",I203&lt;24,O203=""),"",O203+690)</f>
        <v/>
      </c>
      <c r="AO203" s="15" t="str">
        <f aca="false">IF(J203="","",COUNTIF(Q203:AN203,TRUE())*J203)</f>
        <v/>
      </c>
      <c r="AP203" s="15" t="str">
        <f aca="false">IF(K203="","",K203-AO203)</f>
        <v/>
      </c>
      <c r="AQ203" s="15" t="str">
        <f aca="false">IF(K203="","",K203-F203-IF(N203="",0,N203))</f>
        <v/>
      </c>
    </row>
  </sheetData>
  <mergeCells count="2">
    <mergeCell ref="A1:AQ1"/>
    <mergeCell ref="A2:AQ2"/>
  </mergeCells>
  <conditionalFormatting sqref="P4:P203">
    <cfRule type="cellIs" priority="2" operator="equal" aboveAverage="0" equalAverage="0" bottom="0" percent="0" rank="0" text="" dxfId="0">
      <formula>"PAGADO"</formula>
    </cfRule>
    <cfRule type="cellIs" priority="3" operator="equal" aboveAverage="0" equalAverage="0" bottom="0" percent="0" rank="0" text="" dxfId="1">
      <formula>"VIGENTE"</formula>
    </cfRule>
    <cfRule type="cellIs" priority="4" operator="equal" aboveAverage="0" equalAverage="0" bottom="0" percent="0" rank="0" text="" dxfId="2">
      <formula>"PARCIAL"</formula>
    </cfRule>
  </conditionalFormatting>
  <dataValidations count="1">
    <dataValidation allowBlank="true" error="Elegí GANANCIA o BRUTO" errorStyle="stop" errorTitle="Valor inválido" operator="between" showDropDown="false" showErrorMessage="false" showInputMessage="false" sqref="L4:L203" type="list">
      <formula1>"GANANCIA,BRUTO"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2" min="10" style="0" width="13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11"/>
    <col collapsed="false" customWidth="true" hidden="false" outlineLevel="0" max="41" min="17" style="0" width="12"/>
    <col collapsed="false" customWidth="true" hidden="false" outlineLevel="0" max="43" min="42" style="0" width="14"/>
  </cols>
  <sheetData>
    <row r="1" customFormat="false" ht="39.75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customFormat="false" ht="24" hidden="false" customHeight="true" outlineLevel="0" collapsed="false">
      <c r="A2" s="2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</row>
    <row r="4" customFormat="false" ht="15" hidden="false" customHeight="false" outlineLevel="0" collapsed="false">
      <c r="A4" s="4"/>
      <c r="B4" s="4"/>
      <c r="C4" s="4"/>
      <c r="D4" s="5"/>
      <c r="E4" s="5"/>
      <c r="F4" s="6"/>
      <c r="G4" s="4"/>
      <c r="H4" s="4"/>
      <c r="I4" s="4"/>
      <c r="J4" s="6"/>
      <c r="K4" s="7" t="str">
        <f aca="false">IF(OR(I4="",J4=""),"",I4*J4)</f>
        <v/>
      </c>
      <c r="L4" s="4"/>
      <c r="M4" s="8"/>
      <c r="N4" s="7" t="str">
        <f aca="false">IF(OR(L4="",M4="",K4=""),"",IF(L4="GANANCIA",(K4-F4)*M4,IF(L4="BRUTO",K4*M4,"")))</f>
        <v/>
      </c>
      <c r="O4" s="9" t="str">
        <f aca="false">IF(D4="","",D4+30)</f>
        <v/>
      </c>
      <c r="P4" s="10" t="str">
        <f aca="false">IF(I4="","",IF(COUNTIF(Q4:AN4,TRUE())&gt;=I4,"PAGADO",IF(COUNTIF(Q4:AN4,TRUE())&gt;0,"PARCIAL","VIGENTE")))</f>
        <v/>
      </c>
      <c r="Q4" s="11" t="str">
        <f aca="false">IF(OR(I4="",I4&lt;1,O4=""),"",O4+0)</f>
        <v/>
      </c>
      <c r="R4" s="11" t="str">
        <f aca="false">IF(OR(I4="",I4&lt;2,O4=""),"",O4+30)</f>
        <v/>
      </c>
      <c r="S4" s="11" t="str">
        <f aca="false">IF(OR(I4="",I4&lt;3,O4=""),"",O4+60)</f>
        <v/>
      </c>
      <c r="T4" s="11" t="str">
        <f aca="false">IF(OR(I4="",I4&lt;4,O4=""),"",O4+90)</f>
        <v/>
      </c>
      <c r="U4" s="11" t="str">
        <f aca="false">IF(OR(I4="",I4&lt;5,O4=""),"",O4+120)</f>
        <v/>
      </c>
      <c r="V4" s="11" t="str">
        <f aca="false">IF(OR(I4="",I4&lt;6,O4=""),"",O4+150)</f>
        <v/>
      </c>
      <c r="W4" s="11" t="str">
        <f aca="false">IF(OR(I4="",I4&lt;7,O4=""),"",O4+180)</f>
        <v/>
      </c>
      <c r="X4" s="11" t="str">
        <f aca="false">IF(OR(I4="",I4&lt;8,O4=""),"",O4+210)</f>
        <v/>
      </c>
      <c r="Y4" s="11" t="str">
        <f aca="false">IF(OR(I4="",I4&lt;9,O4=""),"",O4+240)</f>
        <v/>
      </c>
      <c r="Z4" s="11" t="str">
        <f aca="false">IF(OR(I4="",I4&lt;10,O4=""),"",O4+270)</f>
        <v/>
      </c>
      <c r="AA4" s="11" t="str">
        <f aca="false">IF(OR(I4="",I4&lt;11,O4=""),"",O4+300)</f>
        <v/>
      </c>
      <c r="AB4" s="11" t="str">
        <f aca="false">IF(OR(I4="",I4&lt;12,O4=""),"",O4+330)</f>
        <v/>
      </c>
      <c r="AC4" s="11" t="str">
        <f aca="false">IF(OR(I4="",I4&lt;13,O4=""),"",O4+360)</f>
        <v/>
      </c>
      <c r="AD4" s="11" t="str">
        <f aca="false">IF(OR(I4="",I4&lt;14,O4=""),"",O4+390)</f>
        <v/>
      </c>
      <c r="AE4" s="11" t="str">
        <f aca="false">IF(OR(I4="",I4&lt;15,O4=""),"",O4+420)</f>
        <v/>
      </c>
      <c r="AF4" s="11" t="str">
        <f aca="false">IF(OR(I4="",I4&lt;16,O4=""),"",O4+450)</f>
        <v/>
      </c>
      <c r="AG4" s="11" t="str">
        <f aca="false">IF(OR(I4="",I4&lt;17,O4=""),"",O4+480)</f>
        <v/>
      </c>
      <c r="AH4" s="11" t="str">
        <f aca="false">IF(OR(I4="",I4&lt;18,O4=""),"",O4+510)</f>
        <v/>
      </c>
      <c r="AI4" s="11" t="str">
        <f aca="false">IF(OR(I4="",I4&lt;19,O4=""),"",O4+540)</f>
        <v/>
      </c>
      <c r="AJ4" s="11" t="str">
        <f aca="false">IF(OR(I4="",I4&lt;20,O4=""),"",O4+570)</f>
        <v/>
      </c>
      <c r="AK4" s="11" t="str">
        <f aca="false">IF(OR(I4="",I4&lt;21,O4=""),"",O4+600)</f>
        <v/>
      </c>
      <c r="AL4" s="11" t="str">
        <f aca="false">IF(OR(I4="",I4&lt;22,O4=""),"",O4+630)</f>
        <v/>
      </c>
      <c r="AM4" s="11" t="str">
        <f aca="false">IF(OR(I4="",I4&lt;23,O4=""),"",O4+660)</f>
        <v/>
      </c>
      <c r="AN4" s="11" t="str">
        <f aca="false">IF(OR(I4="",I4&lt;24,O4=""),"",O4+690)</f>
        <v/>
      </c>
      <c r="AO4" s="7" t="str">
        <f aca="false">IF(J4="","",COUNTIF(Q4:AN4,TRUE())*J4)</f>
        <v/>
      </c>
      <c r="AP4" s="7" t="str">
        <f aca="false">IF(K4="","",K4-AO4)</f>
        <v/>
      </c>
      <c r="AQ4" s="7" t="str">
        <f aca="false">IF(K4="","",K4-F4-IF(N4="",0,N4))</f>
        <v/>
      </c>
    </row>
    <row r="5" customFormat="false" ht="15" hidden="false" customHeight="false" outlineLevel="0" collapsed="false">
      <c r="A5" s="12"/>
      <c r="B5" s="12"/>
      <c r="C5" s="12"/>
      <c r="D5" s="13"/>
      <c r="E5" s="13"/>
      <c r="F5" s="14"/>
      <c r="G5" s="12"/>
      <c r="H5" s="12"/>
      <c r="I5" s="12"/>
      <c r="J5" s="14"/>
      <c r="K5" s="15" t="str">
        <f aca="false">IF(OR(I5="",J5=""),"",I5*J5)</f>
        <v/>
      </c>
      <c r="L5" s="12"/>
      <c r="M5" s="16"/>
      <c r="N5" s="15" t="str">
        <f aca="false">IF(OR(L5="",M5="",K5=""),"",IF(L5="GANANCIA",(K5-F5)*M5,IF(L5="BRUTO",K5*M5,"")))</f>
        <v/>
      </c>
      <c r="O5" s="17" t="str">
        <f aca="false">IF(D5="","",D5+30)</f>
        <v/>
      </c>
      <c r="P5" s="18" t="str">
        <f aca="false">IF(I5="","",IF(COUNTIF(Q5:AN5,TRUE())&gt;=I5,"PAGADO",IF(COUNTIF(Q5:AN5,TRUE())&gt;0,"PARCIAL","VIGENTE")))</f>
        <v/>
      </c>
      <c r="Q5" s="19" t="str">
        <f aca="false">IF(OR(I5="",I5&lt;1,O5=""),"",O5+0)</f>
        <v/>
      </c>
      <c r="R5" s="19" t="str">
        <f aca="false">IF(OR(I5="",I5&lt;2,O5=""),"",O5+30)</f>
        <v/>
      </c>
      <c r="S5" s="19" t="str">
        <f aca="false">IF(OR(I5="",I5&lt;3,O5=""),"",O5+60)</f>
        <v/>
      </c>
      <c r="T5" s="19" t="str">
        <f aca="false">IF(OR(I5="",I5&lt;4,O5=""),"",O5+90)</f>
        <v/>
      </c>
      <c r="U5" s="19" t="str">
        <f aca="false">IF(OR(I5="",I5&lt;5,O5=""),"",O5+120)</f>
        <v/>
      </c>
      <c r="V5" s="19" t="str">
        <f aca="false">IF(OR(I5="",I5&lt;6,O5=""),"",O5+150)</f>
        <v/>
      </c>
      <c r="W5" s="19" t="str">
        <f aca="false">IF(OR(I5="",I5&lt;7,O5=""),"",O5+180)</f>
        <v/>
      </c>
      <c r="X5" s="19" t="str">
        <f aca="false">IF(OR(I5="",I5&lt;8,O5=""),"",O5+210)</f>
        <v/>
      </c>
      <c r="Y5" s="19" t="str">
        <f aca="false">IF(OR(I5="",I5&lt;9,O5=""),"",O5+240)</f>
        <v/>
      </c>
      <c r="Z5" s="19" t="str">
        <f aca="false">IF(OR(I5="",I5&lt;10,O5=""),"",O5+270)</f>
        <v/>
      </c>
      <c r="AA5" s="19" t="str">
        <f aca="false">IF(OR(I5="",I5&lt;11,O5=""),"",O5+300)</f>
        <v/>
      </c>
      <c r="AB5" s="19" t="str">
        <f aca="false">IF(OR(I5="",I5&lt;12,O5=""),"",O5+330)</f>
        <v/>
      </c>
      <c r="AC5" s="19" t="str">
        <f aca="false">IF(OR(I5="",I5&lt;13,O5=""),"",O5+360)</f>
        <v/>
      </c>
      <c r="AD5" s="19" t="str">
        <f aca="false">IF(OR(I5="",I5&lt;14,O5=""),"",O5+390)</f>
        <v/>
      </c>
      <c r="AE5" s="19" t="str">
        <f aca="false">IF(OR(I5="",I5&lt;15,O5=""),"",O5+420)</f>
        <v/>
      </c>
      <c r="AF5" s="19" t="str">
        <f aca="false">IF(OR(I5="",I5&lt;16,O5=""),"",O5+450)</f>
        <v/>
      </c>
      <c r="AG5" s="19" t="str">
        <f aca="false">IF(OR(I5="",I5&lt;17,O5=""),"",O5+480)</f>
        <v/>
      </c>
      <c r="AH5" s="19" t="str">
        <f aca="false">IF(OR(I5="",I5&lt;18,O5=""),"",O5+510)</f>
        <v/>
      </c>
      <c r="AI5" s="19" t="str">
        <f aca="false">IF(OR(I5="",I5&lt;19,O5=""),"",O5+540)</f>
        <v/>
      </c>
      <c r="AJ5" s="19" t="str">
        <f aca="false">IF(OR(I5="",I5&lt;20,O5=""),"",O5+570)</f>
        <v/>
      </c>
      <c r="AK5" s="19" t="str">
        <f aca="false">IF(OR(I5="",I5&lt;21,O5=""),"",O5+600)</f>
        <v/>
      </c>
      <c r="AL5" s="19" t="str">
        <f aca="false">IF(OR(I5="",I5&lt;22,O5=""),"",O5+630)</f>
        <v/>
      </c>
      <c r="AM5" s="19" t="str">
        <f aca="false">IF(OR(I5="",I5&lt;23,O5=""),"",O5+660)</f>
        <v/>
      </c>
      <c r="AN5" s="19" t="str">
        <f aca="false">IF(OR(I5="",I5&lt;24,O5=""),"",O5+690)</f>
        <v/>
      </c>
      <c r="AO5" s="15" t="str">
        <f aca="false">IF(J5="","",COUNTIF(Q5:AN5,TRUE())*J5)</f>
        <v/>
      </c>
      <c r="AP5" s="15" t="str">
        <f aca="false">IF(K5="","",K5-AO5)</f>
        <v/>
      </c>
      <c r="AQ5" s="15" t="str">
        <f aca="false">IF(K5="","",K5-F5-IF(N5="",0,N5))</f>
        <v/>
      </c>
    </row>
    <row r="6" customFormat="false" ht="15" hidden="false" customHeight="false" outlineLevel="0" collapsed="false">
      <c r="A6" s="4"/>
      <c r="B6" s="4"/>
      <c r="C6" s="4"/>
      <c r="D6" s="5"/>
      <c r="E6" s="5"/>
      <c r="F6" s="6"/>
      <c r="G6" s="4"/>
      <c r="H6" s="4"/>
      <c r="I6" s="4"/>
      <c r="J6" s="6"/>
      <c r="K6" s="7" t="str">
        <f aca="false">IF(OR(I6="",J6=""),"",I6*J6)</f>
        <v/>
      </c>
      <c r="L6" s="4"/>
      <c r="M6" s="8"/>
      <c r="N6" s="7" t="str">
        <f aca="false">IF(OR(L6="",M6="",K6=""),"",IF(L6="GANANCIA",(K6-F6)*M6,IF(L6="BRUTO",K6*M6,"")))</f>
        <v/>
      </c>
      <c r="O6" s="9" t="str">
        <f aca="false">IF(D6="","",D6+30)</f>
        <v/>
      </c>
      <c r="P6" s="10" t="str">
        <f aca="false">IF(I6="","",IF(COUNTIF(Q6:AN6,TRUE())&gt;=I6,"PAGADO",IF(COUNTIF(Q6:AN6,TRUE())&gt;0,"PARCIAL","VIGENTE")))</f>
        <v/>
      </c>
      <c r="Q6" s="11" t="str">
        <f aca="false">IF(OR(I6="",I6&lt;1,O6=""),"",O6+0)</f>
        <v/>
      </c>
      <c r="R6" s="11" t="str">
        <f aca="false">IF(OR(I6="",I6&lt;2,O6=""),"",O6+30)</f>
        <v/>
      </c>
      <c r="S6" s="11" t="str">
        <f aca="false">IF(OR(I6="",I6&lt;3,O6=""),"",O6+60)</f>
        <v/>
      </c>
      <c r="T6" s="11" t="str">
        <f aca="false">IF(OR(I6="",I6&lt;4,O6=""),"",O6+90)</f>
        <v/>
      </c>
      <c r="U6" s="11" t="str">
        <f aca="false">IF(OR(I6="",I6&lt;5,O6=""),"",O6+120)</f>
        <v/>
      </c>
      <c r="V6" s="11" t="str">
        <f aca="false">IF(OR(I6="",I6&lt;6,O6=""),"",O6+150)</f>
        <v/>
      </c>
      <c r="W6" s="11" t="str">
        <f aca="false">IF(OR(I6="",I6&lt;7,O6=""),"",O6+180)</f>
        <v/>
      </c>
      <c r="X6" s="11" t="str">
        <f aca="false">IF(OR(I6="",I6&lt;8,O6=""),"",O6+210)</f>
        <v/>
      </c>
      <c r="Y6" s="11" t="str">
        <f aca="false">IF(OR(I6="",I6&lt;9,O6=""),"",O6+240)</f>
        <v/>
      </c>
      <c r="Z6" s="11" t="str">
        <f aca="false">IF(OR(I6="",I6&lt;10,O6=""),"",O6+270)</f>
        <v/>
      </c>
      <c r="AA6" s="11" t="str">
        <f aca="false">IF(OR(I6="",I6&lt;11,O6=""),"",O6+300)</f>
        <v/>
      </c>
      <c r="AB6" s="11" t="str">
        <f aca="false">IF(OR(I6="",I6&lt;12,O6=""),"",O6+330)</f>
        <v/>
      </c>
      <c r="AC6" s="11" t="str">
        <f aca="false">IF(OR(I6="",I6&lt;13,O6=""),"",O6+360)</f>
        <v/>
      </c>
      <c r="AD6" s="11" t="str">
        <f aca="false">IF(OR(I6="",I6&lt;14,O6=""),"",O6+390)</f>
        <v/>
      </c>
      <c r="AE6" s="11" t="str">
        <f aca="false">IF(OR(I6="",I6&lt;15,O6=""),"",O6+420)</f>
        <v/>
      </c>
      <c r="AF6" s="11" t="str">
        <f aca="false">IF(OR(I6="",I6&lt;16,O6=""),"",O6+450)</f>
        <v/>
      </c>
      <c r="AG6" s="11" t="str">
        <f aca="false">IF(OR(I6="",I6&lt;17,O6=""),"",O6+480)</f>
        <v/>
      </c>
      <c r="AH6" s="11" t="str">
        <f aca="false">IF(OR(I6="",I6&lt;18,O6=""),"",O6+510)</f>
        <v/>
      </c>
      <c r="AI6" s="11" t="str">
        <f aca="false">IF(OR(I6="",I6&lt;19,O6=""),"",O6+540)</f>
        <v/>
      </c>
      <c r="AJ6" s="11" t="str">
        <f aca="false">IF(OR(I6="",I6&lt;20,O6=""),"",O6+570)</f>
        <v/>
      </c>
      <c r="AK6" s="11" t="str">
        <f aca="false">IF(OR(I6="",I6&lt;21,O6=""),"",O6+600)</f>
        <v/>
      </c>
      <c r="AL6" s="11" t="str">
        <f aca="false">IF(OR(I6="",I6&lt;22,O6=""),"",O6+630)</f>
        <v/>
      </c>
      <c r="AM6" s="11" t="str">
        <f aca="false">IF(OR(I6="",I6&lt;23,O6=""),"",O6+660)</f>
        <v/>
      </c>
      <c r="AN6" s="11" t="str">
        <f aca="false">IF(OR(I6="",I6&lt;24,O6=""),"",O6+690)</f>
        <v/>
      </c>
      <c r="AO6" s="7" t="str">
        <f aca="false">IF(J6="","",COUNTIF(Q6:AN6,TRUE())*J6)</f>
        <v/>
      </c>
      <c r="AP6" s="7" t="str">
        <f aca="false">IF(K6="","",K6-AO6)</f>
        <v/>
      </c>
      <c r="AQ6" s="7" t="str">
        <f aca="false">IF(K6="","",K6-F6-IF(N6="",0,N6))</f>
        <v/>
      </c>
    </row>
    <row r="7" customFormat="false" ht="15" hidden="false" customHeight="false" outlineLevel="0" collapsed="false">
      <c r="A7" s="12"/>
      <c r="B7" s="12"/>
      <c r="C7" s="12"/>
      <c r="D7" s="13"/>
      <c r="E7" s="13"/>
      <c r="F7" s="14"/>
      <c r="G7" s="12"/>
      <c r="H7" s="12"/>
      <c r="I7" s="12"/>
      <c r="J7" s="14"/>
      <c r="K7" s="15" t="str">
        <f aca="false">IF(OR(I7="",J7=""),"",I7*J7)</f>
        <v/>
      </c>
      <c r="L7" s="12"/>
      <c r="M7" s="16"/>
      <c r="N7" s="15" t="str">
        <f aca="false">IF(OR(L7="",M7="",K7=""),"",IF(L7="GANANCIA",(K7-F7)*M7,IF(L7="BRUTO",K7*M7,"")))</f>
        <v/>
      </c>
      <c r="O7" s="17" t="str">
        <f aca="false">IF(D7="","",D7+30)</f>
        <v/>
      </c>
      <c r="P7" s="18" t="str">
        <f aca="false">IF(I7="","",IF(COUNTIF(Q7:AN7,TRUE())&gt;=I7,"PAGADO",IF(COUNTIF(Q7:AN7,TRUE())&gt;0,"PARCIAL","VIGENTE")))</f>
        <v/>
      </c>
      <c r="Q7" s="19" t="str">
        <f aca="false">IF(OR(I7="",I7&lt;1,O7=""),"",O7+0)</f>
        <v/>
      </c>
      <c r="R7" s="19" t="str">
        <f aca="false">IF(OR(I7="",I7&lt;2,O7=""),"",O7+30)</f>
        <v/>
      </c>
      <c r="S7" s="19" t="str">
        <f aca="false">IF(OR(I7="",I7&lt;3,O7=""),"",O7+60)</f>
        <v/>
      </c>
      <c r="T7" s="19" t="str">
        <f aca="false">IF(OR(I7="",I7&lt;4,O7=""),"",O7+90)</f>
        <v/>
      </c>
      <c r="U7" s="19" t="str">
        <f aca="false">IF(OR(I7="",I7&lt;5,O7=""),"",O7+120)</f>
        <v/>
      </c>
      <c r="V7" s="19" t="str">
        <f aca="false">IF(OR(I7="",I7&lt;6,O7=""),"",O7+150)</f>
        <v/>
      </c>
      <c r="W7" s="19" t="str">
        <f aca="false">IF(OR(I7="",I7&lt;7,O7=""),"",O7+180)</f>
        <v/>
      </c>
      <c r="X7" s="19" t="str">
        <f aca="false">IF(OR(I7="",I7&lt;8,O7=""),"",O7+210)</f>
        <v/>
      </c>
      <c r="Y7" s="19" t="str">
        <f aca="false">IF(OR(I7="",I7&lt;9,O7=""),"",O7+240)</f>
        <v/>
      </c>
      <c r="Z7" s="19" t="str">
        <f aca="false">IF(OR(I7="",I7&lt;10,O7=""),"",O7+270)</f>
        <v/>
      </c>
      <c r="AA7" s="19" t="str">
        <f aca="false">IF(OR(I7="",I7&lt;11,O7=""),"",O7+300)</f>
        <v/>
      </c>
      <c r="AB7" s="19" t="str">
        <f aca="false">IF(OR(I7="",I7&lt;12,O7=""),"",O7+330)</f>
        <v/>
      </c>
      <c r="AC7" s="19" t="str">
        <f aca="false">IF(OR(I7="",I7&lt;13,O7=""),"",O7+360)</f>
        <v/>
      </c>
      <c r="AD7" s="19" t="str">
        <f aca="false">IF(OR(I7="",I7&lt;14,O7=""),"",O7+390)</f>
        <v/>
      </c>
      <c r="AE7" s="19" t="str">
        <f aca="false">IF(OR(I7="",I7&lt;15,O7=""),"",O7+420)</f>
        <v/>
      </c>
      <c r="AF7" s="19" t="str">
        <f aca="false">IF(OR(I7="",I7&lt;16,O7=""),"",O7+450)</f>
        <v/>
      </c>
      <c r="AG7" s="19" t="str">
        <f aca="false">IF(OR(I7="",I7&lt;17,O7=""),"",O7+480)</f>
        <v/>
      </c>
      <c r="AH7" s="19" t="str">
        <f aca="false">IF(OR(I7="",I7&lt;18,O7=""),"",O7+510)</f>
        <v/>
      </c>
      <c r="AI7" s="19" t="str">
        <f aca="false">IF(OR(I7="",I7&lt;19,O7=""),"",O7+540)</f>
        <v/>
      </c>
      <c r="AJ7" s="19" t="str">
        <f aca="false">IF(OR(I7="",I7&lt;20,O7=""),"",O7+570)</f>
        <v/>
      </c>
      <c r="AK7" s="19" t="str">
        <f aca="false">IF(OR(I7="",I7&lt;21,O7=""),"",O7+600)</f>
        <v/>
      </c>
      <c r="AL7" s="19" t="str">
        <f aca="false">IF(OR(I7="",I7&lt;22,O7=""),"",O7+630)</f>
        <v/>
      </c>
      <c r="AM7" s="19" t="str">
        <f aca="false">IF(OR(I7="",I7&lt;23,O7=""),"",O7+660)</f>
        <v/>
      </c>
      <c r="AN7" s="19" t="str">
        <f aca="false">IF(OR(I7="",I7&lt;24,O7=""),"",O7+690)</f>
        <v/>
      </c>
      <c r="AO7" s="15" t="str">
        <f aca="false">IF(J7="","",COUNTIF(Q7:AN7,TRUE())*J7)</f>
        <v/>
      </c>
      <c r="AP7" s="15" t="str">
        <f aca="false">IF(K7="","",K7-AO7)</f>
        <v/>
      </c>
      <c r="AQ7" s="15" t="str">
        <f aca="false">IF(K7="","",K7-F7-IF(N7="",0,N7))</f>
        <v/>
      </c>
    </row>
    <row r="8" customFormat="false" ht="15" hidden="false" customHeight="false" outlineLevel="0" collapsed="false">
      <c r="A8" s="4"/>
      <c r="B8" s="4"/>
      <c r="C8" s="4"/>
      <c r="D8" s="5"/>
      <c r="E8" s="5"/>
      <c r="F8" s="6"/>
      <c r="G8" s="4"/>
      <c r="H8" s="4"/>
      <c r="I8" s="4"/>
      <c r="J8" s="6"/>
      <c r="K8" s="7" t="str">
        <f aca="false">IF(OR(I8="",J8=""),"",I8*J8)</f>
        <v/>
      </c>
      <c r="L8" s="4"/>
      <c r="M8" s="8"/>
      <c r="N8" s="7" t="str">
        <f aca="false">IF(OR(L8="",M8="",K8=""),"",IF(L8="GANANCIA",(K8-F8)*M8,IF(L8="BRUTO",K8*M8,"")))</f>
        <v/>
      </c>
      <c r="O8" s="9" t="str">
        <f aca="false">IF(D8="","",D8+30)</f>
        <v/>
      </c>
      <c r="P8" s="10" t="str">
        <f aca="false">IF(I8="","",IF(COUNTIF(Q8:AN8,TRUE())&gt;=I8,"PAGADO",IF(COUNTIF(Q8:AN8,TRUE())&gt;0,"PARCIAL","VIGENTE")))</f>
        <v/>
      </c>
      <c r="Q8" s="11" t="str">
        <f aca="false">IF(OR(I8="",I8&lt;1,O8=""),"",O8+0)</f>
        <v/>
      </c>
      <c r="R8" s="11" t="str">
        <f aca="false">IF(OR(I8="",I8&lt;2,O8=""),"",O8+30)</f>
        <v/>
      </c>
      <c r="S8" s="11" t="str">
        <f aca="false">IF(OR(I8="",I8&lt;3,O8=""),"",O8+60)</f>
        <v/>
      </c>
      <c r="T8" s="11" t="str">
        <f aca="false">IF(OR(I8="",I8&lt;4,O8=""),"",O8+90)</f>
        <v/>
      </c>
      <c r="U8" s="11" t="str">
        <f aca="false">IF(OR(I8="",I8&lt;5,O8=""),"",O8+120)</f>
        <v/>
      </c>
      <c r="V8" s="11" t="str">
        <f aca="false">IF(OR(I8="",I8&lt;6,O8=""),"",O8+150)</f>
        <v/>
      </c>
      <c r="W8" s="11" t="str">
        <f aca="false">IF(OR(I8="",I8&lt;7,O8=""),"",O8+180)</f>
        <v/>
      </c>
      <c r="X8" s="11" t="str">
        <f aca="false">IF(OR(I8="",I8&lt;8,O8=""),"",O8+210)</f>
        <v/>
      </c>
      <c r="Y8" s="11" t="str">
        <f aca="false">IF(OR(I8="",I8&lt;9,O8=""),"",O8+240)</f>
        <v/>
      </c>
      <c r="Z8" s="11" t="str">
        <f aca="false">IF(OR(I8="",I8&lt;10,O8=""),"",O8+270)</f>
        <v/>
      </c>
      <c r="AA8" s="11" t="str">
        <f aca="false">IF(OR(I8="",I8&lt;11,O8=""),"",O8+300)</f>
        <v/>
      </c>
      <c r="AB8" s="11" t="str">
        <f aca="false">IF(OR(I8="",I8&lt;12,O8=""),"",O8+330)</f>
        <v/>
      </c>
      <c r="AC8" s="11" t="str">
        <f aca="false">IF(OR(I8="",I8&lt;13,O8=""),"",O8+360)</f>
        <v/>
      </c>
      <c r="AD8" s="11" t="str">
        <f aca="false">IF(OR(I8="",I8&lt;14,O8=""),"",O8+390)</f>
        <v/>
      </c>
      <c r="AE8" s="11" t="str">
        <f aca="false">IF(OR(I8="",I8&lt;15,O8=""),"",O8+420)</f>
        <v/>
      </c>
      <c r="AF8" s="11" t="str">
        <f aca="false">IF(OR(I8="",I8&lt;16,O8=""),"",O8+450)</f>
        <v/>
      </c>
      <c r="AG8" s="11" t="str">
        <f aca="false">IF(OR(I8="",I8&lt;17,O8=""),"",O8+480)</f>
        <v/>
      </c>
      <c r="AH8" s="11" t="str">
        <f aca="false">IF(OR(I8="",I8&lt;18,O8=""),"",O8+510)</f>
        <v/>
      </c>
      <c r="AI8" s="11" t="str">
        <f aca="false">IF(OR(I8="",I8&lt;19,O8=""),"",O8+540)</f>
        <v/>
      </c>
      <c r="AJ8" s="11" t="str">
        <f aca="false">IF(OR(I8="",I8&lt;20,O8=""),"",O8+570)</f>
        <v/>
      </c>
      <c r="AK8" s="11" t="str">
        <f aca="false">IF(OR(I8="",I8&lt;21,O8=""),"",O8+600)</f>
        <v/>
      </c>
      <c r="AL8" s="11" t="str">
        <f aca="false">IF(OR(I8="",I8&lt;22,O8=""),"",O8+630)</f>
        <v/>
      </c>
      <c r="AM8" s="11" t="str">
        <f aca="false">IF(OR(I8="",I8&lt;23,O8=""),"",O8+660)</f>
        <v/>
      </c>
      <c r="AN8" s="11" t="str">
        <f aca="false">IF(OR(I8="",I8&lt;24,O8=""),"",O8+690)</f>
        <v/>
      </c>
      <c r="AO8" s="7" t="str">
        <f aca="false">IF(J8="","",COUNTIF(Q8:AN8,TRUE())*J8)</f>
        <v/>
      </c>
      <c r="AP8" s="7" t="str">
        <f aca="false">IF(K8="","",K8-AO8)</f>
        <v/>
      </c>
      <c r="AQ8" s="7" t="str">
        <f aca="false">IF(K8="","",K8-F8-IF(N8="",0,N8))</f>
        <v/>
      </c>
    </row>
    <row r="9" customFormat="false" ht="15" hidden="false" customHeight="false" outlineLevel="0" collapsed="false">
      <c r="A9" s="12"/>
      <c r="B9" s="12"/>
      <c r="C9" s="12"/>
      <c r="D9" s="13"/>
      <c r="E9" s="13"/>
      <c r="F9" s="14"/>
      <c r="G9" s="12"/>
      <c r="H9" s="12"/>
      <c r="I9" s="12"/>
      <c r="J9" s="14"/>
      <c r="K9" s="15" t="str">
        <f aca="false">IF(OR(I9="",J9=""),"",I9*J9)</f>
        <v/>
      </c>
      <c r="L9" s="12"/>
      <c r="M9" s="16"/>
      <c r="N9" s="15" t="str">
        <f aca="false">IF(OR(L9="",M9="",K9=""),"",IF(L9="GANANCIA",(K9-F9)*M9,IF(L9="BRUTO",K9*M9,"")))</f>
        <v/>
      </c>
      <c r="O9" s="17" t="str">
        <f aca="false">IF(D9="","",D9+30)</f>
        <v/>
      </c>
      <c r="P9" s="18" t="str">
        <f aca="false">IF(I9="","",IF(COUNTIF(Q9:AN9,TRUE())&gt;=I9,"PAGADO",IF(COUNTIF(Q9:AN9,TRUE())&gt;0,"PARCIAL","VIGENTE")))</f>
        <v/>
      </c>
      <c r="Q9" s="19" t="str">
        <f aca="false">IF(OR(I9="",I9&lt;1,O9=""),"",O9+0)</f>
        <v/>
      </c>
      <c r="R9" s="19" t="str">
        <f aca="false">IF(OR(I9="",I9&lt;2,O9=""),"",O9+30)</f>
        <v/>
      </c>
      <c r="S9" s="19" t="str">
        <f aca="false">IF(OR(I9="",I9&lt;3,O9=""),"",O9+60)</f>
        <v/>
      </c>
      <c r="T9" s="19" t="str">
        <f aca="false">IF(OR(I9="",I9&lt;4,O9=""),"",O9+90)</f>
        <v/>
      </c>
      <c r="U9" s="19" t="str">
        <f aca="false">IF(OR(I9="",I9&lt;5,O9=""),"",O9+120)</f>
        <v/>
      </c>
      <c r="V9" s="19" t="str">
        <f aca="false">IF(OR(I9="",I9&lt;6,O9=""),"",O9+150)</f>
        <v/>
      </c>
      <c r="W9" s="19" t="str">
        <f aca="false">IF(OR(I9="",I9&lt;7,O9=""),"",O9+180)</f>
        <v/>
      </c>
      <c r="X9" s="19" t="str">
        <f aca="false">IF(OR(I9="",I9&lt;8,O9=""),"",O9+210)</f>
        <v/>
      </c>
      <c r="Y9" s="19" t="str">
        <f aca="false">IF(OR(I9="",I9&lt;9,O9=""),"",O9+240)</f>
        <v/>
      </c>
      <c r="Z9" s="19" t="str">
        <f aca="false">IF(OR(I9="",I9&lt;10,O9=""),"",O9+270)</f>
        <v/>
      </c>
      <c r="AA9" s="19" t="str">
        <f aca="false">IF(OR(I9="",I9&lt;11,O9=""),"",O9+300)</f>
        <v/>
      </c>
      <c r="AB9" s="19" t="str">
        <f aca="false">IF(OR(I9="",I9&lt;12,O9=""),"",O9+330)</f>
        <v/>
      </c>
      <c r="AC9" s="19" t="str">
        <f aca="false">IF(OR(I9="",I9&lt;13,O9=""),"",O9+360)</f>
        <v/>
      </c>
      <c r="AD9" s="19" t="str">
        <f aca="false">IF(OR(I9="",I9&lt;14,O9=""),"",O9+390)</f>
        <v/>
      </c>
      <c r="AE9" s="19" t="str">
        <f aca="false">IF(OR(I9="",I9&lt;15,O9=""),"",O9+420)</f>
        <v/>
      </c>
      <c r="AF9" s="19" t="str">
        <f aca="false">IF(OR(I9="",I9&lt;16,O9=""),"",O9+450)</f>
        <v/>
      </c>
      <c r="AG9" s="19" t="str">
        <f aca="false">IF(OR(I9="",I9&lt;17,O9=""),"",O9+480)</f>
        <v/>
      </c>
      <c r="AH9" s="19" t="str">
        <f aca="false">IF(OR(I9="",I9&lt;18,O9=""),"",O9+510)</f>
        <v/>
      </c>
      <c r="AI9" s="19" t="str">
        <f aca="false">IF(OR(I9="",I9&lt;19,O9=""),"",O9+540)</f>
        <v/>
      </c>
      <c r="AJ9" s="19" t="str">
        <f aca="false">IF(OR(I9="",I9&lt;20,O9=""),"",O9+570)</f>
        <v/>
      </c>
      <c r="AK9" s="19" t="str">
        <f aca="false">IF(OR(I9="",I9&lt;21,O9=""),"",O9+600)</f>
        <v/>
      </c>
      <c r="AL9" s="19" t="str">
        <f aca="false">IF(OR(I9="",I9&lt;22,O9=""),"",O9+630)</f>
        <v/>
      </c>
      <c r="AM9" s="19" t="str">
        <f aca="false">IF(OR(I9="",I9&lt;23,O9=""),"",O9+660)</f>
        <v/>
      </c>
      <c r="AN9" s="19" t="str">
        <f aca="false">IF(OR(I9="",I9&lt;24,O9=""),"",O9+690)</f>
        <v/>
      </c>
      <c r="AO9" s="15" t="str">
        <f aca="false">IF(J9="","",COUNTIF(Q9:AN9,TRUE())*J9)</f>
        <v/>
      </c>
      <c r="AP9" s="15" t="str">
        <f aca="false">IF(K9="","",K9-AO9)</f>
        <v/>
      </c>
      <c r="AQ9" s="15" t="str">
        <f aca="false">IF(K9="","",K9-F9-IF(N9="",0,N9))</f>
        <v/>
      </c>
    </row>
    <row r="10" customFormat="false" ht="15" hidden="false" customHeight="false" outlineLevel="0" collapsed="false">
      <c r="A10" s="4"/>
      <c r="B10" s="4"/>
      <c r="C10" s="4"/>
      <c r="D10" s="5"/>
      <c r="E10" s="5"/>
      <c r="F10" s="6"/>
      <c r="G10" s="4"/>
      <c r="H10" s="4"/>
      <c r="I10" s="4"/>
      <c r="J10" s="6"/>
      <c r="K10" s="7" t="str">
        <f aca="false">IF(OR(I10="",J10=""),"",I10*J10)</f>
        <v/>
      </c>
      <c r="L10" s="4"/>
      <c r="M10" s="8"/>
      <c r="N10" s="7" t="str">
        <f aca="false">IF(OR(L10="",M10="",K10=""),"",IF(L10="GANANCIA",(K10-F10)*M10,IF(L10="BRUTO",K10*M10,"")))</f>
        <v/>
      </c>
      <c r="O10" s="9" t="str">
        <f aca="false">IF(D10="","",D10+30)</f>
        <v/>
      </c>
      <c r="P10" s="10" t="str">
        <f aca="false">IF(I10="","",IF(COUNTIF(Q10:AN10,TRUE())&gt;=I10,"PAGADO",IF(COUNTIF(Q10:AN10,TRUE())&gt;0,"PARCIAL","VIGENTE")))</f>
        <v/>
      </c>
      <c r="Q10" s="11" t="str">
        <f aca="false">IF(OR(I10="",I10&lt;1,O10=""),"",O10+0)</f>
        <v/>
      </c>
      <c r="R10" s="11" t="str">
        <f aca="false">IF(OR(I10="",I10&lt;2,O10=""),"",O10+30)</f>
        <v/>
      </c>
      <c r="S10" s="11" t="str">
        <f aca="false">IF(OR(I10="",I10&lt;3,O10=""),"",O10+60)</f>
        <v/>
      </c>
      <c r="T10" s="11" t="str">
        <f aca="false">IF(OR(I10="",I10&lt;4,O10=""),"",O10+90)</f>
        <v/>
      </c>
      <c r="U10" s="11" t="str">
        <f aca="false">IF(OR(I10="",I10&lt;5,O10=""),"",O10+120)</f>
        <v/>
      </c>
      <c r="V10" s="11" t="str">
        <f aca="false">IF(OR(I10="",I10&lt;6,O10=""),"",O10+150)</f>
        <v/>
      </c>
      <c r="W10" s="11" t="str">
        <f aca="false">IF(OR(I10="",I10&lt;7,O10=""),"",O10+180)</f>
        <v/>
      </c>
      <c r="X10" s="11" t="str">
        <f aca="false">IF(OR(I10="",I10&lt;8,O10=""),"",O10+210)</f>
        <v/>
      </c>
      <c r="Y10" s="11" t="str">
        <f aca="false">IF(OR(I10="",I10&lt;9,O10=""),"",O10+240)</f>
        <v/>
      </c>
      <c r="Z10" s="11" t="str">
        <f aca="false">IF(OR(I10="",I10&lt;10,O10=""),"",O10+270)</f>
        <v/>
      </c>
      <c r="AA10" s="11" t="str">
        <f aca="false">IF(OR(I10="",I10&lt;11,O10=""),"",O10+300)</f>
        <v/>
      </c>
      <c r="AB10" s="11" t="str">
        <f aca="false">IF(OR(I10="",I10&lt;12,O10=""),"",O10+330)</f>
        <v/>
      </c>
      <c r="AC10" s="11" t="str">
        <f aca="false">IF(OR(I10="",I10&lt;13,O10=""),"",O10+360)</f>
        <v/>
      </c>
      <c r="AD10" s="11" t="str">
        <f aca="false">IF(OR(I10="",I10&lt;14,O10=""),"",O10+390)</f>
        <v/>
      </c>
      <c r="AE10" s="11" t="str">
        <f aca="false">IF(OR(I10="",I10&lt;15,O10=""),"",O10+420)</f>
        <v/>
      </c>
      <c r="AF10" s="11" t="str">
        <f aca="false">IF(OR(I10="",I10&lt;16,O10=""),"",O10+450)</f>
        <v/>
      </c>
      <c r="AG10" s="11" t="str">
        <f aca="false">IF(OR(I10="",I10&lt;17,O10=""),"",O10+480)</f>
        <v/>
      </c>
      <c r="AH10" s="11" t="str">
        <f aca="false">IF(OR(I10="",I10&lt;18,O10=""),"",O10+510)</f>
        <v/>
      </c>
      <c r="AI10" s="11" t="str">
        <f aca="false">IF(OR(I10="",I10&lt;19,O10=""),"",O10+540)</f>
        <v/>
      </c>
      <c r="AJ10" s="11" t="str">
        <f aca="false">IF(OR(I10="",I10&lt;20,O10=""),"",O10+570)</f>
        <v/>
      </c>
      <c r="AK10" s="11" t="str">
        <f aca="false">IF(OR(I10="",I10&lt;21,O10=""),"",O10+600)</f>
        <v/>
      </c>
      <c r="AL10" s="11" t="str">
        <f aca="false">IF(OR(I10="",I10&lt;22,O10=""),"",O10+630)</f>
        <v/>
      </c>
      <c r="AM10" s="11" t="str">
        <f aca="false">IF(OR(I10="",I10&lt;23,O10=""),"",O10+660)</f>
        <v/>
      </c>
      <c r="AN10" s="11" t="str">
        <f aca="false">IF(OR(I10="",I10&lt;24,O10=""),"",O10+690)</f>
        <v/>
      </c>
      <c r="AO10" s="7" t="str">
        <f aca="false">IF(J10="","",COUNTIF(Q10:AN10,TRUE())*J10)</f>
        <v/>
      </c>
      <c r="AP10" s="7" t="str">
        <f aca="false">IF(K10="","",K10-AO10)</f>
        <v/>
      </c>
      <c r="AQ10" s="7" t="str">
        <f aca="false">IF(K10="","",K10-F10-IF(N10="",0,N10))</f>
        <v/>
      </c>
    </row>
    <row r="11" customFormat="false" ht="15" hidden="false" customHeight="false" outlineLevel="0" collapsed="false">
      <c r="A11" s="12"/>
      <c r="B11" s="12"/>
      <c r="C11" s="12"/>
      <c r="D11" s="13"/>
      <c r="E11" s="13"/>
      <c r="F11" s="14"/>
      <c r="G11" s="12"/>
      <c r="H11" s="12"/>
      <c r="I11" s="12"/>
      <c r="J11" s="14"/>
      <c r="K11" s="15" t="str">
        <f aca="false">IF(OR(I11="",J11=""),"",I11*J11)</f>
        <v/>
      </c>
      <c r="L11" s="12"/>
      <c r="M11" s="16"/>
      <c r="N11" s="15" t="str">
        <f aca="false">IF(OR(L11="",M11="",K11=""),"",IF(L11="GANANCIA",(K11-F11)*M11,IF(L11="BRUTO",K11*M11,"")))</f>
        <v/>
      </c>
      <c r="O11" s="17" t="str">
        <f aca="false">IF(D11="","",D11+30)</f>
        <v/>
      </c>
      <c r="P11" s="18" t="str">
        <f aca="false">IF(I11="","",IF(COUNTIF(Q11:AN11,TRUE())&gt;=I11,"PAGADO",IF(COUNTIF(Q11:AN11,TRUE())&gt;0,"PARCIAL","VIGENTE")))</f>
        <v/>
      </c>
      <c r="Q11" s="19" t="str">
        <f aca="false">IF(OR(I11="",I11&lt;1,O11=""),"",O11+0)</f>
        <v/>
      </c>
      <c r="R11" s="19" t="str">
        <f aca="false">IF(OR(I11="",I11&lt;2,O11=""),"",O11+30)</f>
        <v/>
      </c>
      <c r="S11" s="19" t="str">
        <f aca="false">IF(OR(I11="",I11&lt;3,O11=""),"",O11+60)</f>
        <v/>
      </c>
      <c r="T11" s="19" t="str">
        <f aca="false">IF(OR(I11="",I11&lt;4,O11=""),"",O11+90)</f>
        <v/>
      </c>
      <c r="U11" s="19" t="str">
        <f aca="false">IF(OR(I11="",I11&lt;5,O11=""),"",O11+120)</f>
        <v/>
      </c>
      <c r="V11" s="19" t="str">
        <f aca="false">IF(OR(I11="",I11&lt;6,O11=""),"",O11+150)</f>
        <v/>
      </c>
      <c r="W11" s="19" t="str">
        <f aca="false">IF(OR(I11="",I11&lt;7,O11=""),"",O11+180)</f>
        <v/>
      </c>
      <c r="X11" s="19" t="str">
        <f aca="false">IF(OR(I11="",I11&lt;8,O11=""),"",O11+210)</f>
        <v/>
      </c>
      <c r="Y11" s="19" t="str">
        <f aca="false">IF(OR(I11="",I11&lt;9,O11=""),"",O11+240)</f>
        <v/>
      </c>
      <c r="Z11" s="19" t="str">
        <f aca="false">IF(OR(I11="",I11&lt;10,O11=""),"",O11+270)</f>
        <v/>
      </c>
      <c r="AA11" s="19" t="str">
        <f aca="false">IF(OR(I11="",I11&lt;11,O11=""),"",O11+300)</f>
        <v/>
      </c>
      <c r="AB11" s="19" t="str">
        <f aca="false">IF(OR(I11="",I11&lt;12,O11=""),"",O11+330)</f>
        <v/>
      </c>
      <c r="AC11" s="19" t="str">
        <f aca="false">IF(OR(I11="",I11&lt;13,O11=""),"",O11+360)</f>
        <v/>
      </c>
      <c r="AD11" s="19" t="str">
        <f aca="false">IF(OR(I11="",I11&lt;14,O11=""),"",O11+390)</f>
        <v/>
      </c>
      <c r="AE11" s="19" t="str">
        <f aca="false">IF(OR(I11="",I11&lt;15,O11=""),"",O11+420)</f>
        <v/>
      </c>
      <c r="AF11" s="19" t="str">
        <f aca="false">IF(OR(I11="",I11&lt;16,O11=""),"",O11+450)</f>
        <v/>
      </c>
      <c r="AG11" s="19" t="str">
        <f aca="false">IF(OR(I11="",I11&lt;17,O11=""),"",O11+480)</f>
        <v/>
      </c>
      <c r="AH11" s="19" t="str">
        <f aca="false">IF(OR(I11="",I11&lt;18,O11=""),"",O11+510)</f>
        <v/>
      </c>
      <c r="AI11" s="19" t="str">
        <f aca="false">IF(OR(I11="",I11&lt;19,O11=""),"",O11+540)</f>
        <v/>
      </c>
      <c r="AJ11" s="19" t="str">
        <f aca="false">IF(OR(I11="",I11&lt;20,O11=""),"",O11+570)</f>
        <v/>
      </c>
      <c r="AK11" s="19" t="str">
        <f aca="false">IF(OR(I11="",I11&lt;21,O11=""),"",O11+600)</f>
        <v/>
      </c>
      <c r="AL11" s="19" t="str">
        <f aca="false">IF(OR(I11="",I11&lt;22,O11=""),"",O11+630)</f>
        <v/>
      </c>
      <c r="AM11" s="19" t="str">
        <f aca="false">IF(OR(I11="",I11&lt;23,O11=""),"",O11+660)</f>
        <v/>
      </c>
      <c r="AN11" s="19" t="str">
        <f aca="false">IF(OR(I11="",I11&lt;24,O11=""),"",O11+690)</f>
        <v/>
      </c>
      <c r="AO11" s="15" t="str">
        <f aca="false">IF(J11="","",COUNTIF(Q11:AN11,TRUE())*J11)</f>
        <v/>
      </c>
      <c r="AP11" s="15" t="str">
        <f aca="false">IF(K11="","",K11-AO11)</f>
        <v/>
      </c>
      <c r="AQ11" s="15" t="str">
        <f aca="false">IF(K11="","",K11-F11-IF(N11="",0,N11))</f>
        <v/>
      </c>
    </row>
    <row r="12" customFormat="false" ht="15" hidden="false" customHeight="false" outlineLevel="0" collapsed="false">
      <c r="A12" s="4"/>
      <c r="B12" s="4"/>
      <c r="C12" s="4"/>
      <c r="D12" s="5"/>
      <c r="E12" s="5"/>
      <c r="F12" s="6"/>
      <c r="G12" s="4"/>
      <c r="H12" s="4"/>
      <c r="I12" s="4"/>
      <c r="J12" s="6"/>
      <c r="K12" s="7" t="str">
        <f aca="false">IF(OR(I12="",J12=""),"",I12*J12)</f>
        <v/>
      </c>
      <c r="L12" s="4"/>
      <c r="M12" s="8"/>
      <c r="N12" s="7" t="str">
        <f aca="false">IF(OR(L12="",M12="",K12=""),"",IF(L12="GANANCIA",(K12-F12)*M12,IF(L12="BRUTO",K12*M12,"")))</f>
        <v/>
      </c>
      <c r="O12" s="9" t="str">
        <f aca="false">IF(D12="","",D12+30)</f>
        <v/>
      </c>
      <c r="P12" s="10" t="str">
        <f aca="false">IF(I12="","",IF(COUNTIF(Q12:AN12,TRUE())&gt;=I12,"PAGADO",IF(COUNTIF(Q12:AN12,TRUE())&gt;0,"PARCIAL","VIGENTE")))</f>
        <v/>
      </c>
      <c r="Q12" s="11" t="str">
        <f aca="false">IF(OR(I12="",I12&lt;1,O12=""),"",O12+0)</f>
        <v/>
      </c>
      <c r="R12" s="11" t="str">
        <f aca="false">IF(OR(I12="",I12&lt;2,O12=""),"",O12+30)</f>
        <v/>
      </c>
      <c r="S12" s="11" t="str">
        <f aca="false">IF(OR(I12="",I12&lt;3,O12=""),"",O12+60)</f>
        <v/>
      </c>
      <c r="T12" s="11" t="str">
        <f aca="false">IF(OR(I12="",I12&lt;4,O12=""),"",O12+90)</f>
        <v/>
      </c>
      <c r="U12" s="11" t="str">
        <f aca="false">IF(OR(I12="",I12&lt;5,O12=""),"",O12+120)</f>
        <v/>
      </c>
      <c r="V12" s="11" t="str">
        <f aca="false">IF(OR(I12="",I12&lt;6,O12=""),"",O12+150)</f>
        <v/>
      </c>
      <c r="W12" s="11" t="str">
        <f aca="false">IF(OR(I12="",I12&lt;7,O12=""),"",O12+180)</f>
        <v/>
      </c>
      <c r="X12" s="11" t="str">
        <f aca="false">IF(OR(I12="",I12&lt;8,O12=""),"",O12+210)</f>
        <v/>
      </c>
      <c r="Y12" s="11" t="str">
        <f aca="false">IF(OR(I12="",I12&lt;9,O12=""),"",O12+240)</f>
        <v/>
      </c>
      <c r="Z12" s="11" t="str">
        <f aca="false">IF(OR(I12="",I12&lt;10,O12=""),"",O12+270)</f>
        <v/>
      </c>
      <c r="AA12" s="11" t="str">
        <f aca="false">IF(OR(I12="",I12&lt;11,O12=""),"",O12+300)</f>
        <v/>
      </c>
      <c r="AB12" s="11" t="str">
        <f aca="false">IF(OR(I12="",I12&lt;12,O12=""),"",O12+330)</f>
        <v/>
      </c>
      <c r="AC12" s="11" t="str">
        <f aca="false">IF(OR(I12="",I12&lt;13,O12=""),"",O12+360)</f>
        <v/>
      </c>
      <c r="AD12" s="11" t="str">
        <f aca="false">IF(OR(I12="",I12&lt;14,O12=""),"",O12+390)</f>
        <v/>
      </c>
      <c r="AE12" s="11" t="str">
        <f aca="false">IF(OR(I12="",I12&lt;15,O12=""),"",O12+420)</f>
        <v/>
      </c>
      <c r="AF12" s="11" t="str">
        <f aca="false">IF(OR(I12="",I12&lt;16,O12=""),"",O12+450)</f>
        <v/>
      </c>
      <c r="AG12" s="11" t="str">
        <f aca="false">IF(OR(I12="",I12&lt;17,O12=""),"",O12+480)</f>
        <v/>
      </c>
      <c r="AH12" s="11" t="str">
        <f aca="false">IF(OR(I12="",I12&lt;18,O12=""),"",O12+510)</f>
        <v/>
      </c>
      <c r="AI12" s="11" t="str">
        <f aca="false">IF(OR(I12="",I12&lt;19,O12=""),"",O12+540)</f>
        <v/>
      </c>
      <c r="AJ12" s="11" t="str">
        <f aca="false">IF(OR(I12="",I12&lt;20,O12=""),"",O12+570)</f>
        <v/>
      </c>
      <c r="AK12" s="11" t="str">
        <f aca="false">IF(OR(I12="",I12&lt;21,O12=""),"",O12+600)</f>
        <v/>
      </c>
      <c r="AL12" s="11" t="str">
        <f aca="false">IF(OR(I12="",I12&lt;22,O12=""),"",O12+630)</f>
        <v/>
      </c>
      <c r="AM12" s="11" t="str">
        <f aca="false">IF(OR(I12="",I12&lt;23,O12=""),"",O12+660)</f>
        <v/>
      </c>
      <c r="AN12" s="11" t="str">
        <f aca="false">IF(OR(I12="",I12&lt;24,O12=""),"",O12+690)</f>
        <v/>
      </c>
      <c r="AO12" s="7" t="str">
        <f aca="false">IF(J12="","",COUNTIF(Q12:AN12,TRUE())*J12)</f>
        <v/>
      </c>
      <c r="AP12" s="7" t="str">
        <f aca="false">IF(K12="","",K12-AO12)</f>
        <v/>
      </c>
      <c r="AQ12" s="7" t="str">
        <f aca="false">IF(K12="","",K12-F12-IF(N12="",0,N12))</f>
        <v/>
      </c>
    </row>
    <row r="13" customFormat="false" ht="15" hidden="false" customHeight="false" outlineLevel="0" collapsed="false">
      <c r="A13" s="12"/>
      <c r="B13" s="12"/>
      <c r="C13" s="12"/>
      <c r="D13" s="13"/>
      <c r="E13" s="13"/>
      <c r="F13" s="14"/>
      <c r="G13" s="12"/>
      <c r="H13" s="12"/>
      <c r="I13" s="12"/>
      <c r="J13" s="14"/>
      <c r="K13" s="15" t="str">
        <f aca="false">IF(OR(I13="",J13=""),"",I13*J13)</f>
        <v/>
      </c>
      <c r="L13" s="12"/>
      <c r="M13" s="16"/>
      <c r="N13" s="15" t="str">
        <f aca="false">IF(OR(L13="",M13="",K13=""),"",IF(L13="GANANCIA",(K13-F13)*M13,IF(L13="BRUTO",K13*M13,"")))</f>
        <v/>
      </c>
      <c r="O13" s="17" t="str">
        <f aca="false">IF(D13="","",D13+30)</f>
        <v/>
      </c>
      <c r="P13" s="18" t="str">
        <f aca="false">IF(I13="","",IF(COUNTIF(Q13:AN13,TRUE())&gt;=I13,"PAGADO",IF(COUNTIF(Q13:AN13,TRUE())&gt;0,"PARCIAL","VIGENTE")))</f>
        <v/>
      </c>
      <c r="Q13" s="19" t="str">
        <f aca="false">IF(OR(I13="",I13&lt;1,O13=""),"",O13+0)</f>
        <v/>
      </c>
      <c r="R13" s="19" t="str">
        <f aca="false">IF(OR(I13="",I13&lt;2,O13=""),"",O13+30)</f>
        <v/>
      </c>
      <c r="S13" s="19" t="str">
        <f aca="false">IF(OR(I13="",I13&lt;3,O13=""),"",O13+60)</f>
        <v/>
      </c>
      <c r="T13" s="19" t="str">
        <f aca="false">IF(OR(I13="",I13&lt;4,O13=""),"",O13+90)</f>
        <v/>
      </c>
      <c r="U13" s="19" t="str">
        <f aca="false">IF(OR(I13="",I13&lt;5,O13=""),"",O13+120)</f>
        <v/>
      </c>
      <c r="V13" s="19" t="str">
        <f aca="false">IF(OR(I13="",I13&lt;6,O13=""),"",O13+150)</f>
        <v/>
      </c>
      <c r="W13" s="19" t="str">
        <f aca="false">IF(OR(I13="",I13&lt;7,O13=""),"",O13+180)</f>
        <v/>
      </c>
      <c r="X13" s="19" t="str">
        <f aca="false">IF(OR(I13="",I13&lt;8,O13=""),"",O13+210)</f>
        <v/>
      </c>
      <c r="Y13" s="19" t="str">
        <f aca="false">IF(OR(I13="",I13&lt;9,O13=""),"",O13+240)</f>
        <v/>
      </c>
      <c r="Z13" s="19" t="str">
        <f aca="false">IF(OR(I13="",I13&lt;10,O13=""),"",O13+270)</f>
        <v/>
      </c>
      <c r="AA13" s="19" t="str">
        <f aca="false">IF(OR(I13="",I13&lt;11,O13=""),"",O13+300)</f>
        <v/>
      </c>
      <c r="AB13" s="19" t="str">
        <f aca="false">IF(OR(I13="",I13&lt;12,O13=""),"",O13+330)</f>
        <v/>
      </c>
      <c r="AC13" s="19" t="str">
        <f aca="false">IF(OR(I13="",I13&lt;13,O13=""),"",O13+360)</f>
        <v/>
      </c>
      <c r="AD13" s="19" t="str">
        <f aca="false">IF(OR(I13="",I13&lt;14,O13=""),"",O13+390)</f>
        <v/>
      </c>
      <c r="AE13" s="19" t="str">
        <f aca="false">IF(OR(I13="",I13&lt;15,O13=""),"",O13+420)</f>
        <v/>
      </c>
      <c r="AF13" s="19" t="str">
        <f aca="false">IF(OR(I13="",I13&lt;16,O13=""),"",O13+450)</f>
        <v/>
      </c>
      <c r="AG13" s="19" t="str">
        <f aca="false">IF(OR(I13="",I13&lt;17,O13=""),"",O13+480)</f>
        <v/>
      </c>
      <c r="AH13" s="19" t="str">
        <f aca="false">IF(OR(I13="",I13&lt;18,O13=""),"",O13+510)</f>
        <v/>
      </c>
      <c r="AI13" s="19" t="str">
        <f aca="false">IF(OR(I13="",I13&lt;19,O13=""),"",O13+540)</f>
        <v/>
      </c>
      <c r="AJ13" s="19" t="str">
        <f aca="false">IF(OR(I13="",I13&lt;20,O13=""),"",O13+570)</f>
        <v/>
      </c>
      <c r="AK13" s="19" t="str">
        <f aca="false">IF(OR(I13="",I13&lt;21,O13=""),"",O13+600)</f>
        <v/>
      </c>
      <c r="AL13" s="19" t="str">
        <f aca="false">IF(OR(I13="",I13&lt;22,O13=""),"",O13+630)</f>
        <v/>
      </c>
      <c r="AM13" s="19" t="str">
        <f aca="false">IF(OR(I13="",I13&lt;23,O13=""),"",O13+660)</f>
        <v/>
      </c>
      <c r="AN13" s="19" t="str">
        <f aca="false">IF(OR(I13="",I13&lt;24,O13=""),"",O13+690)</f>
        <v/>
      </c>
      <c r="AO13" s="15" t="str">
        <f aca="false">IF(J13="","",COUNTIF(Q13:AN13,TRUE())*J13)</f>
        <v/>
      </c>
      <c r="AP13" s="15" t="str">
        <f aca="false">IF(K13="","",K13-AO13)</f>
        <v/>
      </c>
      <c r="AQ13" s="15" t="str">
        <f aca="false">IF(K13="","",K13-F13-IF(N13="",0,N13))</f>
        <v/>
      </c>
    </row>
    <row r="14" customFormat="false" ht="15" hidden="false" customHeight="false" outlineLevel="0" collapsed="false">
      <c r="A14" s="4"/>
      <c r="B14" s="4"/>
      <c r="C14" s="4"/>
      <c r="D14" s="5"/>
      <c r="E14" s="5"/>
      <c r="F14" s="6"/>
      <c r="G14" s="4"/>
      <c r="H14" s="4"/>
      <c r="I14" s="4"/>
      <c r="J14" s="6"/>
      <c r="K14" s="7" t="str">
        <f aca="false">IF(OR(I14="",J14=""),"",I14*J14)</f>
        <v/>
      </c>
      <c r="L14" s="4"/>
      <c r="M14" s="8"/>
      <c r="N14" s="7" t="str">
        <f aca="false">IF(OR(L14="",M14="",K14=""),"",IF(L14="GANANCIA",(K14-F14)*M14,IF(L14="BRUTO",K14*M14,"")))</f>
        <v/>
      </c>
      <c r="O14" s="9" t="str">
        <f aca="false">IF(D14="","",D14+30)</f>
        <v/>
      </c>
      <c r="P14" s="10" t="str">
        <f aca="false">IF(I14="","",IF(COUNTIF(Q14:AN14,TRUE())&gt;=I14,"PAGADO",IF(COUNTIF(Q14:AN14,TRUE())&gt;0,"PARCIAL","VIGENTE")))</f>
        <v/>
      </c>
      <c r="Q14" s="11" t="str">
        <f aca="false">IF(OR(I14="",I14&lt;1,O14=""),"",O14+0)</f>
        <v/>
      </c>
      <c r="R14" s="11" t="str">
        <f aca="false">IF(OR(I14="",I14&lt;2,O14=""),"",O14+30)</f>
        <v/>
      </c>
      <c r="S14" s="11" t="str">
        <f aca="false">IF(OR(I14="",I14&lt;3,O14=""),"",O14+60)</f>
        <v/>
      </c>
      <c r="T14" s="11" t="str">
        <f aca="false">IF(OR(I14="",I14&lt;4,O14=""),"",O14+90)</f>
        <v/>
      </c>
      <c r="U14" s="11" t="str">
        <f aca="false">IF(OR(I14="",I14&lt;5,O14=""),"",O14+120)</f>
        <v/>
      </c>
      <c r="V14" s="11" t="str">
        <f aca="false">IF(OR(I14="",I14&lt;6,O14=""),"",O14+150)</f>
        <v/>
      </c>
      <c r="W14" s="11" t="str">
        <f aca="false">IF(OR(I14="",I14&lt;7,O14=""),"",O14+180)</f>
        <v/>
      </c>
      <c r="X14" s="11" t="str">
        <f aca="false">IF(OR(I14="",I14&lt;8,O14=""),"",O14+210)</f>
        <v/>
      </c>
      <c r="Y14" s="11" t="str">
        <f aca="false">IF(OR(I14="",I14&lt;9,O14=""),"",O14+240)</f>
        <v/>
      </c>
      <c r="Z14" s="11" t="str">
        <f aca="false">IF(OR(I14="",I14&lt;10,O14=""),"",O14+270)</f>
        <v/>
      </c>
      <c r="AA14" s="11" t="str">
        <f aca="false">IF(OR(I14="",I14&lt;11,O14=""),"",O14+300)</f>
        <v/>
      </c>
      <c r="AB14" s="11" t="str">
        <f aca="false">IF(OR(I14="",I14&lt;12,O14=""),"",O14+330)</f>
        <v/>
      </c>
      <c r="AC14" s="11" t="str">
        <f aca="false">IF(OR(I14="",I14&lt;13,O14=""),"",O14+360)</f>
        <v/>
      </c>
      <c r="AD14" s="11" t="str">
        <f aca="false">IF(OR(I14="",I14&lt;14,O14=""),"",O14+390)</f>
        <v/>
      </c>
      <c r="AE14" s="11" t="str">
        <f aca="false">IF(OR(I14="",I14&lt;15,O14=""),"",O14+420)</f>
        <v/>
      </c>
      <c r="AF14" s="11" t="str">
        <f aca="false">IF(OR(I14="",I14&lt;16,O14=""),"",O14+450)</f>
        <v/>
      </c>
      <c r="AG14" s="11" t="str">
        <f aca="false">IF(OR(I14="",I14&lt;17,O14=""),"",O14+480)</f>
        <v/>
      </c>
      <c r="AH14" s="11" t="str">
        <f aca="false">IF(OR(I14="",I14&lt;18,O14=""),"",O14+510)</f>
        <v/>
      </c>
      <c r="AI14" s="11" t="str">
        <f aca="false">IF(OR(I14="",I14&lt;19,O14=""),"",O14+540)</f>
        <v/>
      </c>
      <c r="AJ14" s="11" t="str">
        <f aca="false">IF(OR(I14="",I14&lt;20,O14=""),"",O14+570)</f>
        <v/>
      </c>
      <c r="AK14" s="11" t="str">
        <f aca="false">IF(OR(I14="",I14&lt;21,O14=""),"",O14+600)</f>
        <v/>
      </c>
      <c r="AL14" s="11" t="str">
        <f aca="false">IF(OR(I14="",I14&lt;22,O14=""),"",O14+630)</f>
        <v/>
      </c>
      <c r="AM14" s="11" t="str">
        <f aca="false">IF(OR(I14="",I14&lt;23,O14=""),"",O14+660)</f>
        <v/>
      </c>
      <c r="AN14" s="11" t="str">
        <f aca="false">IF(OR(I14="",I14&lt;24,O14=""),"",O14+690)</f>
        <v/>
      </c>
      <c r="AO14" s="7" t="str">
        <f aca="false">IF(J14="","",COUNTIF(Q14:AN14,TRUE())*J14)</f>
        <v/>
      </c>
      <c r="AP14" s="7" t="str">
        <f aca="false">IF(K14="","",K14-AO14)</f>
        <v/>
      </c>
      <c r="AQ14" s="7" t="str">
        <f aca="false">IF(K14="","",K14-F14-IF(N14="",0,N14))</f>
        <v/>
      </c>
    </row>
    <row r="15" customFormat="false" ht="15" hidden="false" customHeight="false" outlineLevel="0" collapsed="false">
      <c r="A15" s="12"/>
      <c r="B15" s="12"/>
      <c r="C15" s="12"/>
      <c r="D15" s="13"/>
      <c r="E15" s="13"/>
      <c r="F15" s="14"/>
      <c r="G15" s="12"/>
      <c r="H15" s="12"/>
      <c r="I15" s="12"/>
      <c r="J15" s="14"/>
      <c r="K15" s="15" t="str">
        <f aca="false">IF(OR(I15="",J15=""),"",I15*J15)</f>
        <v/>
      </c>
      <c r="L15" s="12"/>
      <c r="M15" s="16"/>
      <c r="N15" s="15" t="str">
        <f aca="false">IF(OR(L15="",M15="",K15=""),"",IF(L15="GANANCIA",(K15-F15)*M15,IF(L15="BRUTO",K15*M15,"")))</f>
        <v/>
      </c>
      <c r="O15" s="17" t="str">
        <f aca="false">IF(D15="","",D15+30)</f>
        <v/>
      </c>
      <c r="P15" s="18" t="str">
        <f aca="false">IF(I15="","",IF(COUNTIF(Q15:AN15,TRUE())&gt;=I15,"PAGADO",IF(COUNTIF(Q15:AN15,TRUE())&gt;0,"PARCIAL","VIGENTE")))</f>
        <v/>
      </c>
      <c r="Q15" s="19" t="str">
        <f aca="false">IF(OR(I15="",I15&lt;1,O15=""),"",O15+0)</f>
        <v/>
      </c>
      <c r="R15" s="19" t="str">
        <f aca="false">IF(OR(I15="",I15&lt;2,O15=""),"",O15+30)</f>
        <v/>
      </c>
      <c r="S15" s="19" t="str">
        <f aca="false">IF(OR(I15="",I15&lt;3,O15=""),"",O15+60)</f>
        <v/>
      </c>
      <c r="T15" s="19" t="str">
        <f aca="false">IF(OR(I15="",I15&lt;4,O15=""),"",O15+90)</f>
        <v/>
      </c>
      <c r="U15" s="19" t="str">
        <f aca="false">IF(OR(I15="",I15&lt;5,O15=""),"",O15+120)</f>
        <v/>
      </c>
      <c r="V15" s="19" t="str">
        <f aca="false">IF(OR(I15="",I15&lt;6,O15=""),"",O15+150)</f>
        <v/>
      </c>
      <c r="W15" s="19" t="str">
        <f aca="false">IF(OR(I15="",I15&lt;7,O15=""),"",O15+180)</f>
        <v/>
      </c>
      <c r="X15" s="19" t="str">
        <f aca="false">IF(OR(I15="",I15&lt;8,O15=""),"",O15+210)</f>
        <v/>
      </c>
      <c r="Y15" s="19" t="str">
        <f aca="false">IF(OR(I15="",I15&lt;9,O15=""),"",O15+240)</f>
        <v/>
      </c>
      <c r="Z15" s="19" t="str">
        <f aca="false">IF(OR(I15="",I15&lt;10,O15=""),"",O15+270)</f>
        <v/>
      </c>
      <c r="AA15" s="19" t="str">
        <f aca="false">IF(OR(I15="",I15&lt;11,O15=""),"",O15+300)</f>
        <v/>
      </c>
      <c r="AB15" s="19" t="str">
        <f aca="false">IF(OR(I15="",I15&lt;12,O15=""),"",O15+330)</f>
        <v/>
      </c>
      <c r="AC15" s="19" t="str">
        <f aca="false">IF(OR(I15="",I15&lt;13,O15=""),"",O15+360)</f>
        <v/>
      </c>
      <c r="AD15" s="19" t="str">
        <f aca="false">IF(OR(I15="",I15&lt;14,O15=""),"",O15+390)</f>
        <v/>
      </c>
      <c r="AE15" s="19" t="str">
        <f aca="false">IF(OR(I15="",I15&lt;15,O15=""),"",O15+420)</f>
        <v/>
      </c>
      <c r="AF15" s="19" t="str">
        <f aca="false">IF(OR(I15="",I15&lt;16,O15=""),"",O15+450)</f>
        <v/>
      </c>
      <c r="AG15" s="19" t="str">
        <f aca="false">IF(OR(I15="",I15&lt;17,O15=""),"",O15+480)</f>
        <v/>
      </c>
      <c r="AH15" s="19" t="str">
        <f aca="false">IF(OR(I15="",I15&lt;18,O15=""),"",O15+510)</f>
        <v/>
      </c>
      <c r="AI15" s="19" t="str">
        <f aca="false">IF(OR(I15="",I15&lt;19,O15=""),"",O15+540)</f>
        <v/>
      </c>
      <c r="AJ15" s="19" t="str">
        <f aca="false">IF(OR(I15="",I15&lt;20,O15=""),"",O15+570)</f>
        <v/>
      </c>
      <c r="AK15" s="19" t="str">
        <f aca="false">IF(OR(I15="",I15&lt;21,O15=""),"",O15+600)</f>
        <v/>
      </c>
      <c r="AL15" s="19" t="str">
        <f aca="false">IF(OR(I15="",I15&lt;22,O15=""),"",O15+630)</f>
        <v/>
      </c>
      <c r="AM15" s="19" t="str">
        <f aca="false">IF(OR(I15="",I15&lt;23,O15=""),"",O15+660)</f>
        <v/>
      </c>
      <c r="AN15" s="19" t="str">
        <f aca="false">IF(OR(I15="",I15&lt;24,O15=""),"",O15+690)</f>
        <v/>
      </c>
      <c r="AO15" s="15" t="str">
        <f aca="false">IF(J15="","",COUNTIF(Q15:AN15,TRUE())*J15)</f>
        <v/>
      </c>
      <c r="AP15" s="15" t="str">
        <f aca="false">IF(K15="","",K15-AO15)</f>
        <v/>
      </c>
      <c r="AQ15" s="15" t="str">
        <f aca="false">IF(K15="","",K15-F15-IF(N15="",0,N15))</f>
        <v/>
      </c>
    </row>
    <row r="16" customFormat="false" ht="15" hidden="false" customHeight="false" outlineLevel="0" collapsed="false">
      <c r="A16" s="4"/>
      <c r="B16" s="4"/>
      <c r="C16" s="4"/>
      <c r="D16" s="5"/>
      <c r="E16" s="5"/>
      <c r="F16" s="6"/>
      <c r="G16" s="4"/>
      <c r="H16" s="4"/>
      <c r="I16" s="4"/>
      <c r="J16" s="6"/>
      <c r="K16" s="7" t="str">
        <f aca="false">IF(OR(I16="",J16=""),"",I16*J16)</f>
        <v/>
      </c>
      <c r="L16" s="4"/>
      <c r="M16" s="8"/>
      <c r="N16" s="7" t="str">
        <f aca="false">IF(OR(L16="",M16="",K16=""),"",IF(L16="GANANCIA",(K16-F16)*M16,IF(L16="BRUTO",K16*M16,"")))</f>
        <v/>
      </c>
      <c r="O16" s="9" t="str">
        <f aca="false">IF(D16="","",D16+30)</f>
        <v/>
      </c>
      <c r="P16" s="10" t="str">
        <f aca="false">IF(I16="","",IF(COUNTIF(Q16:AN16,TRUE())&gt;=I16,"PAGADO",IF(COUNTIF(Q16:AN16,TRUE())&gt;0,"PARCIAL","VIGENTE")))</f>
        <v/>
      </c>
      <c r="Q16" s="11" t="str">
        <f aca="false">IF(OR(I16="",I16&lt;1,O16=""),"",O16+0)</f>
        <v/>
      </c>
      <c r="R16" s="11" t="str">
        <f aca="false">IF(OR(I16="",I16&lt;2,O16=""),"",O16+30)</f>
        <v/>
      </c>
      <c r="S16" s="11" t="str">
        <f aca="false">IF(OR(I16="",I16&lt;3,O16=""),"",O16+60)</f>
        <v/>
      </c>
      <c r="T16" s="11" t="str">
        <f aca="false">IF(OR(I16="",I16&lt;4,O16=""),"",O16+90)</f>
        <v/>
      </c>
      <c r="U16" s="11" t="str">
        <f aca="false">IF(OR(I16="",I16&lt;5,O16=""),"",O16+120)</f>
        <v/>
      </c>
      <c r="V16" s="11" t="str">
        <f aca="false">IF(OR(I16="",I16&lt;6,O16=""),"",O16+150)</f>
        <v/>
      </c>
      <c r="W16" s="11" t="str">
        <f aca="false">IF(OR(I16="",I16&lt;7,O16=""),"",O16+180)</f>
        <v/>
      </c>
      <c r="X16" s="11" t="str">
        <f aca="false">IF(OR(I16="",I16&lt;8,O16=""),"",O16+210)</f>
        <v/>
      </c>
      <c r="Y16" s="11" t="str">
        <f aca="false">IF(OR(I16="",I16&lt;9,O16=""),"",O16+240)</f>
        <v/>
      </c>
      <c r="Z16" s="11" t="str">
        <f aca="false">IF(OR(I16="",I16&lt;10,O16=""),"",O16+270)</f>
        <v/>
      </c>
      <c r="AA16" s="11" t="str">
        <f aca="false">IF(OR(I16="",I16&lt;11,O16=""),"",O16+300)</f>
        <v/>
      </c>
      <c r="AB16" s="11" t="str">
        <f aca="false">IF(OR(I16="",I16&lt;12,O16=""),"",O16+330)</f>
        <v/>
      </c>
      <c r="AC16" s="11" t="str">
        <f aca="false">IF(OR(I16="",I16&lt;13,O16=""),"",O16+360)</f>
        <v/>
      </c>
      <c r="AD16" s="11" t="str">
        <f aca="false">IF(OR(I16="",I16&lt;14,O16=""),"",O16+390)</f>
        <v/>
      </c>
      <c r="AE16" s="11" t="str">
        <f aca="false">IF(OR(I16="",I16&lt;15,O16=""),"",O16+420)</f>
        <v/>
      </c>
      <c r="AF16" s="11" t="str">
        <f aca="false">IF(OR(I16="",I16&lt;16,O16=""),"",O16+450)</f>
        <v/>
      </c>
      <c r="AG16" s="11" t="str">
        <f aca="false">IF(OR(I16="",I16&lt;17,O16=""),"",O16+480)</f>
        <v/>
      </c>
      <c r="AH16" s="11" t="str">
        <f aca="false">IF(OR(I16="",I16&lt;18,O16=""),"",O16+510)</f>
        <v/>
      </c>
      <c r="AI16" s="11" t="str">
        <f aca="false">IF(OR(I16="",I16&lt;19,O16=""),"",O16+540)</f>
        <v/>
      </c>
      <c r="AJ16" s="11" t="str">
        <f aca="false">IF(OR(I16="",I16&lt;20,O16=""),"",O16+570)</f>
        <v/>
      </c>
      <c r="AK16" s="11" t="str">
        <f aca="false">IF(OR(I16="",I16&lt;21,O16=""),"",O16+600)</f>
        <v/>
      </c>
      <c r="AL16" s="11" t="str">
        <f aca="false">IF(OR(I16="",I16&lt;22,O16=""),"",O16+630)</f>
        <v/>
      </c>
      <c r="AM16" s="11" t="str">
        <f aca="false">IF(OR(I16="",I16&lt;23,O16=""),"",O16+660)</f>
        <v/>
      </c>
      <c r="AN16" s="11" t="str">
        <f aca="false">IF(OR(I16="",I16&lt;24,O16=""),"",O16+690)</f>
        <v/>
      </c>
      <c r="AO16" s="7" t="str">
        <f aca="false">IF(J16="","",COUNTIF(Q16:AN16,TRUE())*J16)</f>
        <v/>
      </c>
      <c r="AP16" s="7" t="str">
        <f aca="false">IF(K16="","",K16-AO16)</f>
        <v/>
      </c>
      <c r="AQ16" s="7" t="str">
        <f aca="false">IF(K16="","",K16-F16-IF(N16="",0,N16))</f>
        <v/>
      </c>
    </row>
    <row r="17" customFormat="false" ht="15" hidden="false" customHeight="false" outlineLevel="0" collapsed="false">
      <c r="A17" s="12"/>
      <c r="B17" s="12"/>
      <c r="C17" s="12"/>
      <c r="D17" s="13"/>
      <c r="E17" s="13"/>
      <c r="F17" s="14"/>
      <c r="G17" s="12"/>
      <c r="H17" s="12"/>
      <c r="I17" s="12"/>
      <c r="J17" s="14"/>
      <c r="K17" s="15" t="str">
        <f aca="false">IF(OR(I17="",J17=""),"",I17*J17)</f>
        <v/>
      </c>
      <c r="L17" s="12"/>
      <c r="M17" s="16"/>
      <c r="N17" s="15" t="str">
        <f aca="false">IF(OR(L17="",M17="",K17=""),"",IF(L17="GANANCIA",(K17-F17)*M17,IF(L17="BRUTO",K17*M17,"")))</f>
        <v/>
      </c>
      <c r="O17" s="17" t="str">
        <f aca="false">IF(D17="","",D17+30)</f>
        <v/>
      </c>
      <c r="P17" s="18" t="str">
        <f aca="false">IF(I17="","",IF(COUNTIF(Q17:AN17,TRUE())&gt;=I17,"PAGADO",IF(COUNTIF(Q17:AN17,TRUE())&gt;0,"PARCIAL","VIGENTE")))</f>
        <v/>
      </c>
      <c r="Q17" s="19" t="str">
        <f aca="false">IF(OR(I17="",I17&lt;1,O17=""),"",O17+0)</f>
        <v/>
      </c>
      <c r="R17" s="19" t="str">
        <f aca="false">IF(OR(I17="",I17&lt;2,O17=""),"",O17+30)</f>
        <v/>
      </c>
      <c r="S17" s="19" t="str">
        <f aca="false">IF(OR(I17="",I17&lt;3,O17=""),"",O17+60)</f>
        <v/>
      </c>
      <c r="T17" s="19" t="str">
        <f aca="false">IF(OR(I17="",I17&lt;4,O17=""),"",O17+90)</f>
        <v/>
      </c>
      <c r="U17" s="19" t="str">
        <f aca="false">IF(OR(I17="",I17&lt;5,O17=""),"",O17+120)</f>
        <v/>
      </c>
      <c r="V17" s="19" t="str">
        <f aca="false">IF(OR(I17="",I17&lt;6,O17=""),"",O17+150)</f>
        <v/>
      </c>
      <c r="W17" s="19" t="str">
        <f aca="false">IF(OR(I17="",I17&lt;7,O17=""),"",O17+180)</f>
        <v/>
      </c>
      <c r="X17" s="19" t="str">
        <f aca="false">IF(OR(I17="",I17&lt;8,O17=""),"",O17+210)</f>
        <v/>
      </c>
      <c r="Y17" s="19" t="str">
        <f aca="false">IF(OR(I17="",I17&lt;9,O17=""),"",O17+240)</f>
        <v/>
      </c>
      <c r="Z17" s="19" t="str">
        <f aca="false">IF(OR(I17="",I17&lt;10,O17=""),"",O17+270)</f>
        <v/>
      </c>
      <c r="AA17" s="19" t="str">
        <f aca="false">IF(OR(I17="",I17&lt;11,O17=""),"",O17+300)</f>
        <v/>
      </c>
      <c r="AB17" s="19" t="str">
        <f aca="false">IF(OR(I17="",I17&lt;12,O17=""),"",O17+330)</f>
        <v/>
      </c>
      <c r="AC17" s="19" t="str">
        <f aca="false">IF(OR(I17="",I17&lt;13,O17=""),"",O17+360)</f>
        <v/>
      </c>
      <c r="AD17" s="19" t="str">
        <f aca="false">IF(OR(I17="",I17&lt;14,O17=""),"",O17+390)</f>
        <v/>
      </c>
      <c r="AE17" s="19" t="str">
        <f aca="false">IF(OR(I17="",I17&lt;15,O17=""),"",O17+420)</f>
        <v/>
      </c>
      <c r="AF17" s="19" t="str">
        <f aca="false">IF(OR(I17="",I17&lt;16,O17=""),"",O17+450)</f>
        <v/>
      </c>
      <c r="AG17" s="19" t="str">
        <f aca="false">IF(OR(I17="",I17&lt;17,O17=""),"",O17+480)</f>
        <v/>
      </c>
      <c r="AH17" s="19" t="str">
        <f aca="false">IF(OR(I17="",I17&lt;18,O17=""),"",O17+510)</f>
        <v/>
      </c>
      <c r="AI17" s="19" t="str">
        <f aca="false">IF(OR(I17="",I17&lt;19,O17=""),"",O17+540)</f>
        <v/>
      </c>
      <c r="AJ17" s="19" t="str">
        <f aca="false">IF(OR(I17="",I17&lt;20,O17=""),"",O17+570)</f>
        <v/>
      </c>
      <c r="AK17" s="19" t="str">
        <f aca="false">IF(OR(I17="",I17&lt;21,O17=""),"",O17+600)</f>
        <v/>
      </c>
      <c r="AL17" s="19" t="str">
        <f aca="false">IF(OR(I17="",I17&lt;22,O17=""),"",O17+630)</f>
        <v/>
      </c>
      <c r="AM17" s="19" t="str">
        <f aca="false">IF(OR(I17="",I17&lt;23,O17=""),"",O17+660)</f>
        <v/>
      </c>
      <c r="AN17" s="19" t="str">
        <f aca="false">IF(OR(I17="",I17&lt;24,O17=""),"",O17+690)</f>
        <v/>
      </c>
      <c r="AO17" s="15" t="str">
        <f aca="false">IF(J17="","",COUNTIF(Q17:AN17,TRUE())*J17)</f>
        <v/>
      </c>
      <c r="AP17" s="15" t="str">
        <f aca="false">IF(K17="","",K17-AO17)</f>
        <v/>
      </c>
      <c r="AQ17" s="15" t="str">
        <f aca="false">IF(K17="","",K17-F17-IF(N17="",0,N17))</f>
        <v/>
      </c>
    </row>
    <row r="18" customFormat="false" ht="15" hidden="false" customHeight="false" outlineLevel="0" collapsed="false">
      <c r="A18" s="4"/>
      <c r="B18" s="4"/>
      <c r="C18" s="4"/>
      <c r="D18" s="5"/>
      <c r="E18" s="5"/>
      <c r="F18" s="6"/>
      <c r="G18" s="4"/>
      <c r="H18" s="4"/>
      <c r="I18" s="4"/>
      <c r="J18" s="6"/>
      <c r="K18" s="7" t="str">
        <f aca="false">IF(OR(I18="",J18=""),"",I18*J18)</f>
        <v/>
      </c>
      <c r="L18" s="4"/>
      <c r="M18" s="8"/>
      <c r="N18" s="7" t="str">
        <f aca="false">IF(OR(L18="",M18="",K18=""),"",IF(L18="GANANCIA",(K18-F18)*M18,IF(L18="BRUTO",K18*M18,"")))</f>
        <v/>
      </c>
      <c r="O18" s="9" t="str">
        <f aca="false">IF(D18="","",D18+30)</f>
        <v/>
      </c>
      <c r="P18" s="10" t="str">
        <f aca="false">IF(I18="","",IF(COUNTIF(Q18:AN18,TRUE())&gt;=I18,"PAGADO",IF(COUNTIF(Q18:AN18,TRUE())&gt;0,"PARCIAL","VIGENTE")))</f>
        <v/>
      </c>
      <c r="Q18" s="11" t="str">
        <f aca="false">IF(OR(I18="",I18&lt;1,O18=""),"",O18+0)</f>
        <v/>
      </c>
      <c r="R18" s="11" t="str">
        <f aca="false">IF(OR(I18="",I18&lt;2,O18=""),"",O18+30)</f>
        <v/>
      </c>
      <c r="S18" s="11" t="str">
        <f aca="false">IF(OR(I18="",I18&lt;3,O18=""),"",O18+60)</f>
        <v/>
      </c>
      <c r="T18" s="11" t="str">
        <f aca="false">IF(OR(I18="",I18&lt;4,O18=""),"",O18+90)</f>
        <v/>
      </c>
      <c r="U18" s="11" t="str">
        <f aca="false">IF(OR(I18="",I18&lt;5,O18=""),"",O18+120)</f>
        <v/>
      </c>
      <c r="V18" s="11" t="str">
        <f aca="false">IF(OR(I18="",I18&lt;6,O18=""),"",O18+150)</f>
        <v/>
      </c>
      <c r="W18" s="11" t="str">
        <f aca="false">IF(OR(I18="",I18&lt;7,O18=""),"",O18+180)</f>
        <v/>
      </c>
      <c r="X18" s="11" t="str">
        <f aca="false">IF(OR(I18="",I18&lt;8,O18=""),"",O18+210)</f>
        <v/>
      </c>
      <c r="Y18" s="11" t="str">
        <f aca="false">IF(OR(I18="",I18&lt;9,O18=""),"",O18+240)</f>
        <v/>
      </c>
      <c r="Z18" s="11" t="str">
        <f aca="false">IF(OR(I18="",I18&lt;10,O18=""),"",O18+270)</f>
        <v/>
      </c>
      <c r="AA18" s="11" t="str">
        <f aca="false">IF(OR(I18="",I18&lt;11,O18=""),"",O18+300)</f>
        <v/>
      </c>
      <c r="AB18" s="11" t="str">
        <f aca="false">IF(OR(I18="",I18&lt;12,O18=""),"",O18+330)</f>
        <v/>
      </c>
      <c r="AC18" s="11" t="str">
        <f aca="false">IF(OR(I18="",I18&lt;13,O18=""),"",O18+360)</f>
        <v/>
      </c>
      <c r="AD18" s="11" t="str">
        <f aca="false">IF(OR(I18="",I18&lt;14,O18=""),"",O18+390)</f>
        <v/>
      </c>
      <c r="AE18" s="11" t="str">
        <f aca="false">IF(OR(I18="",I18&lt;15,O18=""),"",O18+420)</f>
        <v/>
      </c>
      <c r="AF18" s="11" t="str">
        <f aca="false">IF(OR(I18="",I18&lt;16,O18=""),"",O18+450)</f>
        <v/>
      </c>
      <c r="AG18" s="11" t="str">
        <f aca="false">IF(OR(I18="",I18&lt;17,O18=""),"",O18+480)</f>
        <v/>
      </c>
      <c r="AH18" s="11" t="str">
        <f aca="false">IF(OR(I18="",I18&lt;18,O18=""),"",O18+510)</f>
        <v/>
      </c>
      <c r="AI18" s="11" t="str">
        <f aca="false">IF(OR(I18="",I18&lt;19,O18=""),"",O18+540)</f>
        <v/>
      </c>
      <c r="AJ18" s="11" t="str">
        <f aca="false">IF(OR(I18="",I18&lt;20,O18=""),"",O18+570)</f>
        <v/>
      </c>
      <c r="AK18" s="11" t="str">
        <f aca="false">IF(OR(I18="",I18&lt;21,O18=""),"",O18+600)</f>
        <v/>
      </c>
      <c r="AL18" s="11" t="str">
        <f aca="false">IF(OR(I18="",I18&lt;22,O18=""),"",O18+630)</f>
        <v/>
      </c>
      <c r="AM18" s="11" t="str">
        <f aca="false">IF(OR(I18="",I18&lt;23,O18=""),"",O18+660)</f>
        <v/>
      </c>
      <c r="AN18" s="11" t="str">
        <f aca="false">IF(OR(I18="",I18&lt;24,O18=""),"",O18+690)</f>
        <v/>
      </c>
      <c r="AO18" s="7" t="str">
        <f aca="false">IF(J18="","",COUNTIF(Q18:AN18,TRUE())*J18)</f>
        <v/>
      </c>
      <c r="AP18" s="7" t="str">
        <f aca="false">IF(K18="","",K18-AO18)</f>
        <v/>
      </c>
      <c r="AQ18" s="7" t="str">
        <f aca="false">IF(K18="","",K18-F18-IF(N18="",0,N18))</f>
        <v/>
      </c>
    </row>
    <row r="19" customFormat="false" ht="15" hidden="false" customHeight="false" outlineLevel="0" collapsed="false">
      <c r="A19" s="12"/>
      <c r="B19" s="12"/>
      <c r="C19" s="12"/>
      <c r="D19" s="13"/>
      <c r="E19" s="13"/>
      <c r="F19" s="14"/>
      <c r="G19" s="12"/>
      <c r="H19" s="12"/>
      <c r="I19" s="12"/>
      <c r="J19" s="14"/>
      <c r="K19" s="15" t="str">
        <f aca="false">IF(OR(I19="",J19=""),"",I19*J19)</f>
        <v/>
      </c>
      <c r="L19" s="12"/>
      <c r="M19" s="16"/>
      <c r="N19" s="15" t="str">
        <f aca="false">IF(OR(L19="",M19="",K19=""),"",IF(L19="GANANCIA",(K19-F19)*M19,IF(L19="BRUTO",K19*M19,"")))</f>
        <v/>
      </c>
      <c r="O19" s="17" t="str">
        <f aca="false">IF(D19="","",D19+30)</f>
        <v/>
      </c>
      <c r="P19" s="18" t="str">
        <f aca="false">IF(I19="","",IF(COUNTIF(Q19:AN19,TRUE())&gt;=I19,"PAGADO",IF(COUNTIF(Q19:AN19,TRUE())&gt;0,"PARCIAL","VIGENTE")))</f>
        <v/>
      </c>
      <c r="Q19" s="19" t="str">
        <f aca="false">IF(OR(I19="",I19&lt;1,O19=""),"",O19+0)</f>
        <v/>
      </c>
      <c r="R19" s="19" t="str">
        <f aca="false">IF(OR(I19="",I19&lt;2,O19=""),"",O19+30)</f>
        <v/>
      </c>
      <c r="S19" s="19" t="str">
        <f aca="false">IF(OR(I19="",I19&lt;3,O19=""),"",O19+60)</f>
        <v/>
      </c>
      <c r="T19" s="19" t="str">
        <f aca="false">IF(OR(I19="",I19&lt;4,O19=""),"",O19+90)</f>
        <v/>
      </c>
      <c r="U19" s="19" t="str">
        <f aca="false">IF(OR(I19="",I19&lt;5,O19=""),"",O19+120)</f>
        <v/>
      </c>
      <c r="V19" s="19" t="str">
        <f aca="false">IF(OR(I19="",I19&lt;6,O19=""),"",O19+150)</f>
        <v/>
      </c>
      <c r="W19" s="19" t="str">
        <f aca="false">IF(OR(I19="",I19&lt;7,O19=""),"",O19+180)</f>
        <v/>
      </c>
      <c r="X19" s="19" t="str">
        <f aca="false">IF(OR(I19="",I19&lt;8,O19=""),"",O19+210)</f>
        <v/>
      </c>
      <c r="Y19" s="19" t="str">
        <f aca="false">IF(OR(I19="",I19&lt;9,O19=""),"",O19+240)</f>
        <v/>
      </c>
      <c r="Z19" s="19" t="str">
        <f aca="false">IF(OR(I19="",I19&lt;10,O19=""),"",O19+270)</f>
        <v/>
      </c>
      <c r="AA19" s="19" t="str">
        <f aca="false">IF(OR(I19="",I19&lt;11,O19=""),"",O19+300)</f>
        <v/>
      </c>
      <c r="AB19" s="19" t="str">
        <f aca="false">IF(OR(I19="",I19&lt;12,O19=""),"",O19+330)</f>
        <v/>
      </c>
      <c r="AC19" s="19" t="str">
        <f aca="false">IF(OR(I19="",I19&lt;13,O19=""),"",O19+360)</f>
        <v/>
      </c>
      <c r="AD19" s="19" t="str">
        <f aca="false">IF(OR(I19="",I19&lt;14,O19=""),"",O19+390)</f>
        <v/>
      </c>
      <c r="AE19" s="19" t="str">
        <f aca="false">IF(OR(I19="",I19&lt;15,O19=""),"",O19+420)</f>
        <v/>
      </c>
      <c r="AF19" s="19" t="str">
        <f aca="false">IF(OR(I19="",I19&lt;16,O19=""),"",O19+450)</f>
        <v/>
      </c>
      <c r="AG19" s="19" t="str">
        <f aca="false">IF(OR(I19="",I19&lt;17,O19=""),"",O19+480)</f>
        <v/>
      </c>
      <c r="AH19" s="19" t="str">
        <f aca="false">IF(OR(I19="",I19&lt;18,O19=""),"",O19+510)</f>
        <v/>
      </c>
      <c r="AI19" s="19" t="str">
        <f aca="false">IF(OR(I19="",I19&lt;19,O19=""),"",O19+540)</f>
        <v/>
      </c>
      <c r="AJ19" s="19" t="str">
        <f aca="false">IF(OR(I19="",I19&lt;20,O19=""),"",O19+570)</f>
        <v/>
      </c>
      <c r="AK19" s="19" t="str">
        <f aca="false">IF(OR(I19="",I19&lt;21,O19=""),"",O19+600)</f>
        <v/>
      </c>
      <c r="AL19" s="19" t="str">
        <f aca="false">IF(OR(I19="",I19&lt;22,O19=""),"",O19+630)</f>
        <v/>
      </c>
      <c r="AM19" s="19" t="str">
        <f aca="false">IF(OR(I19="",I19&lt;23,O19=""),"",O19+660)</f>
        <v/>
      </c>
      <c r="AN19" s="19" t="str">
        <f aca="false">IF(OR(I19="",I19&lt;24,O19=""),"",O19+690)</f>
        <v/>
      </c>
      <c r="AO19" s="15" t="str">
        <f aca="false">IF(J19="","",COUNTIF(Q19:AN19,TRUE())*J19)</f>
        <v/>
      </c>
      <c r="AP19" s="15" t="str">
        <f aca="false">IF(K19="","",K19-AO19)</f>
        <v/>
      </c>
      <c r="AQ19" s="15" t="str">
        <f aca="false">IF(K19="","",K19-F19-IF(N19="",0,N19))</f>
        <v/>
      </c>
    </row>
    <row r="20" customFormat="false" ht="15" hidden="false" customHeight="false" outlineLevel="0" collapsed="false">
      <c r="A20" s="4"/>
      <c r="B20" s="4"/>
      <c r="C20" s="4"/>
      <c r="D20" s="5"/>
      <c r="E20" s="5"/>
      <c r="F20" s="6"/>
      <c r="G20" s="4"/>
      <c r="H20" s="4"/>
      <c r="I20" s="4"/>
      <c r="J20" s="6"/>
      <c r="K20" s="7" t="str">
        <f aca="false">IF(OR(I20="",J20=""),"",I20*J20)</f>
        <v/>
      </c>
      <c r="L20" s="4"/>
      <c r="M20" s="8"/>
      <c r="N20" s="7" t="str">
        <f aca="false">IF(OR(L20="",M20="",K20=""),"",IF(L20="GANANCIA",(K20-F20)*M20,IF(L20="BRUTO",K20*M20,"")))</f>
        <v/>
      </c>
      <c r="O20" s="9" t="str">
        <f aca="false">IF(D20="","",D20+30)</f>
        <v/>
      </c>
      <c r="P20" s="10" t="str">
        <f aca="false">IF(I20="","",IF(COUNTIF(Q20:AN20,TRUE())&gt;=I20,"PAGADO",IF(COUNTIF(Q20:AN20,TRUE())&gt;0,"PARCIAL","VIGENTE")))</f>
        <v/>
      </c>
      <c r="Q20" s="11" t="str">
        <f aca="false">IF(OR(I20="",I20&lt;1,O20=""),"",O20+0)</f>
        <v/>
      </c>
      <c r="R20" s="11" t="str">
        <f aca="false">IF(OR(I20="",I20&lt;2,O20=""),"",O20+30)</f>
        <v/>
      </c>
      <c r="S20" s="11" t="str">
        <f aca="false">IF(OR(I20="",I20&lt;3,O20=""),"",O20+60)</f>
        <v/>
      </c>
      <c r="T20" s="11" t="str">
        <f aca="false">IF(OR(I20="",I20&lt;4,O20=""),"",O20+90)</f>
        <v/>
      </c>
      <c r="U20" s="11" t="str">
        <f aca="false">IF(OR(I20="",I20&lt;5,O20=""),"",O20+120)</f>
        <v/>
      </c>
      <c r="V20" s="11" t="str">
        <f aca="false">IF(OR(I20="",I20&lt;6,O20=""),"",O20+150)</f>
        <v/>
      </c>
      <c r="W20" s="11" t="str">
        <f aca="false">IF(OR(I20="",I20&lt;7,O20=""),"",O20+180)</f>
        <v/>
      </c>
      <c r="X20" s="11" t="str">
        <f aca="false">IF(OR(I20="",I20&lt;8,O20=""),"",O20+210)</f>
        <v/>
      </c>
      <c r="Y20" s="11" t="str">
        <f aca="false">IF(OR(I20="",I20&lt;9,O20=""),"",O20+240)</f>
        <v/>
      </c>
      <c r="Z20" s="11" t="str">
        <f aca="false">IF(OR(I20="",I20&lt;10,O20=""),"",O20+270)</f>
        <v/>
      </c>
      <c r="AA20" s="11" t="str">
        <f aca="false">IF(OR(I20="",I20&lt;11,O20=""),"",O20+300)</f>
        <v/>
      </c>
      <c r="AB20" s="11" t="str">
        <f aca="false">IF(OR(I20="",I20&lt;12,O20=""),"",O20+330)</f>
        <v/>
      </c>
      <c r="AC20" s="11" t="str">
        <f aca="false">IF(OR(I20="",I20&lt;13,O20=""),"",O20+360)</f>
        <v/>
      </c>
      <c r="AD20" s="11" t="str">
        <f aca="false">IF(OR(I20="",I20&lt;14,O20=""),"",O20+390)</f>
        <v/>
      </c>
      <c r="AE20" s="11" t="str">
        <f aca="false">IF(OR(I20="",I20&lt;15,O20=""),"",O20+420)</f>
        <v/>
      </c>
      <c r="AF20" s="11" t="str">
        <f aca="false">IF(OR(I20="",I20&lt;16,O20=""),"",O20+450)</f>
        <v/>
      </c>
      <c r="AG20" s="11" t="str">
        <f aca="false">IF(OR(I20="",I20&lt;17,O20=""),"",O20+480)</f>
        <v/>
      </c>
      <c r="AH20" s="11" t="str">
        <f aca="false">IF(OR(I20="",I20&lt;18,O20=""),"",O20+510)</f>
        <v/>
      </c>
      <c r="AI20" s="11" t="str">
        <f aca="false">IF(OR(I20="",I20&lt;19,O20=""),"",O20+540)</f>
        <v/>
      </c>
      <c r="AJ20" s="11" t="str">
        <f aca="false">IF(OR(I20="",I20&lt;20,O20=""),"",O20+570)</f>
        <v/>
      </c>
      <c r="AK20" s="11" t="str">
        <f aca="false">IF(OR(I20="",I20&lt;21,O20=""),"",O20+600)</f>
        <v/>
      </c>
      <c r="AL20" s="11" t="str">
        <f aca="false">IF(OR(I20="",I20&lt;22,O20=""),"",O20+630)</f>
        <v/>
      </c>
      <c r="AM20" s="11" t="str">
        <f aca="false">IF(OR(I20="",I20&lt;23,O20=""),"",O20+660)</f>
        <v/>
      </c>
      <c r="AN20" s="11" t="str">
        <f aca="false">IF(OR(I20="",I20&lt;24,O20=""),"",O20+690)</f>
        <v/>
      </c>
      <c r="AO20" s="7" t="str">
        <f aca="false">IF(J20="","",COUNTIF(Q20:AN20,TRUE())*J20)</f>
        <v/>
      </c>
      <c r="AP20" s="7" t="str">
        <f aca="false">IF(K20="","",K20-AO20)</f>
        <v/>
      </c>
      <c r="AQ20" s="7" t="str">
        <f aca="false">IF(K20="","",K20-F20-IF(N20="",0,N20))</f>
        <v/>
      </c>
    </row>
    <row r="21" customFormat="false" ht="15" hidden="false" customHeight="false" outlineLevel="0" collapsed="false">
      <c r="A21" s="12"/>
      <c r="B21" s="12"/>
      <c r="C21" s="12"/>
      <c r="D21" s="13"/>
      <c r="E21" s="13"/>
      <c r="F21" s="14"/>
      <c r="G21" s="12"/>
      <c r="H21" s="12"/>
      <c r="I21" s="12"/>
      <c r="J21" s="14"/>
      <c r="K21" s="15" t="str">
        <f aca="false">IF(OR(I21="",J21=""),"",I21*J21)</f>
        <v/>
      </c>
      <c r="L21" s="12"/>
      <c r="M21" s="16"/>
      <c r="N21" s="15" t="str">
        <f aca="false">IF(OR(L21="",M21="",K21=""),"",IF(L21="GANANCIA",(K21-F21)*M21,IF(L21="BRUTO",K21*M21,"")))</f>
        <v/>
      </c>
      <c r="O21" s="17" t="str">
        <f aca="false">IF(D21="","",D21+30)</f>
        <v/>
      </c>
      <c r="P21" s="18" t="str">
        <f aca="false">IF(I21="","",IF(COUNTIF(Q21:AN21,TRUE())&gt;=I21,"PAGADO",IF(COUNTIF(Q21:AN21,TRUE())&gt;0,"PARCIAL","VIGENTE")))</f>
        <v/>
      </c>
      <c r="Q21" s="19" t="str">
        <f aca="false">IF(OR(I21="",I21&lt;1,O21=""),"",O21+0)</f>
        <v/>
      </c>
      <c r="R21" s="19" t="str">
        <f aca="false">IF(OR(I21="",I21&lt;2,O21=""),"",O21+30)</f>
        <v/>
      </c>
      <c r="S21" s="19" t="str">
        <f aca="false">IF(OR(I21="",I21&lt;3,O21=""),"",O21+60)</f>
        <v/>
      </c>
      <c r="T21" s="19" t="str">
        <f aca="false">IF(OR(I21="",I21&lt;4,O21=""),"",O21+90)</f>
        <v/>
      </c>
      <c r="U21" s="19" t="str">
        <f aca="false">IF(OR(I21="",I21&lt;5,O21=""),"",O21+120)</f>
        <v/>
      </c>
      <c r="V21" s="19" t="str">
        <f aca="false">IF(OR(I21="",I21&lt;6,O21=""),"",O21+150)</f>
        <v/>
      </c>
      <c r="W21" s="19" t="str">
        <f aca="false">IF(OR(I21="",I21&lt;7,O21=""),"",O21+180)</f>
        <v/>
      </c>
      <c r="X21" s="19" t="str">
        <f aca="false">IF(OR(I21="",I21&lt;8,O21=""),"",O21+210)</f>
        <v/>
      </c>
      <c r="Y21" s="19" t="str">
        <f aca="false">IF(OR(I21="",I21&lt;9,O21=""),"",O21+240)</f>
        <v/>
      </c>
      <c r="Z21" s="19" t="str">
        <f aca="false">IF(OR(I21="",I21&lt;10,O21=""),"",O21+270)</f>
        <v/>
      </c>
      <c r="AA21" s="19" t="str">
        <f aca="false">IF(OR(I21="",I21&lt;11,O21=""),"",O21+300)</f>
        <v/>
      </c>
      <c r="AB21" s="19" t="str">
        <f aca="false">IF(OR(I21="",I21&lt;12,O21=""),"",O21+330)</f>
        <v/>
      </c>
      <c r="AC21" s="19" t="str">
        <f aca="false">IF(OR(I21="",I21&lt;13,O21=""),"",O21+360)</f>
        <v/>
      </c>
      <c r="AD21" s="19" t="str">
        <f aca="false">IF(OR(I21="",I21&lt;14,O21=""),"",O21+390)</f>
        <v/>
      </c>
      <c r="AE21" s="19" t="str">
        <f aca="false">IF(OR(I21="",I21&lt;15,O21=""),"",O21+420)</f>
        <v/>
      </c>
      <c r="AF21" s="19" t="str">
        <f aca="false">IF(OR(I21="",I21&lt;16,O21=""),"",O21+450)</f>
        <v/>
      </c>
      <c r="AG21" s="19" t="str">
        <f aca="false">IF(OR(I21="",I21&lt;17,O21=""),"",O21+480)</f>
        <v/>
      </c>
      <c r="AH21" s="19" t="str">
        <f aca="false">IF(OR(I21="",I21&lt;18,O21=""),"",O21+510)</f>
        <v/>
      </c>
      <c r="AI21" s="19" t="str">
        <f aca="false">IF(OR(I21="",I21&lt;19,O21=""),"",O21+540)</f>
        <v/>
      </c>
      <c r="AJ21" s="19" t="str">
        <f aca="false">IF(OR(I21="",I21&lt;20,O21=""),"",O21+570)</f>
        <v/>
      </c>
      <c r="AK21" s="19" t="str">
        <f aca="false">IF(OR(I21="",I21&lt;21,O21=""),"",O21+600)</f>
        <v/>
      </c>
      <c r="AL21" s="19" t="str">
        <f aca="false">IF(OR(I21="",I21&lt;22,O21=""),"",O21+630)</f>
        <v/>
      </c>
      <c r="AM21" s="19" t="str">
        <f aca="false">IF(OR(I21="",I21&lt;23,O21=""),"",O21+660)</f>
        <v/>
      </c>
      <c r="AN21" s="19" t="str">
        <f aca="false">IF(OR(I21="",I21&lt;24,O21=""),"",O21+690)</f>
        <v/>
      </c>
      <c r="AO21" s="15" t="str">
        <f aca="false">IF(J21="","",COUNTIF(Q21:AN21,TRUE())*J21)</f>
        <v/>
      </c>
      <c r="AP21" s="15" t="str">
        <f aca="false">IF(K21="","",K21-AO21)</f>
        <v/>
      </c>
      <c r="AQ21" s="15" t="str">
        <f aca="false">IF(K21="","",K21-F21-IF(N21="",0,N21))</f>
        <v/>
      </c>
    </row>
    <row r="22" customFormat="false" ht="15" hidden="false" customHeight="false" outlineLevel="0" collapsed="false">
      <c r="A22" s="4"/>
      <c r="B22" s="4"/>
      <c r="C22" s="4"/>
      <c r="D22" s="5"/>
      <c r="E22" s="5"/>
      <c r="F22" s="6"/>
      <c r="G22" s="4"/>
      <c r="H22" s="4"/>
      <c r="I22" s="4"/>
      <c r="J22" s="6"/>
      <c r="K22" s="7" t="str">
        <f aca="false">IF(OR(I22="",J22=""),"",I22*J22)</f>
        <v/>
      </c>
      <c r="L22" s="4"/>
      <c r="M22" s="8"/>
      <c r="N22" s="7" t="str">
        <f aca="false">IF(OR(L22="",M22="",K22=""),"",IF(L22="GANANCIA",(K22-F22)*M22,IF(L22="BRUTO",K22*M22,"")))</f>
        <v/>
      </c>
      <c r="O22" s="9" t="str">
        <f aca="false">IF(D22="","",D22+30)</f>
        <v/>
      </c>
      <c r="P22" s="10" t="str">
        <f aca="false">IF(I22="","",IF(COUNTIF(Q22:AN22,TRUE())&gt;=I22,"PAGADO",IF(COUNTIF(Q22:AN22,TRUE())&gt;0,"PARCIAL","VIGENTE")))</f>
        <v/>
      </c>
      <c r="Q22" s="11" t="str">
        <f aca="false">IF(OR(I22="",I22&lt;1,O22=""),"",O22+0)</f>
        <v/>
      </c>
      <c r="R22" s="11" t="str">
        <f aca="false">IF(OR(I22="",I22&lt;2,O22=""),"",O22+30)</f>
        <v/>
      </c>
      <c r="S22" s="11" t="str">
        <f aca="false">IF(OR(I22="",I22&lt;3,O22=""),"",O22+60)</f>
        <v/>
      </c>
      <c r="T22" s="11" t="str">
        <f aca="false">IF(OR(I22="",I22&lt;4,O22=""),"",O22+90)</f>
        <v/>
      </c>
      <c r="U22" s="11" t="str">
        <f aca="false">IF(OR(I22="",I22&lt;5,O22=""),"",O22+120)</f>
        <v/>
      </c>
      <c r="V22" s="11" t="str">
        <f aca="false">IF(OR(I22="",I22&lt;6,O22=""),"",O22+150)</f>
        <v/>
      </c>
      <c r="W22" s="11" t="str">
        <f aca="false">IF(OR(I22="",I22&lt;7,O22=""),"",O22+180)</f>
        <v/>
      </c>
      <c r="X22" s="11" t="str">
        <f aca="false">IF(OR(I22="",I22&lt;8,O22=""),"",O22+210)</f>
        <v/>
      </c>
      <c r="Y22" s="11" t="str">
        <f aca="false">IF(OR(I22="",I22&lt;9,O22=""),"",O22+240)</f>
        <v/>
      </c>
      <c r="Z22" s="11" t="str">
        <f aca="false">IF(OR(I22="",I22&lt;10,O22=""),"",O22+270)</f>
        <v/>
      </c>
      <c r="AA22" s="11" t="str">
        <f aca="false">IF(OR(I22="",I22&lt;11,O22=""),"",O22+300)</f>
        <v/>
      </c>
      <c r="AB22" s="11" t="str">
        <f aca="false">IF(OR(I22="",I22&lt;12,O22=""),"",O22+330)</f>
        <v/>
      </c>
      <c r="AC22" s="11" t="str">
        <f aca="false">IF(OR(I22="",I22&lt;13,O22=""),"",O22+360)</f>
        <v/>
      </c>
      <c r="AD22" s="11" t="str">
        <f aca="false">IF(OR(I22="",I22&lt;14,O22=""),"",O22+390)</f>
        <v/>
      </c>
      <c r="AE22" s="11" t="str">
        <f aca="false">IF(OR(I22="",I22&lt;15,O22=""),"",O22+420)</f>
        <v/>
      </c>
      <c r="AF22" s="11" t="str">
        <f aca="false">IF(OR(I22="",I22&lt;16,O22=""),"",O22+450)</f>
        <v/>
      </c>
      <c r="AG22" s="11" t="str">
        <f aca="false">IF(OR(I22="",I22&lt;17,O22=""),"",O22+480)</f>
        <v/>
      </c>
      <c r="AH22" s="11" t="str">
        <f aca="false">IF(OR(I22="",I22&lt;18,O22=""),"",O22+510)</f>
        <v/>
      </c>
      <c r="AI22" s="11" t="str">
        <f aca="false">IF(OR(I22="",I22&lt;19,O22=""),"",O22+540)</f>
        <v/>
      </c>
      <c r="AJ22" s="11" t="str">
        <f aca="false">IF(OR(I22="",I22&lt;20,O22=""),"",O22+570)</f>
        <v/>
      </c>
      <c r="AK22" s="11" t="str">
        <f aca="false">IF(OR(I22="",I22&lt;21,O22=""),"",O22+600)</f>
        <v/>
      </c>
      <c r="AL22" s="11" t="str">
        <f aca="false">IF(OR(I22="",I22&lt;22,O22=""),"",O22+630)</f>
        <v/>
      </c>
      <c r="AM22" s="11" t="str">
        <f aca="false">IF(OR(I22="",I22&lt;23,O22=""),"",O22+660)</f>
        <v/>
      </c>
      <c r="AN22" s="11" t="str">
        <f aca="false">IF(OR(I22="",I22&lt;24,O22=""),"",O22+690)</f>
        <v/>
      </c>
      <c r="AO22" s="7" t="str">
        <f aca="false">IF(J22="","",COUNTIF(Q22:AN22,TRUE())*J22)</f>
        <v/>
      </c>
      <c r="AP22" s="7" t="str">
        <f aca="false">IF(K22="","",K22-AO22)</f>
        <v/>
      </c>
      <c r="AQ22" s="7" t="str">
        <f aca="false">IF(K22="","",K22-F22-IF(N22="",0,N22))</f>
        <v/>
      </c>
    </row>
    <row r="23" customFormat="false" ht="15" hidden="false" customHeight="false" outlineLevel="0" collapsed="false">
      <c r="A23" s="12"/>
      <c r="B23" s="12"/>
      <c r="C23" s="12"/>
      <c r="D23" s="13"/>
      <c r="E23" s="13"/>
      <c r="F23" s="14"/>
      <c r="G23" s="12"/>
      <c r="H23" s="12"/>
      <c r="I23" s="12"/>
      <c r="J23" s="14"/>
      <c r="K23" s="15" t="str">
        <f aca="false">IF(OR(I23="",J23=""),"",I23*J23)</f>
        <v/>
      </c>
      <c r="L23" s="12"/>
      <c r="M23" s="16"/>
      <c r="N23" s="15" t="str">
        <f aca="false">IF(OR(L23="",M23="",K23=""),"",IF(L23="GANANCIA",(K23-F23)*M23,IF(L23="BRUTO",K23*M23,"")))</f>
        <v/>
      </c>
      <c r="O23" s="17" t="str">
        <f aca="false">IF(D23="","",D23+30)</f>
        <v/>
      </c>
      <c r="P23" s="18" t="str">
        <f aca="false">IF(I23="","",IF(COUNTIF(Q23:AN23,TRUE())&gt;=I23,"PAGADO",IF(COUNTIF(Q23:AN23,TRUE())&gt;0,"PARCIAL","VIGENTE")))</f>
        <v/>
      </c>
      <c r="Q23" s="19" t="str">
        <f aca="false">IF(OR(I23="",I23&lt;1,O23=""),"",O23+0)</f>
        <v/>
      </c>
      <c r="R23" s="19" t="str">
        <f aca="false">IF(OR(I23="",I23&lt;2,O23=""),"",O23+30)</f>
        <v/>
      </c>
      <c r="S23" s="19" t="str">
        <f aca="false">IF(OR(I23="",I23&lt;3,O23=""),"",O23+60)</f>
        <v/>
      </c>
      <c r="T23" s="19" t="str">
        <f aca="false">IF(OR(I23="",I23&lt;4,O23=""),"",O23+90)</f>
        <v/>
      </c>
      <c r="U23" s="19" t="str">
        <f aca="false">IF(OR(I23="",I23&lt;5,O23=""),"",O23+120)</f>
        <v/>
      </c>
      <c r="V23" s="19" t="str">
        <f aca="false">IF(OR(I23="",I23&lt;6,O23=""),"",O23+150)</f>
        <v/>
      </c>
      <c r="W23" s="19" t="str">
        <f aca="false">IF(OR(I23="",I23&lt;7,O23=""),"",O23+180)</f>
        <v/>
      </c>
      <c r="X23" s="19" t="str">
        <f aca="false">IF(OR(I23="",I23&lt;8,O23=""),"",O23+210)</f>
        <v/>
      </c>
      <c r="Y23" s="19" t="str">
        <f aca="false">IF(OR(I23="",I23&lt;9,O23=""),"",O23+240)</f>
        <v/>
      </c>
      <c r="Z23" s="19" t="str">
        <f aca="false">IF(OR(I23="",I23&lt;10,O23=""),"",O23+270)</f>
        <v/>
      </c>
      <c r="AA23" s="19" t="str">
        <f aca="false">IF(OR(I23="",I23&lt;11,O23=""),"",O23+300)</f>
        <v/>
      </c>
      <c r="AB23" s="19" t="str">
        <f aca="false">IF(OR(I23="",I23&lt;12,O23=""),"",O23+330)</f>
        <v/>
      </c>
      <c r="AC23" s="19" t="str">
        <f aca="false">IF(OR(I23="",I23&lt;13,O23=""),"",O23+360)</f>
        <v/>
      </c>
      <c r="AD23" s="19" t="str">
        <f aca="false">IF(OR(I23="",I23&lt;14,O23=""),"",O23+390)</f>
        <v/>
      </c>
      <c r="AE23" s="19" t="str">
        <f aca="false">IF(OR(I23="",I23&lt;15,O23=""),"",O23+420)</f>
        <v/>
      </c>
      <c r="AF23" s="19" t="str">
        <f aca="false">IF(OR(I23="",I23&lt;16,O23=""),"",O23+450)</f>
        <v/>
      </c>
      <c r="AG23" s="19" t="str">
        <f aca="false">IF(OR(I23="",I23&lt;17,O23=""),"",O23+480)</f>
        <v/>
      </c>
      <c r="AH23" s="19" t="str">
        <f aca="false">IF(OR(I23="",I23&lt;18,O23=""),"",O23+510)</f>
        <v/>
      </c>
      <c r="AI23" s="19" t="str">
        <f aca="false">IF(OR(I23="",I23&lt;19,O23=""),"",O23+540)</f>
        <v/>
      </c>
      <c r="AJ23" s="19" t="str">
        <f aca="false">IF(OR(I23="",I23&lt;20,O23=""),"",O23+570)</f>
        <v/>
      </c>
      <c r="AK23" s="19" t="str">
        <f aca="false">IF(OR(I23="",I23&lt;21,O23=""),"",O23+600)</f>
        <v/>
      </c>
      <c r="AL23" s="19" t="str">
        <f aca="false">IF(OR(I23="",I23&lt;22,O23=""),"",O23+630)</f>
        <v/>
      </c>
      <c r="AM23" s="19" t="str">
        <f aca="false">IF(OR(I23="",I23&lt;23,O23=""),"",O23+660)</f>
        <v/>
      </c>
      <c r="AN23" s="19" t="str">
        <f aca="false">IF(OR(I23="",I23&lt;24,O23=""),"",O23+690)</f>
        <v/>
      </c>
      <c r="AO23" s="15" t="str">
        <f aca="false">IF(J23="","",COUNTIF(Q23:AN23,TRUE())*J23)</f>
        <v/>
      </c>
      <c r="AP23" s="15" t="str">
        <f aca="false">IF(K23="","",K23-AO23)</f>
        <v/>
      </c>
      <c r="AQ23" s="15" t="str">
        <f aca="false">IF(K23="","",K23-F23-IF(N23="",0,N23))</f>
        <v/>
      </c>
    </row>
    <row r="24" customFormat="false" ht="15" hidden="false" customHeight="false" outlineLevel="0" collapsed="false">
      <c r="A24" s="4"/>
      <c r="B24" s="4"/>
      <c r="C24" s="4"/>
      <c r="D24" s="5"/>
      <c r="E24" s="5"/>
      <c r="F24" s="6"/>
      <c r="G24" s="4"/>
      <c r="H24" s="4"/>
      <c r="I24" s="4"/>
      <c r="J24" s="6"/>
      <c r="K24" s="7" t="str">
        <f aca="false">IF(OR(I24="",J24=""),"",I24*J24)</f>
        <v/>
      </c>
      <c r="L24" s="4"/>
      <c r="M24" s="8"/>
      <c r="N24" s="7" t="str">
        <f aca="false">IF(OR(L24="",M24="",K24=""),"",IF(L24="GANANCIA",(K24-F24)*M24,IF(L24="BRUTO",K24*M24,"")))</f>
        <v/>
      </c>
      <c r="O24" s="9" t="str">
        <f aca="false">IF(D24="","",D24+30)</f>
        <v/>
      </c>
      <c r="P24" s="10" t="str">
        <f aca="false">IF(I24="","",IF(COUNTIF(Q24:AN24,TRUE())&gt;=I24,"PAGADO",IF(COUNTIF(Q24:AN24,TRUE())&gt;0,"PARCIAL","VIGENTE")))</f>
        <v/>
      </c>
      <c r="Q24" s="11" t="str">
        <f aca="false">IF(OR(I24="",I24&lt;1,O24=""),"",O24+0)</f>
        <v/>
      </c>
      <c r="R24" s="11" t="str">
        <f aca="false">IF(OR(I24="",I24&lt;2,O24=""),"",O24+30)</f>
        <v/>
      </c>
      <c r="S24" s="11" t="str">
        <f aca="false">IF(OR(I24="",I24&lt;3,O24=""),"",O24+60)</f>
        <v/>
      </c>
      <c r="T24" s="11" t="str">
        <f aca="false">IF(OR(I24="",I24&lt;4,O24=""),"",O24+90)</f>
        <v/>
      </c>
      <c r="U24" s="11" t="str">
        <f aca="false">IF(OR(I24="",I24&lt;5,O24=""),"",O24+120)</f>
        <v/>
      </c>
      <c r="V24" s="11" t="str">
        <f aca="false">IF(OR(I24="",I24&lt;6,O24=""),"",O24+150)</f>
        <v/>
      </c>
      <c r="W24" s="11" t="str">
        <f aca="false">IF(OR(I24="",I24&lt;7,O24=""),"",O24+180)</f>
        <v/>
      </c>
      <c r="X24" s="11" t="str">
        <f aca="false">IF(OR(I24="",I24&lt;8,O24=""),"",O24+210)</f>
        <v/>
      </c>
      <c r="Y24" s="11" t="str">
        <f aca="false">IF(OR(I24="",I24&lt;9,O24=""),"",O24+240)</f>
        <v/>
      </c>
      <c r="Z24" s="11" t="str">
        <f aca="false">IF(OR(I24="",I24&lt;10,O24=""),"",O24+270)</f>
        <v/>
      </c>
      <c r="AA24" s="11" t="str">
        <f aca="false">IF(OR(I24="",I24&lt;11,O24=""),"",O24+300)</f>
        <v/>
      </c>
      <c r="AB24" s="11" t="str">
        <f aca="false">IF(OR(I24="",I24&lt;12,O24=""),"",O24+330)</f>
        <v/>
      </c>
      <c r="AC24" s="11" t="str">
        <f aca="false">IF(OR(I24="",I24&lt;13,O24=""),"",O24+360)</f>
        <v/>
      </c>
      <c r="AD24" s="11" t="str">
        <f aca="false">IF(OR(I24="",I24&lt;14,O24=""),"",O24+390)</f>
        <v/>
      </c>
      <c r="AE24" s="11" t="str">
        <f aca="false">IF(OR(I24="",I24&lt;15,O24=""),"",O24+420)</f>
        <v/>
      </c>
      <c r="AF24" s="11" t="str">
        <f aca="false">IF(OR(I24="",I24&lt;16,O24=""),"",O24+450)</f>
        <v/>
      </c>
      <c r="AG24" s="11" t="str">
        <f aca="false">IF(OR(I24="",I24&lt;17,O24=""),"",O24+480)</f>
        <v/>
      </c>
      <c r="AH24" s="11" t="str">
        <f aca="false">IF(OR(I24="",I24&lt;18,O24=""),"",O24+510)</f>
        <v/>
      </c>
      <c r="AI24" s="11" t="str">
        <f aca="false">IF(OR(I24="",I24&lt;19,O24=""),"",O24+540)</f>
        <v/>
      </c>
      <c r="AJ24" s="11" t="str">
        <f aca="false">IF(OR(I24="",I24&lt;20,O24=""),"",O24+570)</f>
        <v/>
      </c>
      <c r="AK24" s="11" t="str">
        <f aca="false">IF(OR(I24="",I24&lt;21,O24=""),"",O24+600)</f>
        <v/>
      </c>
      <c r="AL24" s="11" t="str">
        <f aca="false">IF(OR(I24="",I24&lt;22,O24=""),"",O24+630)</f>
        <v/>
      </c>
      <c r="AM24" s="11" t="str">
        <f aca="false">IF(OR(I24="",I24&lt;23,O24=""),"",O24+660)</f>
        <v/>
      </c>
      <c r="AN24" s="11" t="str">
        <f aca="false">IF(OR(I24="",I24&lt;24,O24=""),"",O24+690)</f>
        <v/>
      </c>
      <c r="AO24" s="7" t="str">
        <f aca="false">IF(J24="","",COUNTIF(Q24:AN24,TRUE())*J24)</f>
        <v/>
      </c>
      <c r="AP24" s="7" t="str">
        <f aca="false">IF(K24="","",K24-AO24)</f>
        <v/>
      </c>
      <c r="AQ24" s="7" t="str">
        <f aca="false">IF(K24="","",K24-F24-IF(N24="",0,N24))</f>
        <v/>
      </c>
    </row>
    <row r="25" customFormat="false" ht="15" hidden="false" customHeight="false" outlineLevel="0" collapsed="false">
      <c r="A25" s="12"/>
      <c r="B25" s="12"/>
      <c r="C25" s="12"/>
      <c r="D25" s="13"/>
      <c r="E25" s="13"/>
      <c r="F25" s="14"/>
      <c r="G25" s="12"/>
      <c r="H25" s="12"/>
      <c r="I25" s="12"/>
      <c r="J25" s="14"/>
      <c r="K25" s="15" t="str">
        <f aca="false">IF(OR(I25="",J25=""),"",I25*J25)</f>
        <v/>
      </c>
      <c r="L25" s="12"/>
      <c r="M25" s="16"/>
      <c r="N25" s="15" t="str">
        <f aca="false">IF(OR(L25="",M25="",K25=""),"",IF(L25="GANANCIA",(K25-F25)*M25,IF(L25="BRUTO",K25*M25,"")))</f>
        <v/>
      </c>
      <c r="O25" s="17" t="str">
        <f aca="false">IF(D25="","",D25+30)</f>
        <v/>
      </c>
      <c r="P25" s="18" t="str">
        <f aca="false">IF(I25="","",IF(COUNTIF(Q25:AN25,TRUE())&gt;=I25,"PAGADO",IF(COUNTIF(Q25:AN25,TRUE())&gt;0,"PARCIAL","VIGENTE")))</f>
        <v/>
      </c>
      <c r="Q25" s="19" t="str">
        <f aca="false">IF(OR(I25="",I25&lt;1,O25=""),"",O25+0)</f>
        <v/>
      </c>
      <c r="R25" s="19" t="str">
        <f aca="false">IF(OR(I25="",I25&lt;2,O25=""),"",O25+30)</f>
        <v/>
      </c>
      <c r="S25" s="19" t="str">
        <f aca="false">IF(OR(I25="",I25&lt;3,O25=""),"",O25+60)</f>
        <v/>
      </c>
      <c r="T25" s="19" t="str">
        <f aca="false">IF(OR(I25="",I25&lt;4,O25=""),"",O25+90)</f>
        <v/>
      </c>
      <c r="U25" s="19" t="str">
        <f aca="false">IF(OR(I25="",I25&lt;5,O25=""),"",O25+120)</f>
        <v/>
      </c>
      <c r="V25" s="19" t="str">
        <f aca="false">IF(OR(I25="",I25&lt;6,O25=""),"",O25+150)</f>
        <v/>
      </c>
      <c r="W25" s="19" t="str">
        <f aca="false">IF(OR(I25="",I25&lt;7,O25=""),"",O25+180)</f>
        <v/>
      </c>
      <c r="X25" s="19" t="str">
        <f aca="false">IF(OR(I25="",I25&lt;8,O25=""),"",O25+210)</f>
        <v/>
      </c>
      <c r="Y25" s="19" t="str">
        <f aca="false">IF(OR(I25="",I25&lt;9,O25=""),"",O25+240)</f>
        <v/>
      </c>
      <c r="Z25" s="19" t="str">
        <f aca="false">IF(OR(I25="",I25&lt;10,O25=""),"",O25+270)</f>
        <v/>
      </c>
      <c r="AA25" s="19" t="str">
        <f aca="false">IF(OR(I25="",I25&lt;11,O25=""),"",O25+300)</f>
        <v/>
      </c>
      <c r="AB25" s="19" t="str">
        <f aca="false">IF(OR(I25="",I25&lt;12,O25=""),"",O25+330)</f>
        <v/>
      </c>
      <c r="AC25" s="19" t="str">
        <f aca="false">IF(OR(I25="",I25&lt;13,O25=""),"",O25+360)</f>
        <v/>
      </c>
      <c r="AD25" s="19" t="str">
        <f aca="false">IF(OR(I25="",I25&lt;14,O25=""),"",O25+390)</f>
        <v/>
      </c>
      <c r="AE25" s="19" t="str">
        <f aca="false">IF(OR(I25="",I25&lt;15,O25=""),"",O25+420)</f>
        <v/>
      </c>
      <c r="AF25" s="19" t="str">
        <f aca="false">IF(OR(I25="",I25&lt;16,O25=""),"",O25+450)</f>
        <v/>
      </c>
      <c r="AG25" s="19" t="str">
        <f aca="false">IF(OR(I25="",I25&lt;17,O25=""),"",O25+480)</f>
        <v/>
      </c>
      <c r="AH25" s="19" t="str">
        <f aca="false">IF(OR(I25="",I25&lt;18,O25=""),"",O25+510)</f>
        <v/>
      </c>
      <c r="AI25" s="19" t="str">
        <f aca="false">IF(OR(I25="",I25&lt;19,O25=""),"",O25+540)</f>
        <v/>
      </c>
      <c r="AJ25" s="19" t="str">
        <f aca="false">IF(OR(I25="",I25&lt;20,O25=""),"",O25+570)</f>
        <v/>
      </c>
      <c r="AK25" s="19" t="str">
        <f aca="false">IF(OR(I25="",I25&lt;21,O25=""),"",O25+600)</f>
        <v/>
      </c>
      <c r="AL25" s="19" t="str">
        <f aca="false">IF(OR(I25="",I25&lt;22,O25=""),"",O25+630)</f>
        <v/>
      </c>
      <c r="AM25" s="19" t="str">
        <f aca="false">IF(OR(I25="",I25&lt;23,O25=""),"",O25+660)</f>
        <v/>
      </c>
      <c r="AN25" s="19" t="str">
        <f aca="false">IF(OR(I25="",I25&lt;24,O25=""),"",O25+690)</f>
        <v/>
      </c>
      <c r="AO25" s="15" t="str">
        <f aca="false">IF(J25="","",COUNTIF(Q25:AN25,TRUE())*J25)</f>
        <v/>
      </c>
      <c r="AP25" s="15" t="str">
        <f aca="false">IF(K25="","",K25-AO25)</f>
        <v/>
      </c>
      <c r="AQ25" s="15" t="str">
        <f aca="false">IF(K25="","",K25-F25-IF(N25="",0,N25))</f>
        <v/>
      </c>
    </row>
    <row r="26" customFormat="false" ht="15" hidden="false" customHeight="false" outlineLevel="0" collapsed="false">
      <c r="A26" s="4"/>
      <c r="B26" s="4"/>
      <c r="C26" s="4"/>
      <c r="D26" s="5"/>
      <c r="E26" s="5"/>
      <c r="F26" s="6"/>
      <c r="G26" s="4"/>
      <c r="H26" s="4"/>
      <c r="I26" s="4"/>
      <c r="J26" s="6"/>
      <c r="K26" s="7" t="str">
        <f aca="false">IF(OR(I26="",J26=""),"",I26*J26)</f>
        <v/>
      </c>
      <c r="L26" s="4"/>
      <c r="M26" s="8"/>
      <c r="N26" s="7" t="str">
        <f aca="false">IF(OR(L26="",M26="",K26=""),"",IF(L26="GANANCIA",(K26-F26)*M26,IF(L26="BRUTO",K26*M26,"")))</f>
        <v/>
      </c>
      <c r="O26" s="9" t="str">
        <f aca="false">IF(D26="","",D26+30)</f>
        <v/>
      </c>
      <c r="P26" s="10" t="str">
        <f aca="false">IF(I26="","",IF(COUNTIF(Q26:AN26,TRUE())&gt;=I26,"PAGADO",IF(COUNTIF(Q26:AN26,TRUE())&gt;0,"PARCIAL","VIGENTE")))</f>
        <v/>
      </c>
      <c r="Q26" s="11" t="str">
        <f aca="false">IF(OR(I26="",I26&lt;1,O26=""),"",O26+0)</f>
        <v/>
      </c>
      <c r="R26" s="11" t="str">
        <f aca="false">IF(OR(I26="",I26&lt;2,O26=""),"",O26+30)</f>
        <v/>
      </c>
      <c r="S26" s="11" t="str">
        <f aca="false">IF(OR(I26="",I26&lt;3,O26=""),"",O26+60)</f>
        <v/>
      </c>
      <c r="T26" s="11" t="str">
        <f aca="false">IF(OR(I26="",I26&lt;4,O26=""),"",O26+90)</f>
        <v/>
      </c>
      <c r="U26" s="11" t="str">
        <f aca="false">IF(OR(I26="",I26&lt;5,O26=""),"",O26+120)</f>
        <v/>
      </c>
      <c r="V26" s="11" t="str">
        <f aca="false">IF(OR(I26="",I26&lt;6,O26=""),"",O26+150)</f>
        <v/>
      </c>
      <c r="W26" s="11" t="str">
        <f aca="false">IF(OR(I26="",I26&lt;7,O26=""),"",O26+180)</f>
        <v/>
      </c>
      <c r="X26" s="11" t="str">
        <f aca="false">IF(OR(I26="",I26&lt;8,O26=""),"",O26+210)</f>
        <v/>
      </c>
      <c r="Y26" s="11" t="str">
        <f aca="false">IF(OR(I26="",I26&lt;9,O26=""),"",O26+240)</f>
        <v/>
      </c>
      <c r="Z26" s="11" t="str">
        <f aca="false">IF(OR(I26="",I26&lt;10,O26=""),"",O26+270)</f>
        <v/>
      </c>
      <c r="AA26" s="11" t="str">
        <f aca="false">IF(OR(I26="",I26&lt;11,O26=""),"",O26+300)</f>
        <v/>
      </c>
      <c r="AB26" s="11" t="str">
        <f aca="false">IF(OR(I26="",I26&lt;12,O26=""),"",O26+330)</f>
        <v/>
      </c>
      <c r="AC26" s="11" t="str">
        <f aca="false">IF(OR(I26="",I26&lt;13,O26=""),"",O26+360)</f>
        <v/>
      </c>
      <c r="AD26" s="11" t="str">
        <f aca="false">IF(OR(I26="",I26&lt;14,O26=""),"",O26+390)</f>
        <v/>
      </c>
      <c r="AE26" s="11" t="str">
        <f aca="false">IF(OR(I26="",I26&lt;15,O26=""),"",O26+420)</f>
        <v/>
      </c>
      <c r="AF26" s="11" t="str">
        <f aca="false">IF(OR(I26="",I26&lt;16,O26=""),"",O26+450)</f>
        <v/>
      </c>
      <c r="AG26" s="11" t="str">
        <f aca="false">IF(OR(I26="",I26&lt;17,O26=""),"",O26+480)</f>
        <v/>
      </c>
      <c r="AH26" s="11" t="str">
        <f aca="false">IF(OR(I26="",I26&lt;18,O26=""),"",O26+510)</f>
        <v/>
      </c>
      <c r="AI26" s="11" t="str">
        <f aca="false">IF(OR(I26="",I26&lt;19,O26=""),"",O26+540)</f>
        <v/>
      </c>
      <c r="AJ26" s="11" t="str">
        <f aca="false">IF(OR(I26="",I26&lt;20,O26=""),"",O26+570)</f>
        <v/>
      </c>
      <c r="AK26" s="11" t="str">
        <f aca="false">IF(OR(I26="",I26&lt;21,O26=""),"",O26+600)</f>
        <v/>
      </c>
      <c r="AL26" s="11" t="str">
        <f aca="false">IF(OR(I26="",I26&lt;22,O26=""),"",O26+630)</f>
        <v/>
      </c>
      <c r="AM26" s="11" t="str">
        <f aca="false">IF(OR(I26="",I26&lt;23,O26=""),"",O26+660)</f>
        <v/>
      </c>
      <c r="AN26" s="11" t="str">
        <f aca="false">IF(OR(I26="",I26&lt;24,O26=""),"",O26+690)</f>
        <v/>
      </c>
      <c r="AO26" s="7" t="str">
        <f aca="false">IF(J26="","",COUNTIF(Q26:AN26,TRUE())*J26)</f>
        <v/>
      </c>
      <c r="AP26" s="7" t="str">
        <f aca="false">IF(K26="","",K26-AO26)</f>
        <v/>
      </c>
      <c r="AQ26" s="7" t="str">
        <f aca="false">IF(K26="","",K26-F26-IF(N26="",0,N26))</f>
        <v/>
      </c>
    </row>
    <row r="27" customFormat="false" ht="15" hidden="false" customHeight="false" outlineLevel="0" collapsed="false">
      <c r="A27" s="12"/>
      <c r="B27" s="12"/>
      <c r="C27" s="12"/>
      <c r="D27" s="13"/>
      <c r="E27" s="13"/>
      <c r="F27" s="14"/>
      <c r="G27" s="12"/>
      <c r="H27" s="12"/>
      <c r="I27" s="12"/>
      <c r="J27" s="14"/>
      <c r="K27" s="15" t="str">
        <f aca="false">IF(OR(I27="",J27=""),"",I27*J27)</f>
        <v/>
      </c>
      <c r="L27" s="12"/>
      <c r="M27" s="16"/>
      <c r="N27" s="15" t="str">
        <f aca="false">IF(OR(L27="",M27="",K27=""),"",IF(L27="GANANCIA",(K27-F27)*M27,IF(L27="BRUTO",K27*M27,"")))</f>
        <v/>
      </c>
      <c r="O27" s="17" t="str">
        <f aca="false">IF(D27="","",D27+30)</f>
        <v/>
      </c>
      <c r="P27" s="18" t="str">
        <f aca="false">IF(I27="","",IF(COUNTIF(Q27:AN27,TRUE())&gt;=I27,"PAGADO",IF(COUNTIF(Q27:AN27,TRUE())&gt;0,"PARCIAL","VIGENTE")))</f>
        <v/>
      </c>
      <c r="Q27" s="19" t="str">
        <f aca="false">IF(OR(I27="",I27&lt;1,O27=""),"",O27+0)</f>
        <v/>
      </c>
      <c r="R27" s="19" t="str">
        <f aca="false">IF(OR(I27="",I27&lt;2,O27=""),"",O27+30)</f>
        <v/>
      </c>
      <c r="S27" s="19" t="str">
        <f aca="false">IF(OR(I27="",I27&lt;3,O27=""),"",O27+60)</f>
        <v/>
      </c>
      <c r="T27" s="19" t="str">
        <f aca="false">IF(OR(I27="",I27&lt;4,O27=""),"",O27+90)</f>
        <v/>
      </c>
      <c r="U27" s="19" t="str">
        <f aca="false">IF(OR(I27="",I27&lt;5,O27=""),"",O27+120)</f>
        <v/>
      </c>
      <c r="V27" s="19" t="str">
        <f aca="false">IF(OR(I27="",I27&lt;6,O27=""),"",O27+150)</f>
        <v/>
      </c>
      <c r="W27" s="19" t="str">
        <f aca="false">IF(OR(I27="",I27&lt;7,O27=""),"",O27+180)</f>
        <v/>
      </c>
      <c r="X27" s="19" t="str">
        <f aca="false">IF(OR(I27="",I27&lt;8,O27=""),"",O27+210)</f>
        <v/>
      </c>
      <c r="Y27" s="19" t="str">
        <f aca="false">IF(OR(I27="",I27&lt;9,O27=""),"",O27+240)</f>
        <v/>
      </c>
      <c r="Z27" s="19" t="str">
        <f aca="false">IF(OR(I27="",I27&lt;10,O27=""),"",O27+270)</f>
        <v/>
      </c>
      <c r="AA27" s="19" t="str">
        <f aca="false">IF(OR(I27="",I27&lt;11,O27=""),"",O27+300)</f>
        <v/>
      </c>
      <c r="AB27" s="19" t="str">
        <f aca="false">IF(OR(I27="",I27&lt;12,O27=""),"",O27+330)</f>
        <v/>
      </c>
      <c r="AC27" s="19" t="str">
        <f aca="false">IF(OR(I27="",I27&lt;13,O27=""),"",O27+360)</f>
        <v/>
      </c>
      <c r="AD27" s="19" t="str">
        <f aca="false">IF(OR(I27="",I27&lt;14,O27=""),"",O27+390)</f>
        <v/>
      </c>
      <c r="AE27" s="19" t="str">
        <f aca="false">IF(OR(I27="",I27&lt;15,O27=""),"",O27+420)</f>
        <v/>
      </c>
      <c r="AF27" s="19" t="str">
        <f aca="false">IF(OR(I27="",I27&lt;16,O27=""),"",O27+450)</f>
        <v/>
      </c>
      <c r="AG27" s="19" t="str">
        <f aca="false">IF(OR(I27="",I27&lt;17,O27=""),"",O27+480)</f>
        <v/>
      </c>
      <c r="AH27" s="19" t="str">
        <f aca="false">IF(OR(I27="",I27&lt;18,O27=""),"",O27+510)</f>
        <v/>
      </c>
      <c r="AI27" s="19" t="str">
        <f aca="false">IF(OR(I27="",I27&lt;19,O27=""),"",O27+540)</f>
        <v/>
      </c>
      <c r="AJ27" s="19" t="str">
        <f aca="false">IF(OR(I27="",I27&lt;20,O27=""),"",O27+570)</f>
        <v/>
      </c>
      <c r="AK27" s="19" t="str">
        <f aca="false">IF(OR(I27="",I27&lt;21,O27=""),"",O27+600)</f>
        <v/>
      </c>
      <c r="AL27" s="19" t="str">
        <f aca="false">IF(OR(I27="",I27&lt;22,O27=""),"",O27+630)</f>
        <v/>
      </c>
      <c r="AM27" s="19" t="str">
        <f aca="false">IF(OR(I27="",I27&lt;23,O27=""),"",O27+660)</f>
        <v/>
      </c>
      <c r="AN27" s="19" t="str">
        <f aca="false">IF(OR(I27="",I27&lt;24,O27=""),"",O27+690)</f>
        <v/>
      </c>
      <c r="AO27" s="15" t="str">
        <f aca="false">IF(J27="","",COUNTIF(Q27:AN27,TRUE())*J27)</f>
        <v/>
      </c>
      <c r="AP27" s="15" t="str">
        <f aca="false">IF(K27="","",K27-AO27)</f>
        <v/>
      </c>
      <c r="AQ27" s="15" t="str">
        <f aca="false">IF(K27="","",K27-F27-IF(N27="",0,N27))</f>
        <v/>
      </c>
    </row>
    <row r="28" customFormat="false" ht="15" hidden="false" customHeight="false" outlineLevel="0" collapsed="false">
      <c r="A28" s="4"/>
      <c r="B28" s="4"/>
      <c r="C28" s="4"/>
      <c r="D28" s="5"/>
      <c r="E28" s="5"/>
      <c r="F28" s="6"/>
      <c r="G28" s="4"/>
      <c r="H28" s="4"/>
      <c r="I28" s="4"/>
      <c r="J28" s="6"/>
      <c r="K28" s="7" t="str">
        <f aca="false">IF(OR(I28="",J28=""),"",I28*J28)</f>
        <v/>
      </c>
      <c r="L28" s="4"/>
      <c r="M28" s="8"/>
      <c r="N28" s="7" t="str">
        <f aca="false">IF(OR(L28="",M28="",K28=""),"",IF(L28="GANANCIA",(K28-F28)*M28,IF(L28="BRUTO",K28*M28,"")))</f>
        <v/>
      </c>
      <c r="O28" s="9" t="str">
        <f aca="false">IF(D28="","",D28+30)</f>
        <v/>
      </c>
      <c r="P28" s="10" t="str">
        <f aca="false">IF(I28="","",IF(COUNTIF(Q28:AN28,TRUE())&gt;=I28,"PAGADO",IF(COUNTIF(Q28:AN28,TRUE())&gt;0,"PARCIAL","VIGENTE")))</f>
        <v/>
      </c>
      <c r="Q28" s="11" t="str">
        <f aca="false">IF(OR(I28="",I28&lt;1,O28=""),"",O28+0)</f>
        <v/>
      </c>
      <c r="R28" s="11" t="str">
        <f aca="false">IF(OR(I28="",I28&lt;2,O28=""),"",O28+30)</f>
        <v/>
      </c>
      <c r="S28" s="11" t="str">
        <f aca="false">IF(OR(I28="",I28&lt;3,O28=""),"",O28+60)</f>
        <v/>
      </c>
      <c r="T28" s="11" t="str">
        <f aca="false">IF(OR(I28="",I28&lt;4,O28=""),"",O28+90)</f>
        <v/>
      </c>
      <c r="U28" s="11" t="str">
        <f aca="false">IF(OR(I28="",I28&lt;5,O28=""),"",O28+120)</f>
        <v/>
      </c>
      <c r="V28" s="11" t="str">
        <f aca="false">IF(OR(I28="",I28&lt;6,O28=""),"",O28+150)</f>
        <v/>
      </c>
      <c r="W28" s="11" t="str">
        <f aca="false">IF(OR(I28="",I28&lt;7,O28=""),"",O28+180)</f>
        <v/>
      </c>
      <c r="X28" s="11" t="str">
        <f aca="false">IF(OR(I28="",I28&lt;8,O28=""),"",O28+210)</f>
        <v/>
      </c>
      <c r="Y28" s="11" t="str">
        <f aca="false">IF(OR(I28="",I28&lt;9,O28=""),"",O28+240)</f>
        <v/>
      </c>
      <c r="Z28" s="11" t="str">
        <f aca="false">IF(OR(I28="",I28&lt;10,O28=""),"",O28+270)</f>
        <v/>
      </c>
      <c r="AA28" s="11" t="str">
        <f aca="false">IF(OR(I28="",I28&lt;11,O28=""),"",O28+300)</f>
        <v/>
      </c>
      <c r="AB28" s="11" t="str">
        <f aca="false">IF(OR(I28="",I28&lt;12,O28=""),"",O28+330)</f>
        <v/>
      </c>
      <c r="AC28" s="11" t="str">
        <f aca="false">IF(OR(I28="",I28&lt;13,O28=""),"",O28+360)</f>
        <v/>
      </c>
      <c r="AD28" s="11" t="str">
        <f aca="false">IF(OR(I28="",I28&lt;14,O28=""),"",O28+390)</f>
        <v/>
      </c>
      <c r="AE28" s="11" t="str">
        <f aca="false">IF(OR(I28="",I28&lt;15,O28=""),"",O28+420)</f>
        <v/>
      </c>
      <c r="AF28" s="11" t="str">
        <f aca="false">IF(OR(I28="",I28&lt;16,O28=""),"",O28+450)</f>
        <v/>
      </c>
      <c r="AG28" s="11" t="str">
        <f aca="false">IF(OR(I28="",I28&lt;17,O28=""),"",O28+480)</f>
        <v/>
      </c>
      <c r="AH28" s="11" t="str">
        <f aca="false">IF(OR(I28="",I28&lt;18,O28=""),"",O28+510)</f>
        <v/>
      </c>
      <c r="AI28" s="11" t="str">
        <f aca="false">IF(OR(I28="",I28&lt;19,O28=""),"",O28+540)</f>
        <v/>
      </c>
      <c r="AJ28" s="11" t="str">
        <f aca="false">IF(OR(I28="",I28&lt;20,O28=""),"",O28+570)</f>
        <v/>
      </c>
      <c r="AK28" s="11" t="str">
        <f aca="false">IF(OR(I28="",I28&lt;21,O28=""),"",O28+600)</f>
        <v/>
      </c>
      <c r="AL28" s="11" t="str">
        <f aca="false">IF(OR(I28="",I28&lt;22,O28=""),"",O28+630)</f>
        <v/>
      </c>
      <c r="AM28" s="11" t="str">
        <f aca="false">IF(OR(I28="",I28&lt;23,O28=""),"",O28+660)</f>
        <v/>
      </c>
      <c r="AN28" s="11" t="str">
        <f aca="false">IF(OR(I28="",I28&lt;24,O28=""),"",O28+690)</f>
        <v/>
      </c>
      <c r="AO28" s="7" t="str">
        <f aca="false">IF(J28="","",COUNTIF(Q28:AN28,TRUE())*J28)</f>
        <v/>
      </c>
      <c r="AP28" s="7" t="str">
        <f aca="false">IF(K28="","",K28-AO28)</f>
        <v/>
      </c>
      <c r="AQ28" s="7" t="str">
        <f aca="false">IF(K28="","",K28-F28-IF(N28="",0,N28))</f>
        <v/>
      </c>
    </row>
    <row r="29" customFormat="false" ht="15" hidden="false" customHeight="false" outlineLevel="0" collapsed="false">
      <c r="A29" s="12"/>
      <c r="B29" s="12"/>
      <c r="C29" s="12"/>
      <c r="D29" s="13"/>
      <c r="E29" s="13"/>
      <c r="F29" s="14"/>
      <c r="G29" s="12"/>
      <c r="H29" s="12"/>
      <c r="I29" s="12"/>
      <c r="J29" s="14"/>
      <c r="K29" s="15" t="str">
        <f aca="false">IF(OR(I29="",J29=""),"",I29*J29)</f>
        <v/>
      </c>
      <c r="L29" s="12"/>
      <c r="M29" s="16"/>
      <c r="N29" s="15" t="str">
        <f aca="false">IF(OR(L29="",M29="",K29=""),"",IF(L29="GANANCIA",(K29-F29)*M29,IF(L29="BRUTO",K29*M29,"")))</f>
        <v/>
      </c>
      <c r="O29" s="17" t="str">
        <f aca="false">IF(D29="","",D29+30)</f>
        <v/>
      </c>
      <c r="P29" s="18" t="str">
        <f aca="false">IF(I29="","",IF(COUNTIF(Q29:AN29,TRUE())&gt;=I29,"PAGADO",IF(COUNTIF(Q29:AN29,TRUE())&gt;0,"PARCIAL","VIGENTE")))</f>
        <v/>
      </c>
      <c r="Q29" s="19" t="str">
        <f aca="false">IF(OR(I29="",I29&lt;1,O29=""),"",O29+0)</f>
        <v/>
      </c>
      <c r="R29" s="19" t="str">
        <f aca="false">IF(OR(I29="",I29&lt;2,O29=""),"",O29+30)</f>
        <v/>
      </c>
      <c r="S29" s="19" t="str">
        <f aca="false">IF(OR(I29="",I29&lt;3,O29=""),"",O29+60)</f>
        <v/>
      </c>
      <c r="T29" s="19" t="str">
        <f aca="false">IF(OR(I29="",I29&lt;4,O29=""),"",O29+90)</f>
        <v/>
      </c>
      <c r="U29" s="19" t="str">
        <f aca="false">IF(OR(I29="",I29&lt;5,O29=""),"",O29+120)</f>
        <v/>
      </c>
      <c r="V29" s="19" t="str">
        <f aca="false">IF(OR(I29="",I29&lt;6,O29=""),"",O29+150)</f>
        <v/>
      </c>
      <c r="W29" s="19" t="str">
        <f aca="false">IF(OR(I29="",I29&lt;7,O29=""),"",O29+180)</f>
        <v/>
      </c>
      <c r="X29" s="19" t="str">
        <f aca="false">IF(OR(I29="",I29&lt;8,O29=""),"",O29+210)</f>
        <v/>
      </c>
      <c r="Y29" s="19" t="str">
        <f aca="false">IF(OR(I29="",I29&lt;9,O29=""),"",O29+240)</f>
        <v/>
      </c>
      <c r="Z29" s="19" t="str">
        <f aca="false">IF(OR(I29="",I29&lt;10,O29=""),"",O29+270)</f>
        <v/>
      </c>
      <c r="AA29" s="19" t="str">
        <f aca="false">IF(OR(I29="",I29&lt;11,O29=""),"",O29+300)</f>
        <v/>
      </c>
      <c r="AB29" s="19" t="str">
        <f aca="false">IF(OR(I29="",I29&lt;12,O29=""),"",O29+330)</f>
        <v/>
      </c>
      <c r="AC29" s="19" t="str">
        <f aca="false">IF(OR(I29="",I29&lt;13,O29=""),"",O29+360)</f>
        <v/>
      </c>
      <c r="AD29" s="19" t="str">
        <f aca="false">IF(OR(I29="",I29&lt;14,O29=""),"",O29+390)</f>
        <v/>
      </c>
      <c r="AE29" s="19" t="str">
        <f aca="false">IF(OR(I29="",I29&lt;15,O29=""),"",O29+420)</f>
        <v/>
      </c>
      <c r="AF29" s="19" t="str">
        <f aca="false">IF(OR(I29="",I29&lt;16,O29=""),"",O29+450)</f>
        <v/>
      </c>
      <c r="AG29" s="19" t="str">
        <f aca="false">IF(OR(I29="",I29&lt;17,O29=""),"",O29+480)</f>
        <v/>
      </c>
      <c r="AH29" s="19" t="str">
        <f aca="false">IF(OR(I29="",I29&lt;18,O29=""),"",O29+510)</f>
        <v/>
      </c>
      <c r="AI29" s="19" t="str">
        <f aca="false">IF(OR(I29="",I29&lt;19,O29=""),"",O29+540)</f>
        <v/>
      </c>
      <c r="AJ29" s="19" t="str">
        <f aca="false">IF(OR(I29="",I29&lt;20,O29=""),"",O29+570)</f>
        <v/>
      </c>
      <c r="AK29" s="19" t="str">
        <f aca="false">IF(OR(I29="",I29&lt;21,O29=""),"",O29+600)</f>
        <v/>
      </c>
      <c r="AL29" s="19" t="str">
        <f aca="false">IF(OR(I29="",I29&lt;22,O29=""),"",O29+630)</f>
        <v/>
      </c>
      <c r="AM29" s="19" t="str">
        <f aca="false">IF(OR(I29="",I29&lt;23,O29=""),"",O29+660)</f>
        <v/>
      </c>
      <c r="AN29" s="19" t="str">
        <f aca="false">IF(OR(I29="",I29&lt;24,O29=""),"",O29+690)</f>
        <v/>
      </c>
      <c r="AO29" s="15" t="str">
        <f aca="false">IF(J29="","",COUNTIF(Q29:AN29,TRUE())*J29)</f>
        <v/>
      </c>
      <c r="AP29" s="15" t="str">
        <f aca="false">IF(K29="","",K29-AO29)</f>
        <v/>
      </c>
      <c r="AQ29" s="15" t="str">
        <f aca="false">IF(K29="","",K29-F29-IF(N29="",0,N29))</f>
        <v/>
      </c>
    </row>
    <row r="30" customFormat="false" ht="15" hidden="false" customHeight="false" outlineLevel="0" collapsed="false">
      <c r="A30" s="4"/>
      <c r="B30" s="4"/>
      <c r="C30" s="4"/>
      <c r="D30" s="5"/>
      <c r="E30" s="5"/>
      <c r="F30" s="6"/>
      <c r="G30" s="4"/>
      <c r="H30" s="4"/>
      <c r="I30" s="4"/>
      <c r="J30" s="6"/>
      <c r="K30" s="7" t="str">
        <f aca="false">IF(OR(I30="",J30=""),"",I30*J30)</f>
        <v/>
      </c>
      <c r="L30" s="4"/>
      <c r="M30" s="8"/>
      <c r="N30" s="7" t="str">
        <f aca="false">IF(OR(L30="",M30="",K30=""),"",IF(L30="GANANCIA",(K30-F30)*M30,IF(L30="BRUTO",K30*M30,"")))</f>
        <v/>
      </c>
      <c r="O30" s="9" t="str">
        <f aca="false">IF(D30="","",D30+30)</f>
        <v/>
      </c>
      <c r="P30" s="10" t="str">
        <f aca="false">IF(I30="","",IF(COUNTIF(Q30:AN30,TRUE())&gt;=I30,"PAGADO",IF(COUNTIF(Q30:AN30,TRUE())&gt;0,"PARCIAL","VIGENTE")))</f>
        <v/>
      </c>
      <c r="Q30" s="11" t="str">
        <f aca="false">IF(OR(I30="",I30&lt;1,O30=""),"",O30+0)</f>
        <v/>
      </c>
      <c r="R30" s="11" t="str">
        <f aca="false">IF(OR(I30="",I30&lt;2,O30=""),"",O30+30)</f>
        <v/>
      </c>
      <c r="S30" s="11" t="str">
        <f aca="false">IF(OR(I30="",I30&lt;3,O30=""),"",O30+60)</f>
        <v/>
      </c>
      <c r="T30" s="11" t="str">
        <f aca="false">IF(OR(I30="",I30&lt;4,O30=""),"",O30+90)</f>
        <v/>
      </c>
      <c r="U30" s="11" t="str">
        <f aca="false">IF(OR(I30="",I30&lt;5,O30=""),"",O30+120)</f>
        <v/>
      </c>
      <c r="V30" s="11" t="str">
        <f aca="false">IF(OR(I30="",I30&lt;6,O30=""),"",O30+150)</f>
        <v/>
      </c>
      <c r="W30" s="11" t="str">
        <f aca="false">IF(OR(I30="",I30&lt;7,O30=""),"",O30+180)</f>
        <v/>
      </c>
      <c r="X30" s="11" t="str">
        <f aca="false">IF(OR(I30="",I30&lt;8,O30=""),"",O30+210)</f>
        <v/>
      </c>
      <c r="Y30" s="11" t="str">
        <f aca="false">IF(OR(I30="",I30&lt;9,O30=""),"",O30+240)</f>
        <v/>
      </c>
      <c r="Z30" s="11" t="str">
        <f aca="false">IF(OR(I30="",I30&lt;10,O30=""),"",O30+270)</f>
        <v/>
      </c>
      <c r="AA30" s="11" t="str">
        <f aca="false">IF(OR(I30="",I30&lt;11,O30=""),"",O30+300)</f>
        <v/>
      </c>
      <c r="AB30" s="11" t="str">
        <f aca="false">IF(OR(I30="",I30&lt;12,O30=""),"",O30+330)</f>
        <v/>
      </c>
      <c r="AC30" s="11" t="str">
        <f aca="false">IF(OR(I30="",I30&lt;13,O30=""),"",O30+360)</f>
        <v/>
      </c>
      <c r="AD30" s="11" t="str">
        <f aca="false">IF(OR(I30="",I30&lt;14,O30=""),"",O30+390)</f>
        <v/>
      </c>
      <c r="AE30" s="11" t="str">
        <f aca="false">IF(OR(I30="",I30&lt;15,O30=""),"",O30+420)</f>
        <v/>
      </c>
      <c r="AF30" s="11" t="str">
        <f aca="false">IF(OR(I30="",I30&lt;16,O30=""),"",O30+450)</f>
        <v/>
      </c>
      <c r="AG30" s="11" t="str">
        <f aca="false">IF(OR(I30="",I30&lt;17,O30=""),"",O30+480)</f>
        <v/>
      </c>
      <c r="AH30" s="11" t="str">
        <f aca="false">IF(OR(I30="",I30&lt;18,O30=""),"",O30+510)</f>
        <v/>
      </c>
      <c r="AI30" s="11" t="str">
        <f aca="false">IF(OR(I30="",I30&lt;19,O30=""),"",O30+540)</f>
        <v/>
      </c>
      <c r="AJ30" s="11" t="str">
        <f aca="false">IF(OR(I30="",I30&lt;20,O30=""),"",O30+570)</f>
        <v/>
      </c>
      <c r="AK30" s="11" t="str">
        <f aca="false">IF(OR(I30="",I30&lt;21,O30=""),"",O30+600)</f>
        <v/>
      </c>
      <c r="AL30" s="11" t="str">
        <f aca="false">IF(OR(I30="",I30&lt;22,O30=""),"",O30+630)</f>
        <v/>
      </c>
      <c r="AM30" s="11" t="str">
        <f aca="false">IF(OR(I30="",I30&lt;23,O30=""),"",O30+660)</f>
        <v/>
      </c>
      <c r="AN30" s="11" t="str">
        <f aca="false">IF(OR(I30="",I30&lt;24,O30=""),"",O30+690)</f>
        <v/>
      </c>
      <c r="AO30" s="7" t="str">
        <f aca="false">IF(J30="","",COUNTIF(Q30:AN30,TRUE())*J30)</f>
        <v/>
      </c>
      <c r="AP30" s="7" t="str">
        <f aca="false">IF(K30="","",K30-AO30)</f>
        <v/>
      </c>
      <c r="AQ30" s="7" t="str">
        <f aca="false">IF(K30="","",K30-F30-IF(N30="",0,N30))</f>
        <v/>
      </c>
    </row>
    <row r="31" customFormat="false" ht="15" hidden="false" customHeight="false" outlineLevel="0" collapsed="false">
      <c r="A31" s="12"/>
      <c r="B31" s="12"/>
      <c r="C31" s="12"/>
      <c r="D31" s="13"/>
      <c r="E31" s="13"/>
      <c r="F31" s="14"/>
      <c r="G31" s="12"/>
      <c r="H31" s="12"/>
      <c r="I31" s="12"/>
      <c r="J31" s="14"/>
      <c r="K31" s="15" t="str">
        <f aca="false">IF(OR(I31="",J31=""),"",I31*J31)</f>
        <v/>
      </c>
      <c r="L31" s="12"/>
      <c r="M31" s="16"/>
      <c r="N31" s="15" t="str">
        <f aca="false">IF(OR(L31="",M31="",K31=""),"",IF(L31="GANANCIA",(K31-F31)*M31,IF(L31="BRUTO",K31*M31,"")))</f>
        <v/>
      </c>
      <c r="O31" s="17" t="str">
        <f aca="false">IF(D31="","",D31+30)</f>
        <v/>
      </c>
      <c r="P31" s="18" t="str">
        <f aca="false">IF(I31="","",IF(COUNTIF(Q31:AN31,TRUE())&gt;=I31,"PAGADO",IF(COUNTIF(Q31:AN31,TRUE())&gt;0,"PARCIAL","VIGENTE")))</f>
        <v/>
      </c>
      <c r="Q31" s="19" t="str">
        <f aca="false">IF(OR(I31="",I31&lt;1,O31=""),"",O31+0)</f>
        <v/>
      </c>
      <c r="R31" s="19" t="str">
        <f aca="false">IF(OR(I31="",I31&lt;2,O31=""),"",O31+30)</f>
        <v/>
      </c>
      <c r="S31" s="19" t="str">
        <f aca="false">IF(OR(I31="",I31&lt;3,O31=""),"",O31+60)</f>
        <v/>
      </c>
      <c r="T31" s="19" t="str">
        <f aca="false">IF(OR(I31="",I31&lt;4,O31=""),"",O31+90)</f>
        <v/>
      </c>
      <c r="U31" s="19" t="str">
        <f aca="false">IF(OR(I31="",I31&lt;5,O31=""),"",O31+120)</f>
        <v/>
      </c>
      <c r="V31" s="19" t="str">
        <f aca="false">IF(OR(I31="",I31&lt;6,O31=""),"",O31+150)</f>
        <v/>
      </c>
      <c r="W31" s="19" t="str">
        <f aca="false">IF(OR(I31="",I31&lt;7,O31=""),"",O31+180)</f>
        <v/>
      </c>
      <c r="X31" s="19" t="str">
        <f aca="false">IF(OR(I31="",I31&lt;8,O31=""),"",O31+210)</f>
        <v/>
      </c>
      <c r="Y31" s="19" t="str">
        <f aca="false">IF(OR(I31="",I31&lt;9,O31=""),"",O31+240)</f>
        <v/>
      </c>
      <c r="Z31" s="19" t="str">
        <f aca="false">IF(OR(I31="",I31&lt;10,O31=""),"",O31+270)</f>
        <v/>
      </c>
      <c r="AA31" s="19" t="str">
        <f aca="false">IF(OR(I31="",I31&lt;11,O31=""),"",O31+300)</f>
        <v/>
      </c>
      <c r="AB31" s="19" t="str">
        <f aca="false">IF(OR(I31="",I31&lt;12,O31=""),"",O31+330)</f>
        <v/>
      </c>
      <c r="AC31" s="19" t="str">
        <f aca="false">IF(OR(I31="",I31&lt;13,O31=""),"",O31+360)</f>
        <v/>
      </c>
      <c r="AD31" s="19" t="str">
        <f aca="false">IF(OR(I31="",I31&lt;14,O31=""),"",O31+390)</f>
        <v/>
      </c>
      <c r="AE31" s="19" t="str">
        <f aca="false">IF(OR(I31="",I31&lt;15,O31=""),"",O31+420)</f>
        <v/>
      </c>
      <c r="AF31" s="19" t="str">
        <f aca="false">IF(OR(I31="",I31&lt;16,O31=""),"",O31+450)</f>
        <v/>
      </c>
      <c r="AG31" s="19" t="str">
        <f aca="false">IF(OR(I31="",I31&lt;17,O31=""),"",O31+480)</f>
        <v/>
      </c>
      <c r="AH31" s="19" t="str">
        <f aca="false">IF(OR(I31="",I31&lt;18,O31=""),"",O31+510)</f>
        <v/>
      </c>
      <c r="AI31" s="19" t="str">
        <f aca="false">IF(OR(I31="",I31&lt;19,O31=""),"",O31+540)</f>
        <v/>
      </c>
      <c r="AJ31" s="19" t="str">
        <f aca="false">IF(OR(I31="",I31&lt;20,O31=""),"",O31+570)</f>
        <v/>
      </c>
      <c r="AK31" s="19" t="str">
        <f aca="false">IF(OR(I31="",I31&lt;21,O31=""),"",O31+600)</f>
        <v/>
      </c>
      <c r="AL31" s="19" t="str">
        <f aca="false">IF(OR(I31="",I31&lt;22,O31=""),"",O31+630)</f>
        <v/>
      </c>
      <c r="AM31" s="19" t="str">
        <f aca="false">IF(OR(I31="",I31&lt;23,O31=""),"",O31+660)</f>
        <v/>
      </c>
      <c r="AN31" s="19" t="str">
        <f aca="false">IF(OR(I31="",I31&lt;24,O31=""),"",O31+690)</f>
        <v/>
      </c>
      <c r="AO31" s="15" t="str">
        <f aca="false">IF(J31="","",COUNTIF(Q31:AN31,TRUE())*J31)</f>
        <v/>
      </c>
      <c r="AP31" s="15" t="str">
        <f aca="false">IF(K31="","",K31-AO31)</f>
        <v/>
      </c>
      <c r="AQ31" s="15" t="str">
        <f aca="false">IF(K31="","",K31-F31-IF(N31="",0,N31))</f>
        <v/>
      </c>
    </row>
    <row r="32" customFormat="false" ht="15" hidden="false" customHeight="false" outlineLevel="0" collapsed="false">
      <c r="A32" s="4"/>
      <c r="B32" s="4"/>
      <c r="C32" s="4"/>
      <c r="D32" s="5"/>
      <c r="E32" s="5"/>
      <c r="F32" s="6"/>
      <c r="G32" s="4"/>
      <c r="H32" s="4"/>
      <c r="I32" s="4"/>
      <c r="J32" s="6"/>
      <c r="K32" s="7" t="str">
        <f aca="false">IF(OR(I32="",J32=""),"",I32*J32)</f>
        <v/>
      </c>
      <c r="L32" s="4"/>
      <c r="M32" s="8"/>
      <c r="N32" s="7" t="str">
        <f aca="false">IF(OR(L32="",M32="",K32=""),"",IF(L32="GANANCIA",(K32-F32)*M32,IF(L32="BRUTO",K32*M32,"")))</f>
        <v/>
      </c>
      <c r="O32" s="9" t="str">
        <f aca="false">IF(D32="","",D32+30)</f>
        <v/>
      </c>
      <c r="P32" s="10" t="str">
        <f aca="false">IF(I32="","",IF(COUNTIF(Q32:AN32,TRUE())&gt;=I32,"PAGADO",IF(COUNTIF(Q32:AN32,TRUE())&gt;0,"PARCIAL","VIGENTE")))</f>
        <v/>
      </c>
      <c r="Q32" s="11" t="str">
        <f aca="false">IF(OR(I32="",I32&lt;1,O32=""),"",O32+0)</f>
        <v/>
      </c>
      <c r="R32" s="11" t="str">
        <f aca="false">IF(OR(I32="",I32&lt;2,O32=""),"",O32+30)</f>
        <v/>
      </c>
      <c r="S32" s="11" t="str">
        <f aca="false">IF(OR(I32="",I32&lt;3,O32=""),"",O32+60)</f>
        <v/>
      </c>
      <c r="T32" s="11" t="str">
        <f aca="false">IF(OR(I32="",I32&lt;4,O32=""),"",O32+90)</f>
        <v/>
      </c>
      <c r="U32" s="11" t="str">
        <f aca="false">IF(OR(I32="",I32&lt;5,O32=""),"",O32+120)</f>
        <v/>
      </c>
      <c r="V32" s="11" t="str">
        <f aca="false">IF(OR(I32="",I32&lt;6,O32=""),"",O32+150)</f>
        <v/>
      </c>
      <c r="W32" s="11" t="str">
        <f aca="false">IF(OR(I32="",I32&lt;7,O32=""),"",O32+180)</f>
        <v/>
      </c>
      <c r="X32" s="11" t="str">
        <f aca="false">IF(OR(I32="",I32&lt;8,O32=""),"",O32+210)</f>
        <v/>
      </c>
      <c r="Y32" s="11" t="str">
        <f aca="false">IF(OR(I32="",I32&lt;9,O32=""),"",O32+240)</f>
        <v/>
      </c>
      <c r="Z32" s="11" t="str">
        <f aca="false">IF(OR(I32="",I32&lt;10,O32=""),"",O32+270)</f>
        <v/>
      </c>
      <c r="AA32" s="11" t="str">
        <f aca="false">IF(OR(I32="",I32&lt;11,O32=""),"",O32+300)</f>
        <v/>
      </c>
      <c r="AB32" s="11" t="str">
        <f aca="false">IF(OR(I32="",I32&lt;12,O32=""),"",O32+330)</f>
        <v/>
      </c>
      <c r="AC32" s="11" t="str">
        <f aca="false">IF(OR(I32="",I32&lt;13,O32=""),"",O32+360)</f>
        <v/>
      </c>
      <c r="AD32" s="11" t="str">
        <f aca="false">IF(OR(I32="",I32&lt;14,O32=""),"",O32+390)</f>
        <v/>
      </c>
      <c r="AE32" s="11" t="str">
        <f aca="false">IF(OR(I32="",I32&lt;15,O32=""),"",O32+420)</f>
        <v/>
      </c>
      <c r="AF32" s="11" t="str">
        <f aca="false">IF(OR(I32="",I32&lt;16,O32=""),"",O32+450)</f>
        <v/>
      </c>
      <c r="AG32" s="11" t="str">
        <f aca="false">IF(OR(I32="",I32&lt;17,O32=""),"",O32+480)</f>
        <v/>
      </c>
      <c r="AH32" s="11" t="str">
        <f aca="false">IF(OR(I32="",I32&lt;18,O32=""),"",O32+510)</f>
        <v/>
      </c>
      <c r="AI32" s="11" t="str">
        <f aca="false">IF(OR(I32="",I32&lt;19,O32=""),"",O32+540)</f>
        <v/>
      </c>
      <c r="AJ32" s="11" t="str">
        <f aca="false">IF(OR(I32="",I32&lt;20,O32=""),"",O32+570)</f>
        <v/>
      </c>
      <c r="AK32" s="11" t="str">
        <f aca="false">IF(OR(I32="",I32&lt;21,O32=""),"",O32+600)</f>
        <v/>
      </c>
      <c r="AL32" s="11" t="str">
        <f aca="false">IF(OR(I32="",I32&lt;22,O32=""),"",O32+630)</f>
        <v/>
      </c>
      <c r="AM32" s="11" t="str">
        <f aca="false">IF(OR(I32="",I32&lt;23,O32=""),"",O32+660)</f>
        <v/>
      </c>
      <c r="AN32" s="11" t="str">
        <f aca="false">IF(OR(I32="",I32&lt;24,O32=""),"",O32+690)</f>
        <v/>
      </c>
      <c r="AO32" s="7" t="str">
        <f aca="false">IF(J32="","",COUNTIF(Q32:AN32,TRUE())*J32)</f>
        <v/>
      </c>
      <c r="AP32" s="7" t="str">
        <f aca="false">IF(K32="","",K32-AO32)</f>
        <v/>
      </c>
      <c r="AQ32" s="7" t="str">
        <f aca="false">IF(K32="","",K32-F32-IF(N32="",0,N32))</f>
        <v/>
      </c>
    </row>
    <row r="33" customFormat="false" ht="15" hidden="false" customHeight="false" outlineLevel="0" collapsed="false">
      <c r="A33" s="12"/>
      <c r="B33" s="12"/>
      <c r="C33" s="12"/>
      <c r="D33" s="13"/>
      <c r="E33" s="13"/>
      <c r="F33" s="14"/>
      <c r="G33" s="12"/>
      <c r="H33" s="12"/>
      <c r="I33" s="12"/>
      <c r="J33" s="14"/>
      <c r="K33" s="15" t="str">
        <f aca="false">IF(OR(I33="",J33=""),"",I33*J33)</f>
        <v/>
      </c>
      <c r="L33" s="12"/>
      <c r="M33" s="16"/>
      <c r="N33" s="15" t="str">
        <f aca="false">IF(OR(L33="",M33="",K33=""),"",IF(L33="GANANCIA",(K33-F33)*M33,IF(L33="BRUTO",K33*M33,"")))</f>
        <v/>
      </c>
      <c r="O33" s="17" t="str">
        <f aca="false">IF(D33="","",D33+30)</f>
        <v/>
      </c>
      <c r="P33" s="18" t="str">
        <f aca="false">IF(I33="","",IF(COUNTIF(Q33:AN33,TRUE())&gt;=I33,"PAGADO",IF(COUNTIF(Q33:AN33,TRUE())&gt;0,"PARCIAL","VIGENTE")))</f>
        <v/>
      </c>
      <c r="Q33" s="19" t="str">
        <f aca="false">IF(OR(I33="",I33&lt;1,O33=""),"",O33+0)</f>
        <v/>
      </c>
      <c r="R33" s="19" t="str">
        <f aca="false">IF(OR(I33="",I33&lt;2,O33=""),"",O33+30)</f>
        <v/>
      </c>
      <c r="S33" s="19" t="str">
        <f aca="false">IF(OR(I33="",I33&lt;3,O33=""),"",O33+60)</f>
        <v/>
      </c>
      <c r="T33" s="19" t="str">
        <f aca="false">IF(OR(I33="",I33&lt;4,O33=""),"",O33+90)</f>
        <v/>
      </c>
      <c r="U33" s="19" t="str">
        <f aca="false">IF(OR(I33="",I33&lt;5,O33=""),"",O33+120)</f>
        <v/>
      </c>
      <c r="V33" s="19" t="str">
        <f aca="false">IF(OR(I33="",I33&lt;6,O33=""),"",O33+150)</f>
        <v/>
      </c>
      <c r="W33" s="19" t="str">
        <f aca="false">IF(OR(I33="",I33&lt;7,O33=""),"",O33+180)</f>
        <v/>
      </c>
      <c r="X33" s="19" t="str">
        <f aca="false">IF(OR(I33="",I33&lt;8,O33=""),"",O33+210)</f>
        <v/>
      </c>
      <c r="Y33" s="19" t="str">
        <f aca="false">IF(OR(I33="",I33&lt;9,O33=""),"",O33+240)</f>
        <v/>
      </c>
      <c r="Z33" s="19" t="str">
        <f aca="false">IF(OR(I33="",I33&lt;10,O33=""),"",O33+270)</f>
        <v/>
      </c>
      <c r="AA33" s="19" t="str">
        <f aca="false">IF(OR(I33="",I33&lt;11,O33=""),"",O33+300)</f>
        <v/>
      </c>
      <c r="AB33" s="19" t="str">
        <f aca="false">IF(OR(I33="",I33&lt;12,O33=""),"",O33+330)</f>
        <v/>
      </c>
      <c r="AC33" s="19" t="str">
        <f aca="false">IF(OR(I33="",I33&lt;13,O33=""),"",O33+360)</f>
        <v/>
      </c>
      <c r="AD33" s="19" t="str">
        <f aca="false">IF(OR(I33="",I33&lt;14,O33=""),"",O33+390)</f>
        <v/>
      </c>
      <c r="AE33" s="19" t="str">
        <f aca="false">IF(OR(I33="",I33&lt;15,O33=""),"",O33+420)</f>
        <v/>
      </c>
      <c r="AF33" s="19" t="str">
        <f aca="false">IF(OR(I33="",I33&lt;16,O33=""),"",O33+450)</f>
        <v/>
      </c>
      <c r="AG33" s="19" t="str">
        <f aca="false">IF(OR(I33="",I33&lt;17,O33=""),"",O33+480)</f>
        <v/>
      </c>
      <c r="AH33" s="19" t="str">
        <f aca="false">IF(OR(I33="",I33&lt;18,O33=""),"",O33+510)</f>
        <v/>
      </c>
      <c r="AI33" s="19" t="str">
        <f aca="false">IF(OR(I33="",I33&lt;19,O33=""),"",O33+540)</f>
        <v/>
      </c>
      <c r="AJ33" s="19" t="str">
        <f aca="false">IF(OR(I33="",I33&lt;20,O33=""),"",O33+570)</f>
        <v/>
      </c>
      <c r="AK33" s="19" t="str">
        <f aca="false">IF(OR(I33="",I33&lt;21,O33=""),"",O33+600)</f>
        <v/>
      </c>
      <c r="AL33" s="19" t="str">
        <f aca="false">IF(OR(I33="",I33&lt;22,O33=""),"",O33+630)</f>
        <v/>
      </c>
      <c r="AM33" s="19" t="str">
        <f aca="false">IF(OR(I33="",I33&lt;23,O33=""),"",O33+660)</f>
        <v/>
      </c>
      <c r="AN33" s="19" t="str">
        <f aca="false">IF(OR(I33="",I33&lt;24,O33=""),"",O33+690)</f>
        <v/>
      </c>
      <c r="AO33" s="15" t="str">
        <f aca="false">IF(J33="","",COUNTIF(Q33:AN33,TRUE())*J33)</f>
        <v/>
      </c>
      <c r="AP33" s="15" t="str">
        <f aca="false">IF(K33="","",K33-AO33)</f>
        <v/>
      </c>
      <c r="AQ33" s="15" t="str">
        <f aca="false">IF(K33="","",K33-F33-IF(N33="",0,N33))</f>
        <v/>
      </c>
    </row>
    <row r="34" customFormat="false" ht="15" hidden="false" customHeight="false" outlineLevel="0" collapsed="false">
      <c r="A34" s="4"/>
      <c r="B34" s="4"/>
      <c r="C34" s="4"/>
      <c r="D34" s="5"/>
      <c r="E34" s="5"/>
      <c r="F34" s="6"/>
      <c r="G34" s="4"/>
      <c r="H34" s="4"/>
      <c r="I34" s="4"/>
      <c r="J34" s="6"/>
      <c r="K34" s="7" t="str">
        <f aca="false">IF(OR(I34="",J34=""),"",I34*J34)</f>
        <v/>
      </c>
      <c r="L34" s="4"/>
      <c r="M34" s="8"/>
      <c r="N34" s="7" t="str">
        <f aca="false">IF(OR(L34="",M34="",K34=""),"",IF(L34="GANANCIA",(K34-F34)*M34,IF(L34="BRUTO",K34*M34,"")))</f>
        <v/>
      </c>
      <c r="O34" s="9" t="str">
        <f aca="false">IF(D34="","",D34+30)</f>
        <v/>
      </c>
      <c r="P34" s="10" t="str">
        <f aca="false">IF(I34="","",IF(COUNTIF(Q34:AN34,TRUE())&gt;=I34,"PAGADO",IF(COUNTIF(Q34:AN34,TRUE())&gt;0,"PARCIAL","VIGENTE")))</f>
        <v/>
      </c>
      <c r="Q34" s="11" t="str">
        <f aca="false">IF(OR(I34="",I34&lt;1,O34=""),"",O34+0)</f>
        <v/>
      </c>
      <c r="R34" s="11" t="str">
        <f aca="false">IF(OR(I34="",I34&lt;2,O34=""),"",O34+30)</f>
        <v/>
      </c>
      <c r="S34" s="11" t="str">
        <f aca="false">IF(OR(I34="",I34&lt;3,O34=""),"",O34+60)</f>
        <v/>
      </c>
      <c r="T34" s="11" t="str">
        <f aca="false">IF(OR(I34="",I34&lt;4,O34=""),"",O34+90)</f>
        <v/>
      </c>
      <c r="U34" s="11" t="str">
        <f aca="false">IF(OR(I34="",I34&lt;5,O34=""),"",O34+120)</f>
        <v/>
      </c>
      <c r="V34" s="11" t="str">
        <f aca="false">IF(OR(I34="",I34&lt;6,O34=""),"",O34+150)</f>
        <v/>
      </c>
      <c r="W34" s="11" t="str">
        <f aca="false">IF(OR(I34="",I34&lt;7,O34=""),"",O34+180)</f>
        <v/>
      </c>
      <c r="X34" s="11" t="str">
        <f aca="false">IF(OR(I34="",I34&lt;8,O34=""),"",O34+210)</f>
        <v/>
      </c>
      <c r="Y34" s="11" t="str">
        <f aca="false">IF(OR(I34="",I34&lt;9,O34=""),"",O34+240)</f>
        <v/>
      </c>
      <c r="Z34" s="11" t="str">
        <f aca="false">IF(OR(I34="",I34&lt;10,O34=""),"",O34+270)</f>
        <v/>
      </c>
      <c r="AA34" s="11" t="str">
        <f aca="false">IF(OR(I34="",I34&lt;11,O34=""),"",O34+300)</f>
        <v/>
      </c>
      <c r="AB34" s="11" t="str">
        <f aca="false">IF(OR(I34="",I34&lt;12,O34=""),"",O34+330)</f>
        <v/>
      </c>
      <c r="AC34" s="11" t="str">
        <f aca="false">IF(OR(I34="",I34&lt;13,O34=""),"",O34+360)</f>
        <v/>
      </c>
      <c r="AD34" s="11" t="str">
        <f aca="false">IF(OR(I34="",I34&lt;14,O34=""),"",O34+390)</f>
        <v/>
      </c>
      <c r="AE34" s="11" t="str">
        <f aca="false">IF(OR(I34="",I34&lt;15,O34=""),"",O34+420)</f>
        <v/>
      </c>
      <c r="AF34" s="11" t="str">
        <f aca="false">IF(OR(I34="",I34&lt;16,O34=""),"",O34+450)</f>
        <v/>
      </c>
      <c r="AG34" s="11" t="str">
        <f aca="false">IF(OR(I34="",I34&lt;17,O34=""),"",O34+480)</f>
        <v/>
      </c>
      <c r="AH34" s="11" t="str">
        <f aca="false">IF(OR(I34="",I34&lt;18,O34=""),"",O34+510)</f>
        <v/>
      </c>
      <c r="AI34" s="11" t="str">
        <f aca="false">IF(OR(I34="",I34&lt;19,O34=""),"",O34+540)</f>
        <v/>
      </c>
      <c r="AJ34" s="11" t="str">
        <f aca="false">IF(OR(I34="",I34&lt;20,O34=""),"",O34+570)</f>
        <v/>
      </c>
      <c r="AK34" s="11" t="str">
        <f aca="false">IF(OR(I34="",I34&lt;21,O34=""),"",O34+600)</f>
        <v/>
      </c>
      <c r="AL34" s="11" t="str">
        <f aca="false">IF(OR(I34="",I34&lt;22,O34=""),"",O34+630)</f>
        <v/>
      </c>
      <c r="AM34" s="11" t="str">
        <f aca="false">IF(OR(I34="",I34&lt;23,O34=""),"",O34+660)</f>
        <v/>
      </c>
      <c r="AN34" s="11" t="str">
        <f aca="false">IF(OR(I34="",I34&lt;24,O34=""),"",O34+690)</f>
        <v/>
      </c>
      <c r="AO34" s="7" t="str">
        <f aca="false">IF(J34="","",COUNTIF(Q34:AN34,TRUE())*J34)</f>
        <v/>
      </c>
      <c r="AP34" s="7" t="str">
        <f aca="false">IF(K34="","",K34-AO34)</f>
        <v/>
      </c>
      <c r="AQ34" s="7" t="str">
        <f aca="false">IF(K34="","",K34-F34-IF(N34="",0,N34))</f>
        <v/>
      </c>
    </row>
    <row r="35" customFormat="false" ht="15" hidden="false" customHeight="false" outlineLevel="0" collapsed="false">
      <c r="A35" s="12"/>
      <c r="B35" s="12"/>
      <c r="C35" s="12"/>
      <c r="D35" s="13"/>
      <c r="E35" s="13"/>
      <c r="F35" s="14"/>
      <c r="G35" s="12"/>
      <c r="H35" s="12"/>
      <c r="I35" s="12"/>
      <c r="J35" s="14"/>
      <c r="K35" s="15" t="str">
        <f aca="false">IF(OR(I35="",J35=""),"",I35*J35)</f>
        <v/>
      </c>
      <c r="L35" s="12"/>
      <c r="M35" s="16"/>
      <c r="N35" s="15" t="str">
        <f aca="false">IF(OR(L35="",M35="",K35=""),"",IF(L35="GANANCIA",(K35-F35)*M35,IF(L35="BRUTO",K35*M35,"")))</f>
        <v/>
      </c>
      <c r="O35" s="17" t="str">
        <f aca="false">IF(D35="","",D35+30)</f>
        <v/>
      </c>
      <c r="P35" s="18" t="str">
        <f aca="false">IF(I35="","",IF(COUNTIF(Q35:AN35,TRUE())&gt;=I35,"PAGADO",IF(COUNTIF(Q35:AN35,TRUE())&gt;0,"PARCIAL","VIGENTE")))</f>
        <v/>
      </c>
      <c r="Q35" s="19" t="str">
        <f aca="false">IF(OR(I35="",I35&lt;1,O35=""),"",O35+0)</f>
        <v/>
      </c>
      <c r="R35" s="19" t="str">
        <f aca="false">IF(OR(I35="",I35&lt;2,O35=""),"",O35+30)</f>
        <v/>
      </c>
      <c r="S35" s="19" t="str">
        <f aca="false">IF(OR(I35="",I35&lt;3,O35=""),"",O35+60)</f>
        <v/>
      </c>
      <c r="T35" s="19" t="str">
        <f aca="false">IF(OR(I35="",I35&lt;4,O35=""),"",O35+90)</f>
        <v/>
      </c>
      <c r="U35" s="19" t="str">
        <f aca="false">IF(OR(I35="",I35&lt;5,O35=""),"",O35+120)</f>
        <v/>
      </c>
      <c r="V35" s="19" t="str">
        <f aca="false">IF(OR(I35="",I35&lt;6,O35=""),"",O35+150)</f>
        <v/>
      </c>
      <c r="W35" s="19" t="str">
        <f aca="false">IF(OR(I35="",I35&lt;7,O35=""),"",O35+180)</f>
        <v/>
      </c>
      <c r="X35" s="19" t="str">
        <f aca="false">IF(OR(I35="",I35&lt;8,O35=""),"",O35+210)</f>
        <v/>
      </c>
      <c r="Y35" s="19" t="str">
        <f aca="false">IF(OR(I35="",I35&lt;9,O35=""),"",O35+240)</f>
        <v/>
      </c>
      <c r="Z35" s="19" t="str">
        <f aca="false">IF(OR(I35="",I35&lt;10,O35=""),"",O35+270)</f>
        <v/>
      </c>
      <c r="AA35" s="19" t="str">
        <f aca="false">IF(OR(I35="",I35&lt;11,O35=""),"",O35+300)</f>
        <v/>
      </c>
      <c r="AB35" s="19" t="str">
        <f aca="false">IF(OR(I35="",I35&lt;12,O35=""),"",O35+330)</f>
        <v/>
      </c>
      <c r="AC35" s="19" t="str">
        <f aca="false">IF(OR(I35="",I35&lt;13,O35=""),"",O35+360)</f>
        <v/>
      </c>
      <c r="AD35" s="19" t="str">
        <f aca="false">IF(OR(I35="",I35&lt;14,O35=""),"",O35+390)</f>
        <v/>
      </c>
      <c r="AE35" s="19" t="str">
        <f aca="false">IF(OR(I35="",I35&lt;15,O35=""),"",O35+420)</f>
        <v/>
      </c>
      <c r="AF35" s="19" t="str">
        <f aca="false">IF(OR(I35="",I35&lt;16,O35=""),"",O35+450)</f>
        <v/>
      </c>
      <c r="AG35" s="19" t="str">
        <f aca="false">IF(OR(I35="",I35&lt;17,O35=""),"",O35+480)</f>
        <v/>
      </c>
      <c r="AH35" s="19" t="str">
        <f aca="false">IF(OR(I35="",I35&lt;18,O35=""),"",O35+510)</f>
        <v/>
      </c>
      <c r="AI35" s="19" t="str">
        <f aca="false">IF(OR(I35="",I35&lt;19,O35=""),"",O35+540)</f>
        <v/>
      </c>
      <c r="AJ35" s="19" t="str">
        <f aca="false">IF(OR(I35="",I35&lt;20,O35=""),"",O35+570)</f>
        <v/>
      </c>
      <c r="AK35" s="19" t="str">
        <f aca="false">IF(OR(I35="",I35&lt;21,O35=""),"",O35+600)</f>
        <v/>
      </c>
      <c r="AL35" s="19" t="str">
        <f aca="false">IF(OR(I35="",I35&lt;22,O35=""),"",O35+630)</f>
        <v/>
      </c>
      <c r="AM35" s="19" t="str">
        <f aca="false">IF(OR(I35="",I35&lt;23,O35=""),"",O35+660)</f>
        <v/>
      </c>
      <c r="AN35" s="19" t="str">
        <f aca="false">IF(OR(I35="",I35&lt;24,O35=""),"",O35+690)</f>
        <v/>
      </c>
      <c r="AO35" s="15" t="str">
        <f aca="false">IF(J35="","",COUNTIF(Q35:AN35,TRUE())*J35)</f>
        <v/>
      </c>
      <c r="AP35" s="15" t="str">
        <f aca="false">IF(K35="","",K35-AO35)</f>
        <v/>
      </c>
      <c r="AQ35" s="15" t="str">
        <f aca="false">IF(K35="","",K35-F35-IF(N35="",0,N35))</f>
        <v/>
      </c>
    </row>
    <row r="36" customFormat="false" ht="15" hidden="false" customHeight="false" outlineLevel="0" collapsed="false">
      <c r="A36" s="4"/>
      <c r="B36" s="4"/>
      <c r="C36" s="4"/>
      <c r="D36" s="5"/>
      <c r="E36" s="5"/>
      <c r="F36" s="6"/>
      <c r="G36" s="4"/>
      <c r="H36" s="4"/>
      <c r="I36" s="4"/>
      <c r="J36" s="6"/>
      <c r="K36" s="7" t="str">
        <f aca="false">IF(OR(I36="",J36=""),"",I36*J36)</f>
        <v/>
      </c>
      <c r="L36" s="4"/>
      <c r="M36" s="8"/>
      <c r="N36" s="7" t="str">
        <f aca="false">IF(OR(L36="",M36="",K36=""),"",IF(L36="GANANCIA",(K36-F36)*M36,IF(L36="BRUTO",K36*M36,"")))</f>
        <v/>
      </c>
      <c r="O36" s="9" t="str">
        <f aca="false">IF(D36="","",D36+30)</f>
        <v/>
      </c>
      <c r="P36" s="10" t="str">
        <f aca="false">IF(I36="","",IF(COUNTIF(Q36:AN36,TRUE())&gt;=I36,"PAGADO",IF(COUNTIF(Q36:AN36,TRUE())&gt;0,"PARCIAL","VIGENTE")))</f>
        <v/>
      </c>
      <c r="Q36" s="11" t="str">
        <f aca="false">IF(OR(I36="",I36&lt;1,O36=""),"",O36+0)</f>
        <v/>
      </c>
      <c r="R36" s="11" t="str">
        <f aca="false">IF(OR(I36="",I36&lt;2,O36=""),"",O36+30)</f>
        <v/>
      </c>
      <c r="S36" s="11" t="str">
        <f aca="false">IF(OR(I36="",I36&lt;3,O36=""),"",O36+60)</f>
        <v/>
      </c>
      <c r="T36" s="11" t="str">
        <f aca="false">IF(OR(I36="",I36&lt;4,O36=""),"",O36+90)</f>
        <v/>
      </c>
      <c r="U36" s="11" t="str">
        <f aca="false">IF(OR(I36="",I36&lt;5,O36=""),"",O36+120)</f>
        <v/>
      </c>
      <c r="V36" s="11" t="str">
        <f aca="false">IF(OR(I36="",I36&lt;6,O36=""),"",O36+150)</f>
        <v/>
      </c>
      <c r="W36" s="11" t="str">
        <f aca="false">IF(OR(I36="",I36&lt;7,O36=""),"",O36+180)</f>
        <v/>
      </c>
      <c r="X36" s="11" t="str">
        <f aca="false">IF(OR(I36="",I36&lt;8,O36=""),"",O36+210)</f>
        <v/>
      </c>
      <c r="Y36" s="11" t="str">
        <f aca="false">IF(OR(I36="",I36&lt;9,O36=""),"",O36+240)</f>
        <v/>
      </c>
      <c r="Z36" s="11" t="str">
        <f aca="false">IF(OR(I36="",I36&lt;10,O36=""),"",O36+270)</f>
        <v/>
      </c>
      <c r="AA36" s="11" t="str">
        <f aca="false">IF(OR(I36="",I36&lt;11,O36=""),"",O36+300)</f>
        <v/>
      </c>
      <c r="AB36" s="11" t="str">
        <f aca="false">IF(OR(I36="",I36&lt;12,O36=""),"",O36+330)</f>
        <v/>
      </c>
      <c r="AC36" s="11" t="str">
        <f aca="false">IF(OR(I36="",I36&lt;13,O36=""),"",O36+360)</f>
        <v/>
      </c>
      <c r="AD36" s="11" t="str">
        <f aca="false">IF(OR(I36="",I36&lt;14,O36=""),"",O36+390)</f>
        <v/>
      </c>
      <c r="AE36" s="11" t="str">
        <f aca="false">IF(OR(I36="",I36&lt;15,O36=""),"",O36+420)</f>
        <v/>
      </c>
      <c r="AF36" s="11" t="str">
        <f aca="false">IF(OR(I36="",I36&lt;16,O36=""),"",O36+450)</f>
        <v/>
      </c>
      <c r="AG36" s="11" t="str">
        <f aca="false">IF(OR(I36="",I36&lt;17,O36=""),"",O36+480)</f>
        <v/>
      </c>
      <c r="AH36" s="11" t="str">
        <f aca="false">IF(OR(I36="",I36&lt;18,O36=""),"",O36+510)</f>
        <v/>
      </c>
      <c r="AI36" s="11" t="str">
        <f aca="false">IF(OR(I36="",I36&lt;19,O36=""),"",O36+540)</f>
        <v/>
      </c>
      <c r="AJ36" s="11" t="str">
        <f aca="false">IF(OR(I36="",I36&lt;20,O36=""),"",O36+570)</f>
        <v/>
      </c>
      <c r="AK36" s="11" t="str">
        <f aca="false">IF(OR(I36="",I36&lt;21,O36=""),"",O36+600)</f>
        <v/>
      </c>
      <c r="AL36" s="11" t="str">
        <f aca="false">IF(OR(I36="",I36&lt;22,O36=""),"",O36+630)</f>
        <v/>
      </c>
      <c r="AM36" s="11" t="str">
        <f aca="false">IF(OR(I36="",I36&lt;23,O36=""),"",O36+660)</f>
        <v/>
      </c>
      <c r="AN36" s="11" t="str">
        <f aca="false">IF(OR(I36="",I36&lt;24,O36=""),"",O36+690)</f>
        <v/>
      </c>
      <c r="AO36" s="7" t="str">
        <f aca="false">IF(J36="","",COUNTIF(Q36:AN36,TRUE())*J36)</f>
        <v/>
      </c>
      <c r="AP36" s="7" t="str">
        <f aca="false">IF(K36="","",K36-AO36)</f>
        <v/>
      </c>
      <c r="AQ36" s="7" t="str">
        <f aca="false">IF(K36="","",K36-F36-IF(N36="",0,N36))</f>
        <v/>
      </c>
    </row>
    <row r="37" customFormat="false" ht="15" hidden="false" customHeight="false" outlineLevel="0" collapsed="false">
      <c r="A37" s="12"/>
      <c r="B37" s="12"/>
      <c r="C37" s="12"/>
      <c r="D37" s="13"/>
      <c r="E37" s="13"/>
      <c r="F37" s="14"/>
      <c r="G37" s="12"/>
      <c r="H37" s="12"/>
      <c r="I37" s="12"/>
      <c r="J37" s="14"/>
      <c r="K37" s="15" t="str">
        <f aca="false">IF(OR(I37="",J37=""),"",I37*J37)</f>
        <v/>
      </c>
      <c r="L37" s="12"/>
      <c r="M37" s="16"/>
      <c r="N37" s="15" t="str">
        <f aca="false">IF(OR(L37="",M37="",K37=""),"",IF(L37="GANANCIA",(K37-F37)*M37,IF(L37="BRUTO",K37*M37,"")))</f>
        <v/>
      </c>
      <c r="O37" s="17" t="str">
        <f aca="false">IF(D37="","",D37+30)</f>
        <v/>
      </c>
      <c r="P37" s="18" t="str">
        <f aca="false">IF(I37="","",IF(COUNTIF(Q37:AN37,TRUE())&gt;=I37,"PAGADO",IF(COUNTIF(Q37:AN37,TRUE())&gt;0,"PARCIAL","VIGENTE")))</f>
        <v/>
      </c>
      <c r="Q37" s="19" t="str">
        <f aca="false">IF(OR(I37="",I37&lt;1,O37=""),"",O37+0)</f>
        <v/>
      </c>
      <c r="R37" s="19" t="str">
        <f aca="false">IF(OR(I37="",I37&lt;2,O37=""),"",O37+30)</f>
        <v/>
      </c>
      <c r="S37" s="19" t="str">
        <f aca="false">IF(OR(I37="",I37&lt;3,O37=""),"",O37+60)</f>
        <v/>
      </c>
      <c r="T37" s="19" t="str">
        <f aca="false">IF(OR(I37="",I37&lt;4,O37=""),"",O37+90)</f>
        <v/>
      </c>
      <c r="U37" s="19" t="str">
        <f aca="false">IF(OR(I37="",I37&lt;5,O37=""),"",O37+120)</f>
        <v/>
      </c>
      <c r="V37" s="19" t="str">
        <f aca="false">IF(OR(I37="",I37&lt;6,O37=""),"",O37+150)</f>
        <v/>
      </c>
      <c r="W37" s="19" t="str">
        <f aca="false">IF(OR(I37="",I37&lt;7,O37=""),"",O37+180)</f>
        <v/>
      </c>
      <c r="X37" s="19" t="str">
        <f aca="false">IF(OR(I37="",I37&lt;8,O37=""),"",O37+210)</f>
        <v/>
      </c>
      <c r="Y37" s="19" t="str">
        <f aca="false">IF(OR(I37="",I37&lt;9,O37=""),"",O37+240)</f>
        <v/>
      </c>
      <c r="Z37" s="19" t="str">
        <f aca="false">IF(OR(I37="",I37&lt;10,O37=""),"",O37+270)</f>
        <v/>
      </c>
      <c r="AA37" s="19" t="str">
        <f aca="false">IF(OR(I37="",I37&lt;11,O37=""),"",O37+300)</f>
        <v/>
      </c>
      <c r="AB37" s="19" t="str">
        <f aca="false">IF(OR(I37="",I37&lt;12,O37=""),"",O37+330)</f>
        <v/>
      </c>
      <c r="AC37" s="19" t="str">
        <f aca="false">IF(OR(I37="",I37&lt;13,O37=""),"",O37+360)</f>
        <v/>
      </c>
      <c r="AD37" s="19" t="str">
        <f aca="false">IF(OR(I37="",I37&lt;14,O37=""),"",O37+390)</f>
        <v/>
      </c>
      <c r="AE37" s="19" t="str">
        <f aca="false">IF(OR(I37="",I37&lt;15,O37=""),"",O37+420)</f>
        <v/>
      </c>
      <c r="AF37" s="19" t="str">
        <f aca="false">IF(OR(I37="",I37&lt;16,O37=""),"",O37+450)</f>
        <v/>
      </c>
      <c r="AG37" s="19" t="str">
        <f aca="false">IF(OR(I37="",I37&lt;17,O37=""),"",O37+480)</f>
        <v/>
      </c>
      <c r="AH37" s="19" t="str">
        <f aca="false">IF(OR(I37="",I37&lt;18,O37=""),"",O37+510)</f>
        <v/>
      </c>
      <c r="AI37" s="19" t="str">
        <f aca="false">IF(OR(I37="",I37&lt;19,O37=""),"",O37+540)</f>
        <v/>
      </c>
      <c r="AJ37" s="19" t="str">
        <f aca="false">IF(OR(I37="",I37&lt;20,O37=""),"",O37+570)</f>
        <v/>
      </c>
      <c r="AK37" s="19" t="str">
        <f aca="false">IF(OR(I37="",I37&lt;21,O37=""),"",O37+600)</f>
        <v/>
      </c>
      <c r="AL37" s="19" t="str">
        <f aca="false">IF(OR(I37="",I37&lt;22,O37=""),"",O37+630)</f>
        <v/>
      </c>
      <c r="AM37" s="19" t="str">
        <f aca="false">IF(OR(I37="",I37&lt;23,O37=""),"",O37+660)</f>
        <v/>
      </c>
      <c r="AN37" s="19" t="str">
        <f aca="false">IF(OR(I37="",I37&lt;24,O37=""),"",O37+690)</f>
        <v/>
      </c>
      <c r="AO37" s="15" t="str">
        <f aca="false">IF(J37="","",COUNTIF(Q37:AN37,TRUE())*J37)</f>
        <v/>
      </c>
      <c r="AP37" s="15" t="str">
        <f aca="false">IF(K37="","",K37-AO37)</f>
        <v/>
      </c>
      <c r="AQ37" s="15" t="str">
        <f aca="false">IF(K37="","",K37-F37-IF(N37="",0,N37))</f>
        <v/>
      </c>
    </row>
    <row r="38" customFormat="false" ht="15" hidden="false" customHeight="false" outlineLevel="0" collapsed="false">
      <c r="A38" s="4"/>
      <c r="B38" s="4"/>
      <c r="C38" s="4"/>
      <c r="D38" s="5"/>
      <c r="E38" s="5"/>
      <c r="F38" s="6"/>
      <c r="G38" s="4"/>
      <c r="H38" s="4"/>
      <c r="I38" s="4"/>
      <c r="J38" s="6"/>
      <c r="K38" s="7" t="str">
        <f aca="false">IF(OR(I38="",J38=""),"",I38*J38)</f>
        <v/>
      </c>
      <c r="L38" s="4"/>
      <c r="M38" s="8"/>
      <c r="N38" s="7" t="str">
        <f aca="false">IF(OR(L38="",M38="",K38=""),"",IF(L38="GANANCIA",(K38-F38)*M38,IF(L38="BRUTO",K38*M38,"")))</f>
        <v/>
      </c>
      <c r="O38" s="9" t="str">
        <f aca="false">IF(D38="","",D38+30)</f>
        <v/>
      </c>
      <c r="P38" s="10" t="str">
        <f aca="false">IF(I38="","",IF(COUNTIF(Q38:AN38,TRUE())&gt;=I38,"PAGADO",IF(COUNTIF(Q38:AN38,TRUE())&gt;0,"PARCIAL","VIGENTE")))</f>
        <v/>
      </c>
      <c r="Q38" s="11" t="str">
        <f aca="false">IF(OR(I38="",I38&lt;1,O38=""),"",O38+0)</f>
        <v/>
      </c>
      <c r="R38" s="11" t="str">
        <f aca="false">IF(OR(I38="",I38&lt;2,O38=""),"",O38+30)</f>
        <v/>
      </c>
      <c r="S38" s="11" t="str">
        <f aca="false">IF(OR(I38="",I38&lt;3,O38=""),"",O38+60)</f>
        <v/>
      </c>
      <c r="T38" s="11" t="str">
        <f aca="false">IF(OR(I38="",I38&lt;4,O38=""),"",O38+90)</f>
        <v/>
      </c>
      <c r="U38" s="11" t="str">
        <f aca="false">IF(OR(I38="",I38&lt;5,O38=""),"",O38+120)</f>
        <v/>
      </c>
      <c r="V38" s="11" t="str">
        <f aca="false">IF(OR(I38="",I38&lt;6,O38=""),"",O38+150)</f>
        <v/>
      </c>
      <c r="W38" s="11" t="str">
        <f aca="false">IF(OR(I38="",I38&lt;7,O38=""),"",O38+180)</f>
        <v/>
      </c>
      <c r="X38" s="11" t="str">
        <f aca="false">IF(OR(I38="",I38&lt;8,O38=""),"",O38+210)</f>
        <v/>
      </c>
      <c r="Y38" s="11" t="str">
        <f aca="false">IF(OR(I38="",I38&lt;9,O38=""),"",O38+240)</f>
        <v/>
      </c>
      <c r="Z38" s="11" t="str">
        <f aca="false">IF(OR(I38="",I38&lt;10,O38=""),"",O38+270)</f>
        <v/>
      </c>
      <c r="AA38" s="11" t="str">
        <f aca="false">IF(OR(I38="",I38&lt;11,O38=""),"",O38+300)</f>
        <v/>
      </c>
      <c r="AB38" s="11" t="str">
        <f aca="false">IF(OR(I38="",I38&lt;12,O38=""),"",O38+330)</f>
        <v/>
      </c>
      <c r="AC38" s="11" t="str">
        <f aca="false">IF(OR(I38="",I38&lt;13,O38=""),"",O38+360)</f>
        <v/>
      </c>
      <c r="AD38" s="11" t="str">
        <f aca="false">IF(OR(I38="",I38&lt;14,O38=""),"",O38+390)</f>
        <v/>
      </c>
      <c r="AE38" s="11" t="str">
        <f aca="false">IF(OR(I38="",I38&lt;15,O38=""),"",O38+420)</f>
        <v/>
      </c>
      <c r="AF38" s="11" t="str">
        <f aca="false">IF(OR(I38="",I38&lt;16,O38=""),"",O38+450)</f>
        <v/>
      </c>
      <c r="AG38" s="11" t="str">
        <f aca="false">IF(OR(I38="",I38&lt;17,O38=""),"",O38+480)</f>
        <v/>
      </c>
      <c r="AH38" s="11" t="str">
        <f aca="false">IF(OR(I38="",I38&lt;18,O38=""),"",O38+510)</f>
        <v/>
      </c>
      <c r="AI38" s="11" t="str">
        <f aca="false">IF(OR(I38="",I38&lt;19,O38=""),"",O38+540)</f>
        <v/>
      </c>
      <c r="AJ38" s="11" t="str">
        <f aca="false">IF(OR(I38="",I38&lt;20,O38=""),"",O38+570)</f>
        <v/>
      </c>
      <c r="AK38" s="11" t="str">
        <f aca="false">IF(OR(I38="",I38&lt;21,O38=""),"",O38+600)</f>
        <v/>
      </c>
      <c r="AL38" s="11" t="str">
        <f aca="false">IF(OR(I38="",I38&lt;22,O38=""),"",O38+630)</f>
        <v/>
      </c>
      <c r="AM38" s="11" t="str">
        <f aca="false">IF(OR(I38="",I38&lt;23,O38=""),"",O38+660)</f>
        <v/>
      </c>
      <c r="AN38" s="11" t="str">
        <f aca="false">IF(OR(I38="",I38&lt;24,O38=""),"",O38+690)</f>
        <v/>
      </c>
      <c r="AO38" s="7" t="str">
        <f aca="false">IF(J38="","",COUNTIF(Q38:AN38,TRUE())*J38)</f>
        <v/>
      </c>
      <c r="AP38" s="7" t="str">
        <f aca="false">IF(K38="","",K38-AO38)</f>
        <v/>
      </c>
      <c r="AQ38" s="7" t="str">
        <f aca="false">IF(K38="","",K38-F38-IF(N38="",0,N38))</f>
        <v/>
      </c>
    </row>
    <row r="39" customFormat="false" ht="15" hidden="false" customHeight="false" outlineLevel="0" collapsed="false">
      <c r="A39" s="12"/>
      <c r="B39" s="12"/>
      <c r="C39" s="12"/>
      <c r="D39" s="13"/>
      <c r="E39" s="13"/>
      <c r="F39" s="14"/>
      <c r="G39" s="12"/>
      <c r="H39" s="12"/>
      <c r="I39" s="12"/>
      <c r="J39" s="14"/>
      <c r="K39" s="15" t="str">
        <f aca="false">IF(OR(I39="",J39=""),"",I39*J39)</f>
        <v/>
      </c>
      <c r="L39" s="12"/>
      <c r="M39" s="16"/>
      <c r="N39" s="15" t="str">
        <f aca="false">IF(OR(L39="",M39="",K39=""),"",IF(L39="GANANCIA",(K39-F39)*M39,IF(L39="BRUTO",K39*M39,"")))</f>
        <v/>
      </c>
      <c r="O39" s="17" t="str">
        <f aca="false">IF(D39="","",D39+30)</f>
        <v/>
      </c>
      <c r="P39" s="18" t="str">
        <f aca="false">IF(I39="","",IF(COUNTIF(Q39:AN39,TRUE())&gt;=I39,"PAGADO",IF(COUNTIF(Q39:AN39,TRUE())&gt;0,"PARCIAL","VIGENTE")))</f>
        <v/>
      </c>
      <c r="Q39" s="19" t="str">
        <f aca="false">IF(OR(I39="",I39&lt;1,O39=""),"",O39+0)</f>
        <v/>
      </c>
      <c r="R39" s="19" t="str">
        <f aca="false">IF(OR(I39="",I39&lt;2,O39=""),"",O39+30)</f>
        <v/>
      </c>
      <c r="S39" s="19" t="str">
        <f aca="false">IF(OR(I39="",I39&lt;3,O39=""),"",O39+60)</f>
        <v/>
      </c>
      <c r="T39" s="19" t="str">
        <f aca="false">IF(OR(I39="",I39&lt;4,O39=""),"",O39+90)</f>
        <v/>
      </c>
      <c r="U39" s="19" t="str">
        <f aca="false">IF(OR(I39="",I39&lt;5,O39=""),"",O39+120)</f>
        <v/>
      </c>
      <c r="V39" s="19" t="str">
        <f aca="false">IF(OR(I39="",I39&lt;6,O39=""),"",O39+150)</f>
        <v/>
      </c>
      <c r="W39" s="19" t="str">
        <f aca="false">IF(OR(I39="",I39&lt;7,O39=""),"",O39+180)</f>
        <v/>
      </c>
      <c r="X39" s="19" t="str">
        <f aca="false">IF(OR(I39="",I39&lt;8,O39=""),"",O39+210)</f>
        <v/>
      </c>
      <c r="Y39" s="19" t="str">
        <f aca="false">IF(OR(I39="",I39&lt;9,O39=""),"",O39+240)</f>
        <v/>
      </c>
      <c r="Z39" s="19" t="str">
        <f aca="false">IF(OR(I39="",I39&lt;10,O39=""),"",O39+270)</f>
        <v/>
      </c>
      <c r="AA39" s="19" t="str">
        <f aca="false">IF(OR(I39="",I39&lt;11,O39=""),"",O39+300)</f>
        <v/>
      </c>
      <c r="AB39" s="19" t="str">
        <f aca="false">IF(OR(I39="",I39&lt;12,O39=""),"",O39+330)</f>
        <v/>
      </c>
      <c r="AC39" s="19" t="str">
        <f aca="false">IF(OR(I39="",I39&lt;13,O39=""),"",O39+360)</f>
        <v/>
      </c>
      <c r="AD39" s="19" t="str">
        <f aca="false">IF(OR(I39="",I39&lt;14,O39=""),"",O39+390)</f>
        <v/>
      </c>
      <c r="AE39" s="19" t="str">
        <f aca="false">IF(OR(I39="",I39&lt;15,O39=""),"",O39+420)</f>
        <v/>
      </c>
      <c r="AF39" s="19" t="str">
        <f aca="false">IF(OR(I39="",I39&lt;16,O39=""),"",O39+450)</f>
        <v/>
      </c>
      <c r="AG39" s="19" t="str">
        <f aca="false">IF(OR(I39="",I39&lt;17,O39=""),"",O39+480)</f>
        <v/>
      </c>
      <c r="AH39" s="19" t="str">
        <f aca="false">IF(OR(I39="",I39&lt;18,O39=""),"",O39+510)</f>
        <v/>
      </c>
      <c r="AI39" s="19" t="str">
        <f aca="false">IF(OR(I39="",I39&lt;19,O39=""),"",O39+540)</f>
        <v/>
      </c>
      <c r="AJ39" s="19" t="str">
        <f aca="false">IF(OR(I39="",I39&lt;20,O39=""),"",O39+570)</f>
        <v/>
      </c>
      <c r="AK39" s="19" t="str">
        <f aca="false">IF(OR(I39="",I39&lt;21,O39=""),"",O39+600)</f>
        <v/>
      </c>
      <c r="AL39" s="19" t="str">
        <f aca="false">IF(OR(I39="",I39&lt;22,O39=""),"",O39+630)</f>
        <v/>
      </c>
      <c r="AM39" s="19" t="str">
        <f aca="false">IF(OR(I39="",I39&lt;23,O39=""),"",O39+660)</f>
        <v/>
      </c>
      <c r="AN39" s="19" t="str">
        <f aca="false">IF(OR(I39="",I39&lt;24,O39=""),"",O39+690)</f>
        <v/>
      </c>
      <c r="AO39" s="15" t="str">
        <f aca="false">IF(J39="","",COUNTIF(Q39:AN39,TRUE())*J39)</f>
        <v/>
      </c>
      <c r="AP39" s="15" t="str">
        <f aca="false">IF(K39="","",K39-AO39)</f>
        <v/>
      </c>
      <c r="AQ39" s="15" t="str">
        <f aca="false">IF(K39="","",K39-F39-IF(N39="",0,N39))</f>
        <v/>
      </c>
    </row>
    <row r="40" customFormat="false" ht="15" hidden="false" customHeight="false" outlineLevel="0" collapsed="false">
      <c r="A40" s="4"/>
      <c r="B40" s="4"/>
      <c r="C40" s="4"/>
      <c r="D40" s="5"/>
      <c r="E40" s="5"/>
      <c r="F40" s="6"/>
      <c r="G40" s="4"/>
      <c r="H40" s="4"/>
      <c r="I40" s="4"/>
      <c r="J40" s="6"/>
      <c r="K40" s="7" t="str">
        <f aca="false">IF(OR(I40="",J40=""),"",I40*J40)</f>
        <v/>
      </c>
      <c r="L40" s="4"/>
      <c r="M40" s="8"/>
      <c r="N40" s="7" t="str">
        <f aca="false">IF(OR(L40="",M40="",K40=""),"",IF(L40="GANANCIA",(K40-F40)*M40,IF(L40="BRUTO",K40*M40,"")))</f>
        <v/>
      </c>
      <c r="O40" s="9" t="str">
        <f aca="false">IF(D40="","",D40+30)</f>
        <v/>
      </c>
      <c r="P40" s="10" t="str">
        <f aca="false">IF(I40="","",IF(COUNTIF(Q40:AN40,TRUE())&gt;=I40,"PAGADO",IF(COUNTIF(Q40:AN40,TRUE())&gt;0,"PARCIAL","VIGENTE")))</f>
        <v/>
      </c>
      <c r="Q40" s="11" t="str">
        <f aca="false">IF(OR(I40="",I40&lt;1,O40=""),"",O40+0)</f>
        <v/>
      </c>
      <c r="R40" s="11" t="str">
        <f aca="false">IF(OR(I40="",I40&lt;2,O40=""),"",O40+30)</f>
        <v/>
      </c>
      <c r="S40" s="11" t="str">
        <f aca="false">IF(OR(I40="",I40&lt;3,O40=""),"",O40+60)</f>
        <v/>
      </c>
      <c r="T40" s="11" t="str">
        <f aca="false">IF(OR(I40="",I40&lt;4,O40=""),"",O40+90)</f>
        <v/>
      </c>
      <c r="U40" s="11" t="str">
        <f aca="false">IF(OR(I40="",I40&lt;5,O40=""),"",O40+120)</f>
        <v/>
      </c>
      <c r="V40" s="11" t="str">
        <f aca="false">IF(OR(I40="",I40&lt;6,O40=""),"",O40+150)</f>
        <v/>
      </c>
      <c r="W40" s="11" t="str">
        <f aca="false">IF(OR(I40="",I40&lt;7,O40=""),"",O40+180)</f>
        <v/>
      </c>
      <c r="X40" s="11" t="str">
        <f aca="false">IF(OR(I40="",I40&lt;8,O40=""),"",O40+210)</f>
        <v/>
      </c>
      <c r="Y40" s="11" t="str">
        <f aca="false">IF(OR(I40="",I40&lt;9,O40=""),"",O40+240)</f>
        <v/>
      </c>
      <c r="Z40" s="11" t="str">
        <f aca="false">IF(OR(I40="",I40&lt;10,O40=""),"",O40+270)</f>
        <v/>
      </c>
      <c r="AA40" s="11" t="str">
        <f aca="false">IF(OR(I40="",I40&lt;11,O40=""),"",O40+300)</f>
        <v/>
      </c>
      <c r="AB40" s="11" t="str">
        <f aca="false">IF(OR(I40="",I40&lt;12,O40=""),"",O40+330)</f>
        <v/>
      </c>
      <c r="AC40" s="11" t="str">
        <f aca="false">IF(OR(I40="",I40&lt;13,O40=""),"",O40+360)</f>
        <v/>
      </c>
      <c r="AD40" s="11" t="str">
        <f aca="false">IF(OR(I40="",I40&lt;14,O40=""),"",O40+390)</f>
        <v/>
      </c>
      <c r="AE40" s="11" t="str">
        <f aca="false">IF(OR(I40="",I40&lt;15,O40=""),"",O40+420)</f>
        <v/>
      </c>
      <c r="AF40" s="11" t="str">
        <f aca="false">IF(OR(I40="",I40&lt;16,O40=""),"",O40+450)</f>
        <v/>
      </c>
      <c r="AG40" s="11" t="str">
        <f aca="false">IF(OR(I40="",I40&lt;17,O40=""),"",O40+480)</f>
        <v/>
      </c>
      <c r="AH40" s="11" t="str">
        <f aca="false">IF(OR(I40="",I40&lt;18,O40=""),"",O40+510)</f>
        <v/>
      </c>
      <c r="AI40" s="11" t="str">
        <f aca="false">IF(OR(I40="",I40&lt;19,O40=""),"",O40+540)</f>
        <v/>
      </c>
      <c r="AJ40" s="11" t="str">
        <f aca="false">IF(OR(I40="",I40&lt;20,O40=""),"",O40+570)</f>
        <v/>
      </c>
      <c r="AK40" s="11" t="str">
        <f aca="false">IF(OR(I40="",I40&lt;21,O40=""),"",O40+600)</f>
        <v/>
      </c>
      <c r="AL40" s="11" t="str">
        <f aca="false">IF(OR(I40="",I40&lt;22,O40=""),"",O40+630)</f>
        <v/>
      </c>
      <c r="AM40" s="11" t="str">
        <f aca="false">IF(OR(I40="",I40&lt;23,O40=""),"",O40+660)</f>
        <v/>
      </c>
      <c r="AN40" s="11" t="str">
        <f aca="false">IF(OR(I40="",I40&lt;24,O40=""),"",O40+690)</f>
        <v/>
      </c>
      <c r="AO40" s="7" t="str">
        <f aca="false">IF(J40="","",COUNTIF(Q40:AN40,TRUE())*J40)</f>
        <v/>
      </c>
      <c r="AP40" s="7" t="str">
        <f aca="false">IF(K40="","",K40-AO40)</f>
        <v/>
      </c>
      <c r="AQ40" s="7" t="str">
        <f aca="false">IF(K40="","",K40-F40-IF(N40="",0,N40))</f>
        <v/>
      </c>
    </row>
    <row r="41" customFormat="false" ht="15" hidden="false" customHeight="false" outlineLevel="0" collapsed="false">
      <c r="A41" s="12"/>
      <c r="B41" s="12"/>
      <c r="C41" s="12"/>
      <c r="D41" s="13"/>
      <c r="E41" s="13"/>
      <c r="F41" s="14"/>
      <c r="G41" s="12"/>
      <c r="H41" s="12"/>
      <c r="I41" s="12"/>
      <c r="J41" s="14"/>
      <c r="K41" s="15" t="str">
        <f aca="false">IF(OR(I41="",J41=""),"",I41*J41)</f>
        <v/>
      </c>
      <c r="L41" s="12"/>
      <c r="M41" s="16"/>
      <c r="N41" s="15" t="str">
        <f aca="false">IF(OR(L41="",M41="",K41=""),"",IF(L41="GANANCIA",(K41-F41)*M41,IF(L41="BRUTO",K41*M41,"")))</f>
        <v/>
      </c>
      <c r="O41" s="17" t="str">
        <f aca="false">IF(D41="","",D41+30)</f>
        <v/>
      </c>
      <c r="P41" s="18" t="str">
        <f aca="false">IF(I41="","",IF(COUNTIF(Q41:AN41,TRUE())&gt;=I41,"PAGADO",IF(COUNTIF(Q41:AN41,TRUE())&gt;0,"PARCIAL","VIGENTE")))</f>
        <v/>
      </c>
      <c r="Q41" s="19" t="str">
        <f aca="false">IF(OR(I41="",I41&lt;1,O41=""),"",O41+0)</f>
        <v/>
      </c>
      <c r="R41" s="19" t="str">
        <f aca="false">IF(OR(I41="",I41&lt;2,O41=""),"",O41+30)</f>
        <v/>
      </c>
      <c r="S41" s="19" t="str">
        <f aca="false">IF(OR(I41="",I41&lt;3,O41=""),"",O41+60)</f>
        <v/>
      </c>
      <c r="T41" s="19" t="str">
        <f aca="false">IF(OR(I41="",I41&lt;4,O41=""),"",O41+90)</f>
        <v/>
      </c>
      <c r="U41" s="19" t="str">
        <f aca="false">IF(OR(I41="",I41&lt;5,O41=""),"",O41+120)</f>
        <v/>
      </c>
      <c r="V41" s="19" t="str">
        <f aca="false">IF(OR(I41="",I41&lt;6,O41=""),"",O41+150)</f>
        <v/>
      </c>
      <c r="W41" s="19" t="str">
        <f aca="false">IF(OR(I41="",I41&lt;7,O41=""),"",O41+180)</f>
        <v/>
      </c>
      <c r="X41" s="19" t="str">
        <f aca="false">IF(OR(I41="",I41&lt;8,O41=""),"",O41+210)</f>
        <v/>
      </c>
      <c r="Y41" s="19" t="str">
        <f aca="false">IF(OR(I41="",I41&lt;9,O41=""),"",O41+240)</f>
        <v/>
      </c>
      <c r="Z41" s="19" t="str">
        <f aca="false">IF(OR(I41="",I41&lt;10,O41=""),"",O41+270)</f>
        <v/>
      </c>
      <c r="AA41" s="19" t="str">
        <f aca="false">IF(OR(I41="",I41&lt;11,O41=""),"",O41+300)</f>
        <v/>
      </c>
      <c r="AB41" s="19" t="str">
        <f aca="false">IF(OR(I41="",I41&lt;12,O41=""),"",O41+330)</f>
        <v/>
      </c>
      <c r="AC41" s="19" t="str">
        <f aca="false">IF(OR(I41="",I41&lt;13,O41=""),"",O41+360)</f>
        <v/>
      </c>
      <c r="AD41" s="19" t="str">
        <f aca="false">IF(OR(I41="",I41&lt;14,O41=""),"",O41+390)</f>
        <v/>
      </c>
      <c r="AE41" s="19" t="str">
        <f aca="false">IF(OR(I41="",I41&lt;15,O41=""),"",O41+420)</f>
        <v/>
      </c>
      <c r="AF41" s="19" t="str">
        <f aca="false">IF(OR(I41="",I41&lt;16,O41=""),"",O41+450)</f>
        <v/>
      </c>
      <c r="AG41" s="19" t="str">
        <f aca="false">IF(OR(I41="",I41&lt;17,O41=""),"",O41+480)</f>
        <v/>
      </c>
      <c r="AH41" s="19" t="str">
        <f aca="false">IF(OR(I41="",I41&lt;18,O41=""),"",O41+510)</f>
        <v/>
      </c>
      <c r="AI41" s="19" t="str">
        <f aca="false">IF(OR(I41="",I41&lt;19,O41=""),"",O41+540)</f>
        <v/>
      </c>
      <c r="AJ41" s="19" t="str">
        <f aca="false">IF(OR(I41="",I41&lt;20,O41=""),"",O41+570)</f>
        <v/>
      </c>
      <c r="AK41" s="19" t="str">
        <f aca="false">IF(OR(I41="",I41&lt;21,O41=""),"",O41+600)</f>
        <v/>
      </c>
      <c r="AL41" s="19" t="str">
        <f aca="false">IF(OR(I41="",I41&lt;22,O41=""),"",O41+630)</f>
        <v/>
      </c>
      <c r="AM41" s="19" t="str">
        <f aca="false">IF(OR(I41="",I41&lt;23,O41=""),"",O41+660)</f>
        <v/>
      </c>
      <c r="AN41" s="19" t="str">
        <f aca="false">IF(OR(I41="",I41&lt;24,O41=""),"",O41+690)</f>
        <v/>
      </c>
      <c r="AO41" s="15" t="str">
        <f aca="false">IF(J41="","",COUNTIF(Q41:AN41,TRUE())*J41)</f>
        <v/>
      </c>
      <c r="AP41" s="15" t="str">
        <f aca="false">IF(K41="","",K41-AO41)</f>
        <v/>
      </c>
      <c r="AQ41" s="15" t="str">
        <f aca="false">IF(K41="","",K41-F41-IF(N41="",0,N41))</f>
        <v/>
      </c>
    </row>
    <row r="42" customFormat="false" ht="15" hidden="false" customHeight="false" outlineLevel="0" collapsed="false">
      <c r="A42" s="4"/>
      <c r="B42" s="4"/>
      <c r="C42" s="4"/>
      <c r="D42" s="5"/>
      <c r="E42" s="5"/>
      <c r="F42" s="6"/>
      <c r="G42" s="4"/>
      <c r="H42" s="4"/>
      <c r="I42" s="4"/>
      <c r="J42" s="6"/>
      <c r="K42" s="7" t="str">
        <f aca="false">IF(OR(I42="",J42=""),"",I42*J42)</f>
        <v/>
      </c>
      <c r="L42" s="4"/>
      <c r="M42" s="8"/>
      <c r="N42" s="7" t="str">
        <f aca="false">IF(OR(L42="",M42="",K42=""),"",IF(L42="GANANCIA",(K42-F42)*M42,IF(L42="BRUTO",K42*M42,"")))</f>
        <v/>
      </c>
      <c r="O42" s="9" t="str">
        <f aca="false">IF(D42="","",D42+30)</f>
        <v/>
      </c>
      <c r="P42" s="10" t="str">
        <f aca="false">IF(I42="","",IF(COUNTIF(Q42:AN42,TRUE())&gt;=I42,"PAGADO",IF(COUNTIF(Q42:AN42,TRUE())&gt;0,"PARCIAL","VIGENTE")))</f>
        <v/>
      </c>
      <c r="Q42" s="11" t="str">
        <f aca="false">IF(OR(I42="",I42&lt;1,O42=""),"",O42+0)</f>
        <v/>
      </c>
      <c r="R42" s="11" t="str">
        <f aca="false">IF(OR(I42="",I42&lt;2,O42=""),"",O42+30)</f>
        <v/>
      </c>
      <c r="S42" s="11" t="str">
        <f aca="false">IF(OR(I42="",I42&lt;3,O42=""),"",O42+60)</f>
        <v/>
      </c>
      <c r="T42" s="11" t="str">
        <f aca="false">IF(OR(I42="",I42&lt;4,O42=""),"",O42+90)</f>
        <v/>
      </c>
      <c r="U42" s="11" t="str">
        <f aca="false">IF(OR(I42="",I42&lt;5,O42=""),"",O42+120)</f>
        <v/>
      </c>
      <c r="V42" s="11" t="str">
        <f aca="false">IF(OR(I42="",I42&lt;6,O42=""),"",O42+150)</f>
        <v/>
      </c>
      <c r="W42" s="11" t="str">
        <f aca="false">IF(OR(I42="",I42&lt;7,O42=""),"",O42+180)</f>
        <v/>
      </c>
      <c r="X42" s="11" t="str">
        <f aca="false">IF(OR(I42="",I42&lt;8,O42=""),"",O42+210)</f>
        <v/>
      </c>
      <c r="Y42" s="11" t="str">
        <f aca="false">IF(OR(I42="",I42&lt;9,O42=""),"",O42+240)</f>
        <v/>
      </c>
      <c r="Z42" s="11" t="str">
        <f aca="false">IF(OR(I42="",I42&lt;10,O42=""),"",O42+270)</f>
        <v/>
      </c>
      <c r="AA42" s="11" t="str">
        <f aca="false">IF(OR(I42="",I42&lt;11,O42=""),"",O42+300)</f>
        <v/>
      </c>
      <c r="AB42" s="11" t="str">
        <f aca="false">IF(OR(I42="",I42&lt;12,O42=""),"",O42+330)</f>
        <v/>
      </c>
      <c r="AC42" s="11" t="str">
        <f aca="false">IF(OR(I42="",I42&lt;13,O42=""),"",O42+360)</f>
        <v/>
      </c>
      <c r="AD42" s="11" t="str">
        <f aca="false">IF(OR(I42="",I42&lt;14,O42=""),"",O42+390)</f>
        <v/>
      </c>
      <c r="AE42" s="11" t="str">
        <f aca="false">IF(OR(I42="",I42&lt;15,O42=""),"",O42+420)</f>
        <v/>
      </c>
      <c r="AF42" s="11" t="str">
        <f aca="false">IF(OR(I42="",I42&lt;16,O42=""),"",O42+450)</f>
        <v/>
      </c>
      <c r="AG42" s="11" t="str">
        <f aca="false">IF(OR(I42="",I42&lt;17,O42=""),"",O42+480)</f>
        <v/>
      </c>
      <c r="AH42" s="11" t="str">
        <f aca="false">IF(OR(I42="",I42&lt;18,O42=""),"",O42+510)</f>
        <v/>
      </c>
      <c r="AI42" s="11" t="str">
        <f aca="false">IF(OR(I42="",I42&lt;19,O42=""),"",O42+540)</f>
        <v/>
      </c>
      <c r="AJ42" s="11" t="str">
        <f aca="false">IF(OR(I42="",I42&lt;20,O42=""),"",O42+570)</f>
        <v/>
      </c>
      <c r="AK42" s="11" t="str">
        <f aca="false">IF(OR(I42="",I42&lt;21,O42=""),"",O42+600)</f>
        <v/>
      </c>
      <c r="AL42" s="11" t="str">
        <f aca="false">IF(OR(I42="",I42&lt;22,O42=""),"",O42+630)</f>
        <v/>
      </c>
      <c r="AM42" s="11" t="str">
        <f aca="false">IF(OR(I42="",I42&lt;23,O42=""),"",O42+660)</f>
        <v/>
      </c>
      <c r="AN42" s="11" t="str">
        <f aca="false">IF(OR(I42="",I42&lt;24,O42=""),"",O42+690)</f>
        <v/>
      </c>
      <c r="AO42" s="7" t="str">
        <f aca="false">IF(J42="","",COUNTIF(Q42:AN42,TRUE())*J42)</f>
        <v/>
      </c>
      <c r="AP42" s="7" t="str">
        <f aca="false">IF(K42="","",K42-AO42)</f>
        <v/>
      </c>
      <c r="AQ42" s="7" t="str">
        <f aca="false">IF(K42="","",K42-F42-IF(N42="",0,N42))</f>
        <v/>
      </c>
    </row>
    <row r="43" customFormat="false" ht="15" hidden="false" customHeight="false" outlineLevel="0" collapsed="false">
      <c r="A43" s="12"/>
      <c r="B43" s="12"/>
      <c r="C43" s="12"/>
      <c r="D43" s="13"/>
      <c r="E43" s="13"/>
      <c r="F43" s="14"/>
      <c r="G43" s="12"/>
      <c r="H43" s="12"/>
      <c r="I43" s="12"/>
      <c r="J43" s="14"/>
      <c r="K43" s="15" t="str">
        <f aca="false">IF(OR(I43="",J43=""),"",I43*J43)</f>
        <v/>
      </c>
      <c r="L43" s="12"/>
      <c r="M43" s="16"/>
      <c r="N43" s="15" t="str">
        <f aca="false">IF(OR(L43="",M43="",K43=""),"",IF(L43="GANANCIA",(K43-F43)*M43,IF(L43="BRUTO",K43*M43,"")))</f>
        <v/>
      </c>
      <c r="O43" s="17" t="str">
        <f aca="false">IF(D43="","",D43+30)</f>
        <v/>
      </c>
      <c r="P43" s="18" t="str">
        <f aca="false">IF(I43="","",IF(COUNTIF(Q43:AN43,TRUE())&gt;=I43,"PAGADO",IF(COUNTIF(Q43:AN43,TRUE())&gt;0,"PARCIAL","VIGENTE")))</f>
        <v/>
      </c>
      <c r="Q43" s="19" t="str">
        <f aca="false">IF(OR(I43="",I43&lt;1,O43=""),"",O43+0)</f>
        <v/>
      </c>
      <c r="R43" s="19" t="str">
        <f aca="false">IF(OR(I43="",I43&lt;2,O43=""),"",O43+30)</f>
        <v/>
      </c>
      <c r="S43" s="19" t="str">
        <f aca="false">IF(OR(I43="",I43&lt;3,O43=""),"",O43+60)</f>
        <v/>
      </c>
      <c r="T43" s="19" t="str">
        <f aca="false">IF(OR(I43="",I43&lt;4,O43=""),"",O43+90)</f>
        <v/>
      </c>
      <c r="U43" s="19" t="str">
        <f aca="false">IF(OR(I43="",I43&lt;5,O43=""),"",O43+120)</f>
        <v/>
      </c>
      <c r="V43" s="19" t="str">
        <f aca="false">IF(OR(I43="",I43&lt;6,O43=""),"",O43+150)</f>
        <v/>
      </c>
      <c r="W43" s="19" t="str">
        <f aca="false">IF(OR(I43="",I43&lt;7,O43=""),"",O43+180)</f>
        <v/>
      </c>
      <c r="X43" s="19" t="str">
        <f aca="false">IF(OR(I43="",I43&lt;8,O43=""),"",O43+210)</f>
        <v/>
      </c>
      <c r="Y43" s="19" t="str">
        <f aca="false">IF(OR(I43="",I43&lt;9,O43=""),"",O43+240)</f>
        <v/>
      </c>
      <c r="Z43" s="19" t="str">
        <f aca="false">IF(OR(I43="",I43&lt;10,O43=""),"",O43+270)</f>
        <v/>
      </c>
      <c r="AA43" s="19" t="str">
        <f aca="false">IF(OR(I43="",I43&lt;11,O43=""),"",O43+300)</f>
        <v/>
      </c>
      <c r="AB43" s="19" t="str">
        <f aca="false">IF(OR(I43="",I43&lt;12,O43=""),"",O43+330)</f>
        <v/>
      </c>
      <c r="AC43" s="19" t="str">
        <f aca="false">IF(OR(I43="",I43&lt;13,O43=""),"",O43+360)</f>
        <v/>
      </c>
      <c r="AD43" s="19" t="str">
        <f aca="false">IF(OR(I43="",I43&lt;14,O43=""),"",O43+390)</f>
        <v/>
      </c>
      <c r="AE43" s="19" t="str">
        <f aca="false">IF(OR(I43="",I43&lt;15,O43=""),"",O43+420)</f>
        <v/>
      </c>
      <c r="AF43" s="19" t="str">
        <f aca="false">IF(OR(I43="",I43&lt;16,O43=""),"",O43+450)</f>
        <v/>
      </c>
      <c r="AG43" s="19" t="str">
        <f aca="false">IF(OR(I43="",I43&lt;17,O43=""),"",O43+480)</f>
        <v/>
      </c>
      <c r="AH43" s="19" t="str">
        <f aca="false">IF(OR(I43="",I43&lt;18,O43=""),"",O43+510)</f>
        <v/>
      </c>
      <c r="AI43" s="19" t="str">
        <f aca="false">IF(OR(I43="",I43&lt;19,O43=""),"",O43+540)</f>
        <v/>
      </c>
      <c r="AJ43" s="19" t="str">
        <f aca="false">IF(OR(I43="",I43&lt;20,O43=""),"",O43+570)</f>
        <v/>
      </c>
      <c r="AK43" s="19" t="str">
        <f aca="false">IF(OR(I43="",I43&lt;21,O43=""),"",O43+600)</f>
        <v/>
      </c>
      <c r="AL43" s="19" t="str">
        <f aca="false">IF(OR(I43="",I43&lt;22,O43=""),"",O43+630)</f>
        <v/>
      </c>
      <c r="AM43" s="19" t="str">
        <f aca="false">IF(OR(I43="",I43&lt;23,O43=""),"",O43+660)</f>
        <v/>
      </c>
      <c r="AN43" s="19" t="str">
        <f aca="false">IF(OR(I43="",I43&lt;24,O43=""),"",O43+690)</f>
        <v/>
      </c>
      <c r="AO43" s="15" t="str">
        <f aca="false">IF(J43="","",COUNTIF(Q43:AN43,TRUE())*J43)</f>
        <v/>
      </c>
      <c r="AP43" s="15" t="str">
        <f aca="false">IF(K43="","",K43-AO43)</f>
        <v/>
      </c>
      <c r="AQ43" s="15" t="str">
        <f aca="false">IF(K43="","",K43-F43-IF(N43="",0,N43))</f>
        <v/>
      </c>
    </row>
    <row r="44" customFormat="false" ht="15" hidden="false" customHeight="false" outlineLevel="0" collapsed="false">
      <c r="A44" s="4"/>
      <c r="B44" s="4"/>
      <c r="C44" s="4"/>
      <c r="D44" s="5"/>
      <c r="E44" s="5"/>
      <c r="F44" s="6"/>
      <c r="G44" s="4"/>
      <c r="H44" s="4"/>
      <c r="I44" s="4"/>
      <c r="J44" s="6"/>
      <c r="K44" s="7" t="str">
        <f aca="false">IF(OR(I44="",J44=""),"",I44*J44)</f>
        <v/>
      </c>
      <c r="L44" s="4"/>
      <c r="M44" s="8"/>
      <c r="N44" s="7" t="str">
        <f aca="false">IF(OR(L44="",M44="",K44=""),"",IF(L44="GANANCIA",(K44-F44)*M44,IF(L44="BRUTO",K44*M44,"")))</f>
        <v/>
      </c>
      <c r="O44" s="9" t="str">
        <f aca="false">IF(D44="","",D44+30)</f>
        <v/>
      </c>
      <c r="P44" s="10" t="str">
        <f aca="false">IF(I44="","",IF(COUNTIF(Q44:AN44,TRUE())&gt;=I44,"PAGADO",IF(COUNTIF(Q44:AN44,TRUE())&gt;0,"PARCIAL","VIGENTE")))</f>
        <v/>
      </c>
      <c r="Q44" s="11" t="str">
        <f aca="false">IF(OR(I44="",I44&lt;1,O44=""),"",O44+0)</f>
        <v/>
      </c>
      <c r="R44" s="11" t="str">
        <f aca="false">IF(OR(I44="",I44&lt;2,O44=""),"",O44+30)</f>
        <v/>
      </c>
      <c r="S44" s="11" t="str">
        <f aca="false">IF(OR(I44="",I44&lt;3,O44=""),"",O44+60)</f>
        <v/>
      </c>
      <c r="T44" s="11" t="str">
        <f aca="false">IF(OR(I44="",I44&lt;4,O44=""),"",O44+90)</f>
        <v/>
      </c>
      <c r="U44" s="11" t="str">
        <f aca="false">IF(OR(I44="",I44&lt;5,O44=""),"",O44+120)</f>
        <v/>
      </c>
      <c r="V44" s="11" t="str">
        <f aca="false">IF(OR(I44="",I44&lt;6,O44=""),"",O44+150)</f>
        <v/>
      </c>
      <c r="W44" s="11" t="str">
        <f aca="false">IF(OR(I44="",I44&lt;7,O44=""),"",O44+180)</f>
        <v/>
      </c>
      <c r="X44" s="11" t="str">
        <f aca="false">IF(OR(I44="",I44&lt;8,O44=""),"",O44+210)</f>
        <v/>
      </c>
      <c r="Y44" s="11" t="str">
        <f aca="false">IF(OR(I44="",I44&lt;9,O44=""),"",O44+240)</f>
        <v/>
      </c>
      <c r="Z44" s="11" t="str">
        <f aca="false">IF(OR(I44="",I44&lt;10,O44=""),"",O44+270)</f>
        <v/>
      </c>
      <c r="AA44" s="11" t="str">
        <f aca="false">IF(OR(I44="",I44&lt;11,O44=""),"",O44+300)</f>
        <v/>
      </c>
      <c r="AB44" s="11" t="str">
        <f aca="false">IF(OR(I44="",I44&lt;12,O44=""),"",O44+330)</f>
        <v/>
      </c>
      <c r="AC44" s="11" t="str">
        <f aca="false">IF(OR(I44="",I44&lt;13,O44=""),"",O44+360)</f>
        <v/>
      </c>
      <c r="AD44" s="11" t="str">
        <f aca="false">IF(OR(I44="",I44&lt;14,O44=""),"",O44+390)</f>
        <v/>
      </c>
      <c r="AE44" s="11" t="str">
        <f aca="false">IF(OR(I44="",I44&lt;15,O44=""),"",O44+420)</f>
        <v/>
      </c>
      <c r="AF44" s="11" t="str">
        <f aca="false">IF(OR(I44="",I44&lt;16,O44=""),"",O44+450)</f>
        <v/>
      </c>
      <c r="AG44" s="11" t="str">
        <f aca="false">IF(OR(I44="",I44&lt;17,O44=""),"",O44+480)</f>
        <v/>
      </c>
      <c r="AH44" s="11" t="str">
        <f aca="false">IF(OR(I44="",I44&lt;18,O44=""),"",O44+510)</f>
        <v/>
      </c>
      <c r="AI44" s="11" t="str">
        <f aca="false">IF(OR(I44="",I44&lt;19,O44=""),"",O44+540)</f>
        <v/>
      </c>
      <c r="AJ44" s="11" t="str">
        <f aca="false">IF(OR(I44="",I44&lt;20,O44=""),"",O44+570)</f>
        <v/>
      </c>
      <c r="AK44" s="11" t="str">
        <f aca="false">IF(OR(I44="",I44&lt;21,O44=""),"",O44+600)</f>
        <v/>
      </c>
      <c r="AL44" s="11" t="str">
        <f aca="false">IF(OR(I44="",I44&lt;22,O44=""),"",O44+630)</f>
        <v/>
      </c>
      <c r="AM44" s="11" t="str">
        <f aca="false">IF(OR(I44="",I44&lt;23,O44=""),"",O44+660)</f>
        <v/>
      </c>
      <c r="AN44" s="11" t="str">
        <f aca="false">IF(OR(I44="",I44&lt;24,O44=""),"",O44+690)</f>
        <v/>
      </c>
      <c r="AO44" s="7" t="str">
        <f aca="false">IF(J44="","",COUNTIF(Q44:AN44,TRUE())*J44)</f>
        <v/>
      </c>
      <c r="AP44" s="7" t="str">
        <f aca="false">IF(K44="","",K44-AO44)</f>
        <v/>
      </c>
      <c r="AQ44" s="7" t="str">
        <f aca="false">IF(K44="","",K44-F44-IF(N44="",0,N44))</f>
        <v/>
      </c>
    </row>
    <row r="45" customFormat="false" ht="15" hidden="false" customHeight="false" outlineLevel="0" collapsed="false">
      <c r="A45" s="12"/>
      <c r="B45" s="12"/>
      <c r="C45" s="12"/>
      <c r="D45" s="13"/>
      <c r="E45" s="13"/>
      <c r="F45" s="14"/>
      <c r="G45" s="12"/>
      <c r="H45" s="12"/>
      <c r="I45" s="12"/>
      <c r="J45" s="14"/>
      <c r="K45" s="15" t="str">
        <f aca="false">IF(OR(I45="",J45=""),"",I45*J45)</f>
        <v/>
      </c>
      <c r="L45" s="12"/>
      <c r="M45" s="16"/>
      <c r="N45" s="15" t="str">
        <f aca="false">IF(OR(L45="",M45="",K45=""),"",IF(L45="GANANCIA",(K45-F45)*M45,IF(L45="BRUTO",K45*M45,"")))</f>
        <v/>
      </c>
      <c r="O45" s="17" t="str">
        <f aca="false">IF(D45="","",D45+30)</f>
        <v/>
      </c>
      <c r="P45" s="18" t="str">
        <f aca="false">IF(I45="","",IF(COUNTIF(Q45:AN45,TRUE())&gt;=I45,"PAGADO",IF(COUNTIF(Q45:AN45,TRUE())&gt;0,"PARCIAL","VIGENTE")))</f>
        <v/>
      </c>
      <c r="Q45" s="19" t="str">
        <f aca="false">IF(OR(I45="",I45&lt;1,O45=""),"",O45+0)</f>
        <v/>
      </c>
      <c r="R45" s="19" t="str">
        <f aca="false">IF(OR(I45="",I45&lt;2,O45=""),"",O45+30)</f>
        <v/>
      </c>
      <c r="S45" s="19" t="str">
        <f aca="false">IF(OR(I45="",I45&lt;3,O45=""),"",O45+60)</f>
        <v/>
      </c>
      <c r="T45" s="19" t="str">
        <f aca="false">IF(OR(I45="",I45&lt;4,O45=""),"",O45+90)</f>
        <v/>
      </c>
      <c r="U45" s="19" t="str">
        <f aca="false">IF(OR(I45="",I45&lt;5,O45=""),"",O45+120)</f>
        <v/>
      </c>
      <c r="V45" s="19" t="str">
        <f aca="false">IF(OR(I45="",I45&lt;6,O45=""),"",O45+150)</f>
        <v/>
      </c>
      <c r="W45" s="19" t="str">
        <f aca="false">IF(OR(I45="",I45&lt;7,O45=""),"",O45+180)</f>
        <v/>
      </c>
      <c r="X45" s="19" t="str">
        <f aca="false">IF(OR(I45="",I45&lt;8,O45=""),"",O45+210)</f>
        <v/>
      </c>
      <c r="Y45" s="19" t="str">
        <f aca="false">IF(OR(I45="",I45&lt;9,O45=""),"",O45+240)</f>
        <v/>
      </c>
      <c r="Z45" s="19" t="str">
        <f aca="false">IF(OR(I45="",I45&lt;10,O45=""),"",O45+270)</f>
        <v/>
      </c>
      <c r="AA45" s="19" t="str">
        <f aca="false">IF(OR(I45="",I45&lt;11,O45=""),"",O45+300)</f>
        <v/>
      </c>
      <c r="AB45" s="19" t="str">
        <f aca="false">IF(OR(I45="",I45&lt;12,O45=""),"",O45+330)</f>
        <v/>
      </c>
      <c r="AC45" s="19" t="str">
        <f aca="false">IF(OR(I45="",I45&lt;13,O45=""),"",O45+360)</f>
        <v/>
      </c>
      <c r="AD45" s="19" t="str">
        <f aca="false">IF(OR(I45="",I45&lt;14,O45=""),"",O45+390)</f>
        <v/>
      </c>
      <c r="AE45" s="19" t="str">
        <f aca="false">IF(OR(I45="",I45&lt;15,O45=""),"",O45+420)</f>
        <v/>
      </c>
      <c r="AF45" s="19" t="str">
        <f aca="false">IF(OR(I45="",I45&lt;16,O45=""),"",O45+450)</f>
        <v/>
      </c>
      <c r="AG45" s="19" t="str">
        <f aca="false">IF(OR(I45="",I45&lt;17,O45=""),"",O45+480)</f>
        <v/>
      </c>
      <c r="AH45" s="19" t="str">
        <f aca="false">IF(OR(I45="",I45&lt;18,O45=""),"",O45+510)</f>
        <v/>
      </c>
      <c r="AI45" s="19" t="str">
        <f aca="false">IF(OR(I45="",I45&lt;19,O45=""),"",O45+540)</f>
        <v/>
      </c>
      <c r="AJ45" s="19" t="str">
        <f aca="false">IF(OR(I45="",I45&lt;20,O45=""),"",O45+570)</f>
        <v/>
      </c>
      <c r="AK45" s="19" t="str">
        <f aca="false">IF(OR(I45="",I45&lt;21,O45=""),"",O45+600)</f>
        <v/>
      </c>
      <c r="AL45" s="19" t="str">
        <f aca="false">IF(OR(I45="",I45&lt;22,O45=""),"",O45+630)</f>
        <v/>
      </c>
      <c r="AM45" s="19" t="str">
        <f aca="false">IF(OR(I45="",I45&lt;23,O45=""),"",O45+660)</f>
        <v/>
      </c>
      <c r="AN45" s="19" t="str">
        <f aca="false">IF(OR(I45="",I45&lt;24,O45=""),"",O45+690)</f>
        <v/>
      </c>
      <c r="AO45" s="15" t="str">
        <f aca="false">IF(J45="","",COUNTIF(Q45:AN45,TRUE())*J45)</f>
        <v/>
      </c>
      <c r="AP45" s="15" t="str">
        <f aca="false">IF(K45="","",K45-AO45)</f>
        <v/>
      </c>
      <c r="AQ45" s="15" t="str">
        <f aca="false">IF(K45="","",K45-F45-IF(N45="",0,N45))</f>
        <v/>
      </c>
    </row>
    <row r="46" customFormat="false" ht="15" hidden="false" customHeight="false" outlineLevel="0" collapsed="false">
      <c r="A46" s="4"/>
      <c r="B46" s="4"/>
      <c r="C46" s="4"/>
      <c r="D46" s="5"/>
      <c r="E46" s="5"/>
      <c r="F46" s="6"/>
      <c r="G46" s="4"/>
      <c r="H46" s="4"/>
      <c r="I46" s="4"/>
      <c r="J46" s="6"/>
      <c r="K46" s="7" t="str">
        <f aca="false">IF(OR(I46="",J46=""),"",I46*J46)</f>
        <v/>
      </c>
      <c r="L46" s="4"/>
      <c r="M46" s="8"/>
      <c r="N46" s="7" t="str">
        <f aca="false">IF(OR(L46="",M46="",K46=""),"",IF(L46="GANANCIA",(K46-F46)*M46,IF(L46="BRUTO",K46*M46,"")))</f>
        <v/>
      </c>
      <c r="O46" s="9" t="str">
        <f aca="false">IF(D46="","",D46+30)</f>
        <v/>
      </c>
      <c r="P46" s="10" t="str">
        <f aca="false">IF(I46="","",IF(COUNTIF(Q46:AN46,TRUE())&gt;=I46,"PAGADO",IF(COUNTIF(Q46:AN46,TRUE())&gt;0,"PARCIAL","VIGENTE")))</f>
        <v/>
      </c>
      <c r="Q46" s="11" t="str">
        <f aca="false">IF(OR(I46="",I46&lt;1,O46=""),"",O46+0)</f>
        <v/>
      </c>
      <c r="R46" s="11" t="str">
        <f aca="false">IF(OR(I46="",I46&lt;2,O46=""),"",O46+30)</f>
        <v/>
      </c>
      <c r="S46" s="11" t="str">
        <f aca="false">IF(OR(I46="",I46&lt;3,O46=""),"",O46+60)</f>
        <v/>
      </c>
      <c r="T46" s="11" t="str">
        <f aca="false">IF(OR(I46="",I46&lt;4,O46=""),"",O46+90)</f>
        <v/>
      </c>
      <c r="U46" s="11" t="str">
        <f aca="false">IF(OR(I46="",I46&lt;5,O46=""),"",O46+120)</f>
        <v/>
      </c>
      <c r="V46" s="11" t="str">
        <f aca="false">IF(OR(I46="",I46&lt;6,O46=""),"",O46+150)</f>
        <v/>
      </c>
      <c r="W46" s="11" t="str">
        <f aca="false">IF(OR(I46="",I46&lt;7,O46=""),"",O46+180)</f>
        <v/>
      </c>
      <c r="X46" s="11" t="str">
        <f aca="false">IF(OR(I46="",I46&lt;8,O46=""),"",O46+210)</f>
        <v/>
      </c>
      <c r="Y46" s="11" t="str">
        <f aca="false">IF(OR(I46="",I46&lt;9,O46=""),"",O46+240)</f>
        <v/>
      </c>
      <c r="Z46" s="11" t="str">
        <f aca="false">IF(OR(I46="",I46&lt;10,O46=""),"",O46+270)</f>
        <v/>
      </c>
      <c r="AA46" s="11" t="str">
        <f aca="false">IF(OR(I46="",I46&lt;11,O46=""),"",O46+300)</f>
        <v/>
      </c>
      <c r="AB46" s="11" t="str">
        <f aca="false">IF(OR(I46="",I46&lt;12,O46=""),"",O46+330)</f>
        <v/>
      </c>
      <c r="AC46" s="11" t="str">
        <f aca="false">IF(OR(I46="",I46&lt;13,O46=""),"",O46+360)</f>
        <v/>
      </c>
      <c r="AD46" s="11" t="str">
        <f aca="false">IF(OR(I46="",I46&lt;14,O46=""),"",O46+390)</f>
        <v/>
      </c>
      <c r="AE46" s="11" t="str">
        <f aca="false">IF(OR(I46="",I46&lt;15,O46=""),"",O46+420)</f>
        <v/>
      </c>
      <c r="AF46" s="11" t="str">
        <f aca="false">IF(OR(I46="",I46&lt;16,O46=""),"",O46+450)</f>
        <v/>
      </c>
      <c r="AG46" s="11" t="str">
        <f aca="false">IF(OR(I46="",I46&lt;17,O46=""),"",O46+480)</f>
        <v/>
      </c>
      <c r="AH46" s="11" t="str">
        <f aca="false">IF(OR(I46="",I46&lt;18,O46=""),"",O46+510)</f>
        <v/>
      </c>
      <c r="AI46" s="11" t="str">
        <f aca="false">IF(OR(I46="",I46&lt;19,O46=""),"",O46+540)</f>
        <v/>
      </c>
      <c r="AJ46" s="11" t="str">
        <f aca="false">IF(OR(I46="",I46&lt;20,O46=""),"",O46+570)</f>
        <v/>
      </c>
      <c r="AK46" s="11" t="str">
        <f aca="false">IF(OR(I46="",I46&lt;21,O46=""),"",O46+600)</f>
        <v/>
      </c>
      <c r="AL46" s="11" t="str">
        <f aca="false">IF(OR(I46="",I46&lt;22,O46=""),"",O46+630)</f>
        <v/>
      </c>
      <c r="AM46" s="11" t="str">
        <f aca="false">IF(OR(I46="",I46&lt;23,O46=""),"",O46+660)</f>
        <v/>
      </c>
      <c r="AN46" s="11" t="str">
        <f aca="false">IF(OR(I46="",I46&lt;24,O46=""),"",O46+690)</f>
        <v/>
      </c>
      <c r="AO46" s="7" t="str">
        <f aca="false">IF(J46="","",COUNTIF(Q46:AN46,TRUE())*J46)</f>
        <v/>
      </c>
      <c r="AP46" s="7" t="str">
        <f aca="false">IF(K46="","",K46-AO46)</f>
        <v/>
      </c>
      <c r="AQ46" s="7" t="str">
        <f aca="false">IF(K46="","",K46-F46-IF(N46="",0,N46))</f>
        <v/>
      </c>
    </row>
    <row r="47" customFormat="false" ht="15" hidden="false" customHeight="false" outlineLevel="0" collapsed="false">
      <c r="A47" s="12"/>
      <c r="B47" s="12"/>
      <c r="C47" s="12"/>
      <c r="D47" s="13"/>
      <c r="E47" s="13"/>
      <c r="F47" s="14"/>
      <c r="G47" s="12"/>
      <c r="H47" s="12"/>
      <c r="I47" s="12"/>
      <c r="J47" s="14"/>
      <c r="K47" s="15" t="str">
        <f aca="false">IF(OR(I47="",J47=""),"",I47*J47)</f>
        <v/>
      </c>
      <c r="L47" s="12"/>
      <c r="M47" s="16"/>
      <c r="N47" s="15" t="str">
        <f aca="false">IF(OR(L47="",M47="",K47=""),"",IF(L47="GANANCIA",(K47-F47)*M47,IF(L47="BRUTO",K47*M47,"")))</f>
        <v/>
      </c>
      <c r="O47" s="17" t="str">
        <f aca="false">IF(D47="","",D47+30)</f>
        <v/>
      </c>
      <c r="P47" s="18" t="str">
        <f aca="false">IF(I47="","",IF(COUNTIF(Q47:AN47,TRUE())&gt;=I47,"PAGADO",IF(COUNTIF(Q47:AN47,TRUE())&gt;0,"PARCIAL","VIGENTE")))</f>
        <v/>
      </c>
      <c r="Q47" s="19" t="str">
        <f aca="false">IF(OR(I47="",I47&lt;1,O47=""),"",O47+0)</f>
        <v/>
      </c>
      <c r="R47" s="19" t="str">
        <f aca="false">IF(OR(I47="",I47&lt;2,O47=""),"",O47+30)</f>
        <v/>
      </c>
      <c r="S47" s="19" t="str">
        <f aca="false">IF(OR(I47="",I47&lt;3,O47=""),"",O47+60)</f>
        <v/>
      </c>
      <c r="T47" s="19" t="str">
        <f aca="false">IF(OR(I47="",I47&lt;4,O47=""),"",O47+90)</f>
        <v/>
      </c>
      <c r="U47" s="19" t="str">
        <f aca="false">IF(OR(I47="",I47&lt;5,O47=""),"",O47+120)</f>
        <v/>
      </c>
      <c r="V47" s="19" t="str">
        <f aca="false">IF(OR(I47="",I47&lt;6,O47=""),"",O47+150)</f>
        <v/>
      </c>
      <c r="W47" s="19" t="str">
        <f aca="false">IF(OR(I47="",I47&lt;7,O47=""),"",O47+180)</f>
        <v/>
      </c>
      <c r="X47" s="19" t="str">
        <f aca="false">IF(OR(I47="",I47&lt;8,O47=""),"",O47+210)</f>
        <v/>
      </c>
      <c r="Y47" s="19" t="str">
        <f aca="false">IF(OR(I47="",I47&lt;9,O47=""),"",O47+240)</f>
        <v/>
      </c>
      <c r="Z47" s="19" t="str">
        <f aca="false">IF(OR(I47="",I47&lt;10,O47=""),"",O47+270)</f>
        <v/>
      </c>
      <c r="AA47" s="19" t="str">
        <f aca="false">IF(OR(I47="",I47&lt;11,O47=""),"",O47+300)</f>
        <v/>
      </c>
      <c r="AB47" s="19" t="str">
        <f aca="false">IF(OR(I47="",I47&lt;12,O47=""),"",O47+330)</f>
        <v/>
      </c>
      <c r="AC47" s="19" t="str">
        <f aca="false">IF(OR(I47="",I47&lt;13,O47=""),"",O47+360)</f>
        <v/>
      </c>
      <c r="AD47" s="19" t="str">
        <f aca="false">IF(OR(I47="",I47&lt;14,O47=""),"",O47+390)</f>
        <v/>
      </c>
      <c r="AE47" s="19" t="str">
        <f aca="false">IF(OR(I47="",I47&lt;15,O47=""),"",O47+420)</f>
        <v/>
      </c>
      <c r="AF47" s="19" t="str">
        <f aca="false">IF(OR(I47="",I47&lt;16,O47=""),"",O47+450)</f>
        <v/>
      </c>
      <c r="AG47" s="19" t="str">
        <f aca="false">IF(OR(I47="",I47&lt;17,O47=""),"",O47+480)</f>
        <v/>
      </c>
      <c r="AH47" s="19" t="str">
        <f aca="false">IF(OR(I47="",I47&lt;18,O47=""),"",O47+510)</f>
        <v/>
      </c>
      <c r="AI47" s="19" t="str">
        <f aca="false">IF(OR(I47="",I47&lt;19,O47=""),"",O47+540)</f>
        <v/>
      </c>
      <c r="AJ47" s="19" t="str">
        <f aca="false">IF(OR(I47="",I47&lt;20,O47=""),"",O47+570)</f>
        <v/>
      </c>
      <c r="AK47" s="19" t="str">
        <f aca="false">IF(OR(I47="",I47&lt;21,O47=""),"",O47+600)</f>
        <v/>
      </c>
      <c r="AL47" s="19" t="str">
        <f aca="false">IF(OR(I47="",I47&lt;22,O47=""),"",O47+630)</f>
        <v/>
      </c>
      <c r="AM47" s="19" t="str">
        <f aca="false">IF(OR(I47="",I47&lt;23,O47=""),"",O47+660)</f>
        <v/>
      </c>
      <c r="AN47" s="19" t="str">
        <f aca="false">IF(OR(I47="",I47&lt;24,O47=""),"",O47+690)</f>
        <v/>
      </c>
      <c r="AO47" s="15" t="str">
        <f aca="false">IF(J47="","",COUNTIF(Q47:AN47,TRUE())*J47)</f>
        <v/>
      </c>
      <c r="AP47" s="15" t="str">
        <f aca="false">IF(K47="","",K47-AO47)</f>
        <v/>
      </c>
      <c r="AQ47" s="15" t="str">
        <f aca="false">IF(K47="","",K47-F47-IF(N47="",0,N47))</f>
        <v/>
      </c>
    </row>
    <row r="48" customFormat="false" ht="15" hidden="false" customHeight="false" outlineLevel="0" collapsed="false">
      <c r="A48" s="4"/>
      <c r="B48" s="4"/>
      <c r="C48" s="4"/>
      <c r="D48" s="5"/>
      <c r="E48" s="5"/>
      <c r="F48" s="6"/>
      <c r="G48" s="4"/>
      <c r="H48" s="4"/>
      <c r="I48" s="4"/>
      <c r="J48" s="6"/>
      <c r="K48" s="7" t="str">
        <f aca="false">IF(OR(I48="",J48=""),"",I48*J48)</f>
        <v/>
      </c>
      <c r="L48" s="4"/>
      <c r="M48" s="8"/>
      <c r="N48" s="7" t="str">
        <f aca="false">IF(OR(L48="",M48="",K48=""),"",IF(L48="GANANCIA",(K48-F48)*M48,IF(L48="BRUTO",K48*M48,"")))</f>
        <v/>
      </c>
      <c r="O48" s="9" t="str">
        <f aca="false">IF(D48="","",D48+30)</f>
        <v/>
      </c>
      <c r="P48" s="10" t="str">
        <f aca="false">IF(I48="","",IF(COUNTIF(Q48:AN48,TRUE())&gt;=I48,"PAGADO",IF(COUNTIF(Q48:AN48,TRUE())&gt;0,"PARCIAL","VIGENTE")))</f>
        <v/>
      </c>
      <c r="Q48" s="11" t="str">
        <f aca="false">IF(OR(I48="",I48&lt;1,O48=""),"",O48+0)</f>
        <v/>
      </c>
      <c r="R48" s="11" t="str">
        <f aca="false">IF(OR(I48="",I48&lt;2,O48=""),"",O48+30)</f>
        <v/>
      </c>
      <c r="S48" s="11" t="str">
        <f aca="false">IF(OR(I48="",I48&lt;3,O48=""),"",O48+60)</f>
        <v/>
      </c>
      <c r="T48" s="11" t="str">
        <f aca="false">IF(OR(I48="",I48&lt;4,O48=""),"",O48+90)</f>
        <v/>
      </c>
      <c r="U48" s="11" t="str">
        <f aca="false">IF(OR(I48="",I48&lt;5,O48=""),"",O48+120)</f>
        <v/>
      </c>
      <c r="V48" s="11" t="str">
        <f aca="false">IF(OR(I48="",I48&lt;6,O48=""),"",O48+150)</f>
        <v/>
      </c>
      <c r="W48" s="11" t="str">
        <f aca="false">IF(OR(I48="",I48&lt;7,O48=""),"",O48+180)</f>
        <v/>
      </c>
      <c r="X48" s="11" t="str">
        <f aca="false">IF(OR(I48="",I48&lt;8,O48=""),"",O48+210)</f>
        <v/>
      </c>
      <c r="Y48" s="11" t="str">
        <f aca="false">IF(OR(I48="",I48&lt;9,O48=""),"",O48+240)</f>
        <v/>
      </c>
      <c r="Z48" s="11" t="str">
        <f aca="false">IF(OR(I48="",I48&lt;10,O48=""),"",O48+270)</f>
        <v/>
      </c>
      <c r="AA48" s="11" t="str">
        <f aca="false">IF(OR(I48="",I48&lt;11,O48=""),"",O48+300)</f>
        <v/>
      </c>
      <c r="AB48" s="11" t="str">
        <f aca="false">IF(OR(I48="",I48&lt;12,O48=""),"",O48+330)</f>
        <v/>
      </c>
      <c r="AC48" s="11" t="str">
        <f aca="false">IF(OR(I48="",I48&lt;13,O48=""),"",O48+360)</f>
        <v/>
      </c>
      <c r="AD48" s="11" t="str">
        <f aca="false">IF(OR(I48="",I48&lt;14,O48=""),"",O48+390)</f>
        <v/>
      </c>
      <c r="AE48" s="11" t="str">
        <f aca="false">IF(OR(I48="",I48&lt;15,O48=""),"",O48+420)</f>
        <v/>
      </c>
      <c r="AF48" s="11" t="str">
        <f aca="false">IF(OR(I48="",I48&lt;16,O48=""),"",O48+450)</f>
        <v/>
      </c>
      <c r="AG48" s="11" t="str">
        <f aca="false">IF(OR(I48="",I48&lt;17,O48=""),"",O48+480)</f>
        <v/>
      </c>
      <c r="AH48" s="11" t="str">
        <f aca="false">IF(OR(I48="",I48&lt;18,O48=""),"",O48+510)</f>
        <v/>
      </c>
      <c r="AI48" s="11" t="str">
        <f aca="false">IF(OR(I48="",I48&lt;19,O48=""),"",O48+540)</f>
        <v/>
      </c>
      <c r="AJ48" s="11" t="str">
        <f aca="false">IF(OR(I48="",I48&lt;20,O48=""),"",O48+570)</f>
        <v/>
      </c>
      <c r="AK48" s="11" t="str">
        <f aca="false">IF(OR(I48="",I48&lt;21,O48=""),"",O48+600)</f>
        <v/>
      </c>
      <c r="AL48" s="11" t="str">
        <f aca="false">IF(OR(I48="",I48&lt;22,O48=""),"",O48+630)</f>
        <v/>
      </c>
      <c r="AM48" s="11" t="str">
        <f aca="false">IF(OR(I48="",I48&lt;23,O48=""),"",O48+660)</f>
        <v/>
      </c>
      <c r="AN48" s="11" t="str">
        <f aca="false">IF(OR(I48="",I48&lt;24,O48=""),"",O48+690)</f>
        <v/>
      </c>
      <c r="AO48" s="7" t="str">
        <f aca="false">IF(J48="","",COUNTIF(Q48:AN48,TRUE())*J48)</f>
        <v/>
      </c>
      <c r="AP48" s="7" t="str">
        <f aca="false">IF(K48="","",K48-AO48)</f>
        <v/>
      </c>
      <c r="AQ48" s="7" t="str">
        <f aca="false">IF(K48="","",K48-F48-IF(N48="",0,N48))</f>
        <v/>
      </c>
    </row>
    <row r="49" customFormat="false" ht="15" hidden="false" customHeight="false" outlineLevel="0" collapsed="false">
      <c r="A49" s="12"/>
      <c r="B49" s="12"/>
      <c r="C49" s="12"/>
      <c r="D49" s="13"/>
      <c r="E49" s="13"/>
      <c r="F49" s="14"/>
      <c r="G49" s="12"/>
      <c r="H49" s="12"/>
      <c r="I49" s="12"/>
      <c r="J49" s="14"/>
      <c r="K49" s="15" t="str">
        <f aca="false">IF(OR(I49="",J49=""),"",I49*J49)</f>
        <v/>
      </c>
      <c r="L49" s="12"/>
      <c r="M49" s="16"/>
      <c r="N49" s="15" t="str">
        <f aca="false">IF(OR(L49="",M49="",K49=""),"",IF(L49="GANANCIA",(K49-F49)*M49,IF(L49="BRUTO",K49*M49,"")))</f>
        <v/>
      </c>
      <c r="O49" s="17" t="str">
        <f aca="false">IF(D49="","",D49+30)</f>
        <v/>
      </c>
      <c r="P49" s="18" t="str">
        <f aca="false">IF(I49="","",IF(COUNTIF(Q49:AN49,TRUE())&gt;=I49,"PAGADO",IF(COUNTIF(Q49:AN49,TRUE())&gt;0,"PARCIAL","VIGENTE")))</f>
        <v/>
      </c>
      <c r="Q49" s="19" t="str">
        <f aca="false">IF(OR(I49="",I49&lt;1,O49=""),"",O49+0)</f>
        <v/>
      </c>
      <c r="R49" s="19" t="str">
        <f aca="false">IF(OR(I49="",I49&lt;2,O49=""),"",O49+30)</f>
        <v/>
      </c>
      <c r="S49" s="19" t="str">
        <f aca="false">IF(OR(I49="",I49&lt;3,O49=""),"",O49+60)</f>
        <v/>
      </c>
      <c r="T49" s="19" t="str">
        <f aca="false">IF(OR(I49="",I49&lt;4,O49=""),"",O49+90)</f>
        <v/>
      </c>
      <c r="U49" s="19" t="str">
        <f aca="false">IF(OR(I49="",I49&lt;5,O49=""),"",O49+120)</f>
        <v/>
      </c>
      <c r="V49" s="19" t="str">
        <f aca="false">IF(OR(I49="",I49&lt;6,O49=""),"",O49+150)</f>
        <v/>
      </c>
      <c r="W49" s="19" t="str">
        <f aca="false">IF(OR(I49="",I49&lt;7,O49=""),"",O49+180)</f>
        <v/>
      </c>
      <c r="X49" s="19" t="str">
        <f aca="false">IF(OR(I49="",I49&lt;8,O49=""),"",O49+210)</f>
        <v/>
      </c>
      <c r="Y49" s="19" t="str">
        <f aca="false">IF(OR(I49="",I49&lt;9,O49=""),"",O49+240)</f>
        <v/>
      </c>
      <c r="Z49" s="19" t="str">
        <f aca="false">IF(OR(I49="",I49&lt;10,O49=""),"",O49+270)</f>
        <v/>
      </c>
      <c r="AA49" s="19" t="str">
        <f aca="false">IF(OR(I49="",I49&lt;11,O49=""),"",O49+300)</f>
        <v/>
      </c>
      <c r="AB49" s="19" t="str">
        <f aca="false">IF(OR(I49="",I49&lt;12,O49=""),"",O49+330)</f>
        <v/>
      </c>
      <c r="AC49" s="19" t="str">
        <f aca="false">IF(OR(I49="",I49&lt;13,O49=""),"",O49+360)</f>
        <v/>
      </c>
      <c r="AD49" s="19" t="str">
        <f aca="false">IF(OR(I49="",I49&lt;14,O49=""),"",O49+390)</f>
        <v/>
      </c>
      <c r="AE49" s="19" t="str">
        <f aca="false">IF(OR(I49="",I49&lt;15,O49=""),"",O49+420)</f>
        <v/>
      </c>
      <c r="AF49" s="19" t="str">
        <f aca="false">IF(OR(I49="",I49&lt;16,O49=""),"",O49+450)</f>
        <v/>
      </c>
      <c r="AG49" s="19" t="str">
        <f aca="false">IF(OR(I49="",I49&lt;17,O49=""),"",O49+480)</f>
        <v/>
      </c>
      <c r="AH49" s="19" t="str">
        <f aca="false">IF(OR(I49="",I49&lt;18,O49=""),"",O49+510)</f>
        <v/>
      </c>
      <c r="AI49" s="19" t="str">
        <f aca="false">IF(OR(I49="",I49&lt;19,O49=""),"",O49+540)</f>
        <v/>
      </c>
      <c r="AJ49" s="19" t="str">
        <f aca="false">IF(OR(I49="",I49&lt;20,O49=""),"",O49+570)</f>
        <v/>
      </c>
      <c r="AK49" s="19" t="str">
        <f aca="false">IF(OR(I49="",I49&lt;21,O49=""),"",O49+600)</f>
        <v/>
      </c>
      <c r="AL49" s="19" t="str">
        <f aca="false">IF(OR(I49="",I49&lt;22,O49=""),"",O49+630)</f>
        <v/>
      </c>
      <c r="AM49" s="19" t="str">
        <f aca="false">IF(OR(I49="",I49&lt;23,O49=""),"",O49+660)</f>
        <v/>
      </c>
      <c r="AN49" s="19" t="str">
        <f aca="false">IF(OR(I49="",I49&lt;24,O49=""),"",O49+690)</f>
        <v/>
      </c>
      <c r="AO49" s="15" t="str">
        <f aca="false">IF(J49="","",COUNTIF(Q49:AN49,TRUE())*J49)</f>
        <v/>
      </c>
      <c r="AP49" s="15" t="str">
        <f aca="false">IF(K49="","",K49-AO49)</f>
        <v/>
      </c>
      <c r="AQ49" s="15" t="str">
        <f aca="false">IF(K49="","",K49-F49-IF(N49="",0,N49))</f>
        <v/>
      </c>
    </row>
    <row r="50" customFormat="false" ht="15" hidden="false" customHeight="false" outlineLevel="0" collapsed="false">
      <c r="A50" s="4"/>
      <c r="B50" s="4"/>
      <c r="C50" s="4"/>
      <c r="D50" s="5"/>
      <c r="E50" s="5"/>
      <c r="F50" s="6"/>
      <c r="G50" s="4"/>
      <c r="H50" s="4"/>
      <c r="I50" s="4"/>
      <c r="J50" s="6"/>
      <c r="K50" s="7" t="str">
        <f aca="false">IF(OR(I50="",J50=""),"",I50*J50)</f>
        <v/>
      </c>
      <c r="L50" s="4"/>
      <c r="M50" s="8"/>
      <c r="N50" s="7" t="str">
        <f aca="false">IF(OR(L50="",M50="",K50=""),"",IF(L50="GANANCIA",(K50-F50)*M50,IF(L50="BRUTO",K50*M50,"")))</f>
        <v/>
      </c>
      <c r="O50" s="9" t="str">
        <f aca="false">IF(D50="","",D50+30)</f>
        <v/>
      </c>
      <c r="P50" s="10" t="str">
        <f aca="false">IF(I50="","",IF(COUNTIF(Q50:AN50,TRUE())&gt;=I50,"PAGADO",IF(COUNTIF(Q50:AN50,TRUE())&gt;0,"PARCIAL","VIGENTE")))</f>
        <v/>
      </c>
      <c r="Q50" s="11" t="str">
        <f aca="false">IF(OR(I50="",I50&lt;1,O50=""),"",O50+0)</f>
        <v/>
      </c>
      <c r="R50" s="11" t="str">
        <f aca="false">IF(OR(I50="",I50&lt;2,O50=""),"",O50+30)</f>
        <v/>
      </c>
      <c r="S50" s="11" t="str">
        <f aca="false">IF(OR(I50="",I50&lt;3,O50=""),"",O50+60)</f>
        <v/>
      </c>
      <c r="T50" s="11" t="str">
        <f aca="false">IF(OR(I50="",I50&lt;4,O50=""),"",O50+90)</f>
        <v/>
      </c>
      <c r="U50" s="11" t="str">
        <f aca="false">IF(OR(I50="",I50&lt;5,O50=""),"",O50+120)</f>
        <v/>
      </c>
      <c r="V50" s="11" t="str">
        <f aca="false">IF(OR(I50="",I50&lt;6,O50=""),"",O50+150)</f>
        <v/>
      </c>
      <c r="W50" s="11" t="str">
        <f aca="false">IF(OR(I50="",I50&lt;7,O50=""),"",O50+180)</f>
        <v/>
      </c>
      <c r="X50" s="11" t="str">
        <f aca="false">IF(OR(I50="",I50&lt;8,O50=""),"",O50+210)</f>
        <v/>
      </c>
      <c r="Y50" s="11" t="str">
        <f aca="false">IF(OR(I50="",I50&lt;9,O50=""),"",O50+240)</f>
        <v/>
      </c>
      <c r="Z50" s="11" t="str">
        <f aca="false">IF(OR(I50="",I50&lt;10,O50=""),"",O50+270)</f>
        <v/>
      </c>
      <c r="AA50" s="11" t="str">
        <f aca="false">IF(OR(I50="",I50&lt;11,O50=""),"",O50+300)</f>
        <v/>
      </c>
      <c r="AB50" s="11" t="str">
        <f aca="false">IF(OR(I50="",I50&lt;12,O50=""),"",O50+330)</f>
        <v/>
      </c>
      <c r="AC50" s="11" t="str">
        <f aca="false">IF(OR(I50="",I50&lt;13,O50=""),"",O50+360)</f>
        <v/>
      </c>
      <c r="AD50" s="11" t="str">
        <f aca="false">IF(OR(I50="",I50&lt;14,O50=""),"",O50+390)</f>
        <v/>
      </c>
      <c r="AE50" s="11" t="str">
        <f aca="false">IF(OR(I50="",I50&lt;15,O50=""),"",O50+420)</f>
        <v/>
      </c>
      <c r="AF50" s="11" t="str">
        <f aca="false">IF(OR(I50="",I50&lt;16,O50=""),"",O50+450)</f>
        <v/>
      </c>
      <c r="AG50" s="11" t="str">
        <f aca="false">IF(OR(I50="",I50&lt;17,O50=""),"",O50+480)</f>
        <v/>
      </c>
      <c r="AH50" s="11" t="str">
        <f aca="false">IF(OR(I50="",I50&lt;18,O50=""),"",O50+510)</f>
        <v/>
      </c>
      <c r="AI50" s="11" t="str">
        <f aca="false">IF(OR(I50="",I50&lt;19,O50=""),"",O50+540)</f>
        <v/>
      </c>
      <c r="AJ50" s="11" t="str">
        <f aca="false">IF(OR(I50="",I50&lt;20,O50=""),"",O50+570)</f>
        <v/>
      </c>
      <c r="AK50" s="11" t="str">
        <f aca="false">IF(OR(I50="",I50&lt;21,O50=""),"",O50+600)</f>
        <v/>
      </c>
      <c r="AL50" s="11" t="str">
        <f aca="false">IF(OR(I50="",I50&lt;22,O50=""),"",O50+630)</f>
        <v/>
      </c>
      <c r="AM50" s="11" t="str">
        <f aca="false">IF(OR(I50="",I50&lt;23,O50=""),"",O50+660)</f>
        <v/>
      </c>
      <c r="AN50" s="11" t="str">
        <f aca="false">IF(OR(I50="",I50&lt;24,O50=""),"",O50+690)</f>
        <v/>
      </c>
      <c r="AO50" s="7" t="str">
        <f aca="false">IF(J50="","",COUNTIF(Q50:AN50,TRUE())*J50)</f>
        <v/>
      </c>
      <c r="AP50" s="7" t="str">
        <f aca="false">IF(K50="","",K50-AO50)</f>
        <v/>
      </c>
      <c r="AQ50" s="7" t="str">
        <f aca="false">IF(K50="","",K50-F50-IF(N50="",0,N50))</f>
        <v/>
      </c>
    </row>
    <row r="51" customFormat="false" ht="15" hidden="false" customHeight="false" outlineLevel="0" collapsed="false">
      <c r="A51" s="12"/>
      <c r="B51" s="12"/>
      <c r="C51" s="12"/>
      <c r="D51" s="13"/>
      <c r="E51" s="13"/>
      <c r="F51" s="14"/>
      <c r="G51" s="12"/>
      <c r="H51" s="12"/>
      <c r="I51" s="12"/>
      <c r="J51" s="14"/>
      <c r="K51" s="15" t="str">
        <f aca="false">IF(OR(I51="",J51=""),"",I51*J51)</f>
        <v/>
      </c>
      <c r="L51" s="12"/>
      <c r="M51" s="16"/>
      <c r="N51" s="15" t="str">
        <f aca="false">IF(OR(L51="",M51="",K51=""),"",IF(L51="GANANCIA",(K51-F51)*M51,IF(L51="BRUTO",K51*M51,"")))</f>
        <v/>
      </c>
      <c r="O51" s="17" t="str">
        <f aca="false">IF(D51="","",D51+30)</f>
        <v/>
      </c>
      <c r="P51" s="18" t="str">
        <f aca="false">IF(I51="","",IF(COUNTIF(Q51:AN51,TRUE())&gt;=I51,"PAGADO",IF(COUNTIF(Q51:AN51,TRUE())&gt;0,"PARCIAL","VIGENTE")))</f>
        <v/>
      </c>
      <c r="Q51" s="19" t="str">
        <f aca="false">IF(OR(I51="",I51&lt;1,O51=""),"",O51+0)</f>
        <v/>
      </c>
      <c r="R51" s="19" t="str">
        <f aca="false">IF(OR(I51="",I51&lt;2,O51=""),"",O51+30)</f>
        <v/>
      </c>
      <c r="S51" s="19" t="str">
        <f aca="false">IF(OR(I51="",I51&lt;3,O51=""),"",O51+60)</f>
        <v/>
      </c>
      <c r="T51" s="19" t="str">
        <f aca="false">IF(OR(I51="",I51&lt;4,O51=""),"",O51+90)</f>
        <v/>
      </c>
      <c r="U51" s="19" t="str">
        <f aca="false">IF(OR(I51="",I51&lt;5,O51=""),"",O51+120)</f>
        <v/>
      </c>
      <c r="V51" s="19" t="str">
        <f aca="false">IF(OR(I51="",I51&lt;6,O51=""),"",O51+150)</f>
        <v/>
      </c>
      <c r="W51" s="19" t="str">
        <f aca="false">IF(OR(I51="",I51&lt;7,O51=""),"",O51+180)</f>
        <v/>
      </c>
      <c r="X51" s="19" t="str">
        <f aca="false">IF(OR(I51="",I51&lt;8,O51=""),"",O51+210)</f>
        <v/>
      </c>
      <c r="Y51" s="19" t="str">
        <f aca="false">IF(OR(I51="",I51&lt;9,O51=""),"",O51+240)</f>
        <v/>
      </c>
      <c r="Z51" s="19" t="str">
        <f aca="false">IF(OR(I51="",I51&lt;10,O51=""),"",O51+270)</f>
        <v/>
      </c>
      <c r="AA51" s="19" t="str">
        <f aca="false">IF(OR(I51="",I51&lt;11,O51=""),"",O51+300)</f>
        <v/>
      </c>
      <c r="AB51" s="19" t="str">
        <f aca="false">IF(OR(I51="",I51&lt;12,O51=""),"",O51+330)</f>
        <v/>
      </c>
      <c r="AC51" s="19" t="str">
        <f aca="false">IF(OR(I51="",I51&lt;13,O51=""),"",O51+360)</f>
        <v/>
      </c>
      <c r="AD51" s="19" t="str">
        <f aca="false">IF(OR(I51="",I51&lt;14,O51=""),"",O51+390)</f>
        <v/>
      </c>
      <c r="AE51" s="19" t="str">
        <f aca="false">IF(OR(I51="",I51&lt;15,O51=""),"",O51+420)</f>
        <v/>
      </c>
      <c r="AF51" s="19" t="str">
        <f aca="false">IF(OR(I51="",I51&lt;16,O51=""),"",O51+450)</f>
        <v/>
      </c>
      <c r="AG51" s="19" t="str">
        <f aca="false">IF(OR(I51="",I51&lt;17,O51=""),"",O51+480)</f>
        <v/>
      </c>
      <c r="AH51" s="19" t="str">
        <f aca="false">IF(OR(I51="",I51&lt;18,O51=""),"",O51+510)</f>
        <v/>
      </c>
      <c r="AI51" s="19" t="str">
        <f aca="false">IF(OR(I51="",I51&lt;19,O51=""),"",O51+540)</f>
        <v/>
      </c>
      <c r="AJ51" s="19" t="str">
        <f aca="false">IF(OR(I51="",I51&lt;20,O51=""),"",O51+570)</f>
        <v/>
      </c>
      <c r="AK51" s="19" t="str">
        <f aca="false">IF(OR(I51="",I51&lt;21,O51=""),"",O51+600)</f>
        <v/>
      </c>
      <c r="AL51" s="19" t="str">
        <f aca="false">IF(OR(I51="",I51&lt;22,O51=""),"",O51+630)</f>
        <v/>
      </c>
      <c r="AM51" s="19" t="str">
        <f aca="false">IF(OR(I51="",I51&lt;23,O51=""),"",O51+660)</f>
        <v/>
      </c>
      <c r="AN51" s="19" t="str">
        <f aca="false">IF(OR(I51="",I51&lt;24,O51=""),"",O51+690)</f>
        <v/>
      </c>
      <c r="AO51" s="15" t="str">
        <f aca="false">IF(J51="","",COUNTIF(Q51:AN51,TRUE())*J51)</f>
        <v/>
      </c>
      <c r="AP51" s="15" t="str">
        <f aca="false">IF(K51="","",K51-AO51)</f>
        <v/>
      </c>
      <c r="AQ51" s="15" t="str">
        <f aca="false">IF(K51="","",K51-F51-IF(N51="",0,N51))</f>
        <v/>
      </c>
    </row>
    <row r="52" customFormat="false" ht="15" hidden="false" customHeight="false" outlineLevel="0" collapsed="false">
      <c r="A52" s="4"/>
      <c r="B52" s="4"/>
      <c r="C52" s="4"/>
      <c r="D52" s="5"/>
      <c r="E52" s="5"/>
      <c r="F52" s="6"/>
      <c r="G52" s="4"/>
      <c r="H52" s="4"/>
      <c r="I52" s="4"/>
      <c r="J52" s="6"/>
      <c r="K52" s="7" t="str">
        <f aca="false">IF(OR(I52="",J52=""),"",I52*J52)</f>
        <v/>
      </c>
      <c r="L52" s="4"/>
      <c r="M52" s="8"/>
      <c r="N52" s="7" t="str">
        <f aca="false">IF(OR(L52="",M52="",K52=""),"",IF(L52="GANANCIA",(K52-F52)*M52,IF(L52="BRUTO",K52*M52,"")))</f>
        <v/>
      </c>
      <c r="O52" s="9" t="str">
        <f aca="false">IF(D52="","",D52+30)</f>
        <v/>
      </c>
      <c r="P52" s="10" t="str">
        <f aca="false">IF(I52="","",IF(COUNTIF(Q52:AN52,TRUE())&gt;=I52,"PAGADO",IF(COUNTIF(Q52:AN52,TRUE())&gt;0,"PARCIAL","VIGENTE")))</f>
        <v/>
      </c>
      <c r="Q52" s="11" t="str">
        <f aca="false">IF(OR(I52="",I52&lt;1,O52=""),"",O52+0)</f>
        <v/>
      </c>
      <c r="R52" s="11" t="str">
        <f aca="false">IF(OR(I52="",I52&lt;2,O52=""),"",O52+30)</f>
        <v/>
      </c>
      <c r="S52" s="11" t="str">
        <f aca="false">IF(OR(I52="",I52&lt;3,O52=""),"",O52+60)</f>
        <v/>
      </c>
      <c r="T52" s="11" t="str">
        <f aca="false">IF(OR(I52="",I52&lt;4,O52=""),"",O52+90)</f>
        <v/>
      </c>
      <c r="U52" s="11" t="str">
        <f aca="false">IF(OR(I52="",I52&lt;5,O52=""),"",O52+120)</f>
        <v/>
      </c>
      <c r="V52" s="11" t="str">
        <f aca="false">IF(OR(I52="",I52&lt;6,O52=""),"",O52+150)</f>
        <v/>
      </c>
      <c r="W52" s="11" t="str">
        <f aca="false">IF(OR(I52="",I52&lt;7,O52=""),"",O52+180)</f>
        <v/>
      </c>
      <c r="X52" s="11" t="str">
        <f aca="false">IF(OR(I52="",I52&lt;8,O52=""),"",O52+210)</f>
        <v/>
      </c>
      <c r="Y52" s="11" t="str">
        <f aca="false">IF(OR(I52="",I52&lt;9,O52=""),"",O52+240)</f>
        <v/>
      </c>
      <c r="Z52" s="11" t="str">
        <f aca="false">IF(OR(I52="",I52&lt;10,O52=""),"",O52+270)</f>
        <v/>
      </c>
      <c r="AA52" s="11" t="str">
        <f aca="false">IF(OR(I52="",I52&lt;11,O52=""),"",O52+300)</f>
        <v/>
      </c>
      <c r="AB52" s="11" t="str">
        <f aca="false">IF(OR(I52="",I52&lt;12,O52=""),"",O52+330)</f>
        <v/>
      </c>
      <c r="AC52" s="11" t="str">
        <f aca="false">IF(OR(I52="",I52&lt;13,O52=""),"",O52+360)</f>
        <v/>
      </c>
      <c r="AD52" s="11" t="str">
        <f aca="false">IF(OR(I52="",I52&lt;14,O52=""),"",O52+390)</f>
        <v/>
      </c>
      <c r="AE52" s="11" t="str">
        <f aca="false">IF(OR(I52="",I52&lt;15,O52=""),"",O52+420)</f>
        <v/>
      </c>
      <c r="AF52" s="11" t="str">
        <f aca="false">IF(OR(I52="",I52&lt;16,O52=""),"",O52+450)</f>
        <v/>
      </c>
      <c r="AG52" s="11" t="str">
        <f aca="false">IF(OR(I52="",I52&lt;17,O52=""),"",O52+480)</f>
        <v/>
      </c>
      <c r="AH52" s="11" t="str">
        <f aca="false">IF(OR(I52="",I52&lt;18,O52=""),"",O52+510)</f>
        <v/>
      </c>
      <c r="AI52" s="11" t="str">
        <f aca="false">IF(OR(I52="",I52&lt;19,O52=""),"",O52+540)</f>
        <v/>
      </c>
      <c r="AJ52" s="11" t="str">
        <f aca="false">IF(OR(I52="",I52&lt;20,O52=""),"",O52+570)</f>
        <v/>
      </c>
      <c r="AK52" s="11" t="str">
        <f aca="false">IF(OR(I52="",I52&lt;21,O52=""),"",O52+600)</f>
        <v/>
      </c>
      <c r="AL52" s="11" t="str">
        <f aca="false">IF(OR(I52="",I52&lt;22,O52=""),"",O52+630)</f>
        <v/>
      </c>
      <c r="AM52" s="11" t="str">
        <f aca="false">IF(OR(I52="",I52&lt;23,O52=""),"",O52+660)</f>
        <v/>
      </c>
      <c r="AN52" s="11" t="str">
        <f aca="false">IF(OR(I52="",I52&lt;24,O52=""),"",O52+690)</f>
        <v/>
      </c>
      <c r="AO52" s="7" t="str">
        <f aca="false">IF(J52="","",COUNTIF(Q52:AN52,TRUE())*J52)</f>
        <v/>
      </c>
      <c r="AP52" s="7" t="str">
        <f aca="false">IF(K52="","",K52-AO52)</f>
        <v/>
      </c>
      <c r="AQ52" s="7" t="str">
        <f aca="false">IF(K52="","",K52-F52-IF(N52="",0,N52))</f>
        <v/>
      </c>
    </row>
    <row r="53" customFormat="false" ht="15" hidden="false" customHeight="false" outlineLevel="0" collapsed="false">
      <c r="A53" s="12"/>
      <c r="B53" s="12"/>
      <c r="C53" s="12"/>
      <c r="D53" s="13"/>
      <c r="E53" s="13"/>
      <c r="F53" s="14"/>
      <c r="G53" s="12"/>
      <c r="H53" s="12"/>
      <c r="I53" s="12"/>
      <c r="J53" s="14"/>
      <c r="K53" s="15" t="str">
        <f aca="false">IF(OR(I53="",J53=""),"",I53*J53)</f>
        <v/>
      </c>
      <c r="L53" s="12"/>
      <c r="M53" s="16"/>
      <c r="N53" s="15" t="str">
        <f aca="false">IF(OR(L53="",M53="",K53=""),"",IF(L53="GANANCIA",(K53-F53)*M53,IF(L53="BRUTO",K53*M53,"")))</f>
        <v/>
      </c>
      <c r="O53" s="17" t="str">
        <f aca="false">IF(D53="","",D53+30)</f>
        <v/>
      </c>
      <c r="P53" s="18" t="str">
        <f aca="false">IF(I53="","",IF(COUNTIF(Q53:AN53,TRUE())&gt;=I53,"PAGADO",IF(COUNTIF(Q53:AN53,TRUE())&gt;0,"PARCIAL","VIGENTE")))</f>
        <v/>
      </c>
      <c r="Q53" s="19" t="str">
        <f aca="false">IF(OR(I53="",I53&lt;1,O53=""),"",O53+0)</f>
        <v/>
      </c>
      <c r="R53" s="19" t="str">
        <f aca="false">IF(OR(I53="",I53&lt;2,O53=""),"",O53+30)</f>
        <v/>
      </c>
      <c r="S53" s="19" t="str">
        <f aca="false">IF(OR(I53="",I53&lt;3,O53=""),"",O53+60)</f>
        <v/>
      </c>
      <c r="T53" s="19" t="str">
        <f aca="false">IF(OR(I53="",I53&lt;4,O53=""),"",O53+90)</f>
        <v/>
      </c>
      <c r="U53" s="19" t="str">
        <f aca="false">IF(OR(I53="",I53&lt;5,O53=""),"",O53+120)</f>
        <v/>
      </c>
      <c r="V53" s="19" t="str">
        <f aca="false">IF(OR(I53="",I53&lt;6,O53=""),"",O53+150)</f>
        <v/>
      </c>
      <c r="W53" s="19" t="str">
        <f aca="false">IF(OR(I53="",I53&lt;7,O53=""),"",O53+180)</f>
        <v/>
      </c>
      <c r="X53" s="19" t="str">
        <f aca="false">IF(OR(I53="",I53&lt;8,O53=""),"",O53+210)</f>
        <v/>
      </c>
      <c r="Y53" s="19" t="str">
        <f aca="false">IF(OR(I53="",I53&lt;9,O53=""),"",O53+240)</f>
        <v/>
      </c>
      <c r="Z53" s="19" t="str">
        <f aca="false">IF(OR(I53="",I53&lt;10,O53=""),"",O53+270)</f>
        <v/>
      </c>
      <c r="AA53" s="19" t="str">
        <f aca="false">IF(OR(I53="",I53&lt;11,O53=""),"",O53+300)</f>
        <v/>
      </c>
      <c r="AB53" s="19" t="str">
        <f aca="false">IF(OR(I53="",I53&lt;12,O53=""),"",O53+330)</f>
        <v/>
      </c>
      <c r="AC53" s="19" t="str">
        <f aca="false">IF(OR(I53="",I53&lt;13,O53=""),"",O53+360)</f>
        <v/>
      </c>
      <c r="AD53" s="19" t="str">
        <f aca="false">IF(OR(I53="",I53&lt;14,O53=""),"",O53+390)</f>
        <v/>
      </c>
      <c r="AE53" s="19" t="str">
        <f aca="false">IF(OR(I53="",I53&lt;15,O53=""),"",O53+420)</f>
        <v/>
      </c>
      <c r="AF53" s="19" t="str">
        <f aca="false">IF(OR(I53="",I53&lt;16,O53=""),"",O53+450)</f>
        <v/>
      </c>
      <c r="AG53" s="19" t="str">
        <f aca="false">IF(OR(I53="",I53&lt;17,O53=""),"",O53+480)</f>
        <v/>
      </c>
      <c r="AH53" s="19" t="str">
        <f aca="false">IF(OR(I53="",I53&lt;18,O53=""),"",O53+510)</f>
        <v/>
      </c>
      <c r="AI53" s="19" t="str">
        <f aca="false">IF(OR(I53="",I53&lt;19,O53=""),"",O53+540)</f>
        <v/>
      </c>
      <c r="AJ53" s="19" t="str">
        <f aca="false">IF(OR(I53="",I53&lt;20,O53=""),"",O53+570)</f>
        <v/>
      </c>
      <c r="AK53" s="19" t="str">
        <f aca="false">IF(OR(I53="",I53&lt;21,O53=""),"",O53+600)</f>
        <v/>
      </c>
      <c r="AL53" s="19" t="str">
        <f aca="false">IF(OR(I53="",I53&lt;22,O53=""),"",O53+630)</f>
        <v/>
      </c>
      <c r="AM53" s="19" t="str">
        <f aca="false">IF(OR(I53="",I53&lt;23,O53=""),"",O53+660)</f>
        <v/>
      </c>
      <c r="AN53" s="19" t="str">
        <f aca="false">IF(OR(I53="",I53&lt;24,O53=""),"",O53+690)</f>
        <v/>
      </c>
      <c r="AO53" s="15" t="str">
        <f aca="false">IF(J53="","",COUNTIF(Q53:AN53,TRUE())*J53)</f>
        <v/>
      </c>
      <c r="AP53" s="15" t="str">
        <f aca="false">IF(K53="","",K53-AO53)</f>
        <v/>
      </c>
      <c r="AQ53" s="15" t="str">
        <f aca="false">IF(K53="","",K53-F53-IF(N53="",0,N53))</f>
        <v/>
      </c>
    </row>
    <row r="54" customFormat="false" ht="15" hidden="false" customHeight="false" outlineLevel="0" collapsed="false">
      <c r="A54" s="4"/>
      <c r="B54" s="4"/>
      <c r="C54" s="4"/>
      <c r="D54" s="5"/>
      <c r="E54" s="5"/>
      <c r="F54" s="6"/>
      <c r="G54" s="4"/>
      <c r="H54" s="4"/>
      <c r="I54" s="4"/>
      <c r="J54" s="6"/>
      <c r="K54" s="7" t="str">
        <f aca="false">IF(OR(I54="",J54=""),"",I54*J54)</f>
        <v/>
      </c>
      <c r="L54" s="4"/>
      <c r="M54" s="8"/>
      <c r="N54" s="7" t="str">
        <f aca="false">IF(OR(L54="",M54="",K54=""),"",IF(L54="GANANCIA",(K54-F54)*M54,IF(L54="BRUTO",K54*M54,"")))</f>
        <v/>
      </c>
      <c r="O54" s="9" t="str">
        <f aca="false">IF(D54="","",D54+30)</f>
        <v/>
      </c>
      <c r="P54" s="10" t="str">
        <f aca="false">IF(I54="","",IF(COUNTIF(Q54:AN54,TRUE())&gt;=I54,"PAGADO",IF(COUNTIF(Q54:AN54,TRUE())&gt;0,"PARCIAL","VIGENTE")))</f>
        <v/>
      </c>
      <c r="Q54" s="11" t="str">
        <f aca="false">IF(OR(I54="",I54&lt;1,O54=""),"",O54+0)</f>
        <v/>
      </c>
      <c r="R54" s="11" t="str">
        <f aca="false">IF(OR(I54="",I54&lt;2,O54=""),"",O54+30)</f>
        <v/>
      </c>
      <c r="S54" s="11" t="str">
        <f aca="false">IF(OR(I54="",I54&lt;3,O54=""),"",O54+60)</f>
        <v/>
      </c>
      <c r="T54" s="11" t="str">
        <f aca="false">IF(OR(I54="",I54&lt;4,O54=""),"",O54+90)</f>
        <v/>
      </c>
      <c r="U54" s="11" t="str">
        <f aca="false">IF(OR(I54="",I54&lt;5,O54=""),"",O54+120)</f>
        <v/>
      </c>
      <c r="V54" s="11" t="str">
        <f aca="false">IF(OR(I54="",I54&lt;6,O54=""),"",O54+150)</f>
        <v/>
      </c>
      <c r="W54" s="11" t="str">
        <f aca="false">IF(OR(I54="",I54&lt;7,O54=""),"",O54+180)</f>
        <v/>
      </c>
      <c r="X54" s="11" t="str">
        <f aca="false">IF(OR(I54="",I54&lt;8,O54=""),"",O54+210)</f>
        <v/>
      </c>
      <c r="Y54" s="11" t="str">
        <f aca="false">IF(OR(I54="",I54&lt;9,O54=""),"",O54+240)</f>
        <v/>
      </c>
      <c r="Z54" s="11" t="str">
        <f aca="false">IF(OR(I54="",I54&lt;10,O54=""),"",O54+270)</f>
        <v/>
      </c>
      <c r="AA54" s="11" t="str">
        <f aca="false">IF(OR(I54="",I54&lt;11,O54=""),"",O54+300)</f>
        <v/>
      </c>
      <c r="AB54" s="11" t="str">
        <f aca="false">IF(OR(I54="",I54&lt;12,O54=""),"",O54+330)</f>
        <v/>
      </c>
      <c r="AC54" s="11" t="str">
        <f aca="false">IF(OR(I54="",I54&lt;13,O54=""),"",O54+360)</f>
        <v/>
      </c>
      <c r="AD54" s="11" t="str">
        <f aca="false">IF(OR(I54="",I54&lt;14,O54=""),"",O54+390)</f>
        <v/>
      </c>
      <c r="AE54" s="11" t="str">
        <f aca="false">IF(OR(I54="",I54&lt;15,O54=""),"",O54+420)</f>
        <v/>
      </c>
      <c r="AF54" s="11" t="str">
        <f aca="false">IF(OR(I54="",I54&lt;16,O54=""),"",O54+450)</f>
        <v/>
      </c>
      <c r="AG54" s="11" t="str">
        <f aca="false">IF(OR(I54="",I54&lt;17,O54=""),"",O54+480)</f>
        <v/>
      </c>
      <c r="AH54" s="11" t="str">
        <f aca="false">IF(OR(I54="",I54&lt;18,O54=""),"",O54+510)</f>
        <v/>
      </c>
      <c r="AI54" s="11" t="str">
        <f aca="false">IF(OR(I54="",I54&lt;19,O54=""),"",O54+540)</f>
        <v/>
      </c>
      <c r="AJ54" s="11" t="str">
        <f aca="false">IF(OR(I54="",I54&lt;20,O54=""),"",O54+570)</f>
        <v/>
      </c>
      <c r="AK54" s="11" t="str">
        <f aca="false">IF(OR(I54="",I54&lt;21,O54=""),"",O54+600)</f>
        <v/>
      </c>
      <c r="AL54" s="11" t="str">
        <f aca="false">IF(OR(I54="",I54&lt;22,O54=""),"",O54+630)</f>
        <v/>
      </c>
      <c r="AM54" s="11" t="str">
        <f aca="false">IF(OR(I54="",I54&lt;23,O54=""),"",O54+660)</f>
        <v/>
      </c>
      <c r="AN54" s="11" t="str">
        <f aca="false">IF(OR(I54="",I54&lt;24,O54=""),"",O54+690)</f>
        <v/>
      </c>
      <c r="AO54" s="7" t="str">
        <f aca="false">IF(J54="","",COUNTIF(Q54:AN54,TRUE())*J54)</f>
        <v/>
      </c>
      <c r="AP54" s="7" t="str">
        <f aca="false">IF(K54="","",K54-AO54)</f>
        <v/>
      </c>
      <c r="AQ54" s="7" t="str">
        <f aca="false">IF(K54="","",K54-F54-IF(N54="",0,N54))</f>
        <v/>
      </c>
    </row>
    <row r="55" customFormat="false" ht="15" hidden="false" customHeight="false" outlineLevel="0" collapsed="false">
      <c r="A55" s="12"/>
      <c r="B55" s="12"/>
      <c r="C55" s="12"/>
      <c r="D55" s="13"/>
      <c r="E55" s="13"/>
      <c r="F55" s="14"/>
      <c r="G55" s="12"/>
      <c r="H55" s="12"/>
      <c r="I55" s="12"/>
      <c r="J55" s="14"/>
      <c r="K55" s="15" t="str">
        <f aca="false">IF(OR(I55="",J55=""),"",I55*J55)</f>
        <v/>
      </c>
      <c r="L55" s="12"/>
      <c r="M55" s="16"/>
      <c r="N55" s="15" t="str">
        <f aca="false">IF(OR(L55="",M55="",K55=""),"",IF(L55="GANANCIA",(K55-F55)*M55,IF(L55="BRUTO",K55*M55,"")))</f>
        <v/>
      </c>
      <c r="O55" s="17" t="str">
        <f aca="false">IF(D55="","",D55+30)</f>
        <v/>
      </c>
      <c r="P55" s="18" t="str">
        <f aca="false">IF(I55="","",IF(COUNTIF(Q55:AN55,TRUE())&gt;=I55,"PAGADO",IF(COUNTIF(Q55:AN55,TRUE())&gt;0,"PARCIAL","VIGENTE")))</f>
        <v/>
      </c>
      <c r="Q55" s="19" t="str">
        <f aca="false">IF(OR(I55="",I55&lt;1,O55=""),"",O55+0)</f>
        <v/>
      </c>
      <c r="R55" s="19" t="str">
        <f aca="false">IF(OR(I55="",I55&lt;2,O55=""),"",O55+30)</f>
        <v/>
      </c>
      <c r="S55" s="19" t="str">
        <f aca="false">IF(OR(I55="",I55&lt;3,O55=""),"",O55+60)</f>
        <v/>
      </c>
      <c r="T55" s="19" t="str">
        <f aca="false">IF(OR(I55="",I55&lt;4,O55=""),"",O55+90)</f>
        <v/>
      </c>
      <c r="U55" s="19" t="str">
        <f aca="false">IF(OR(I55="",I55&lt;5,O55=""),"",O55+120)</f>
        <v/>
      </c>
      <c r="V55" s="19" t="str">
        <f aca="false">IF(OR(I55="",I55&lt;6,O55=""),"",O55+150)</f>
        <v/>
      </c>
      <c r="W55" s="19" t="str">
        <f aca="false">IF(OR(I55="",I55&lt;7,O55=""),"",O55+180)</f>
        <v/>
      </c>
      <c r="X55" s="19" t="str">
        <f aca="false">IF(OR(I55="",I55&lt;8,O55=""),"",O55+210)</f>
        <v/>
      </c>
      <c r="Y55" s="19" t="str">
        <f aca="false">IF(OR(I55="",I55&lt;9,O55=""),"",O55+240)</f>
        <v/>
      </c>
      <c r="Z55" s="19" t="str">
        <f aca="false">IF(OR(I55="",I55&lt;10,O55=""),"",O55+270)</f>
        <v/>
      </c>
      <c r="AA55" s="19" t="str">
        <f aca="false">IF(OR(I55="",I55&lt;11,O55=""),"",O55+300)</f>
        <v/>
      </c>
      <c r="AB55" s="19" t="str">
        <f aca="false">IF(OR(I55="",I55&lt;12,O55=""),"",O55+330)</f>
        <v/>
      </c>
      <c r="AC55" s="19" t="str">
        <f aca="false">IF(OR(I55="",I55&lt;13,O55=""),"",O55+360)</f>
        <v/>
      </c>
      <c r="AD55" s="19" t="str">
        <f aca="false">IF(OR(I55="",I55&lt;14,O55=""),"",O55+390)</f>
        <v/>
      </c>
      <c r="AE55" s="19" t="str">
        <f aca="false">IF(OR(I55="",I55&lt;15,O55=""),"",O55+420)</f>
        <v/>
      </c>
      <c r="AF55" s="19" t="str">
        <f aca="false">IF(OR(I55="",I55&lt;16,O55=""),"",O55+450)</f>
        <v/>
      </c>
      <c r="AG55" s="19" t="str">
        <f aca="false">IF(OR(I55="",I55&lt;17,O55=""),"",O55+480)</f>
        <v/>
      </c>
      <c r="AH55" s="19" t="str">
        <f aca="false">IF(OR(I55="",I55&lt;18,O55=""),"",O55+510)</f>
        <v/>
      </c>
      <c r="AI55" s="19" t="str">
        <f aca="false">IF(OR(I55="",I55&lt;19,O55=""),"",O55+540)</f>
        <v/>
      </c>
      <c r="AJ55" s="19" t="str">
        <f aca="false">IF(OR(I55="",I55&lt;20,O55=""),"",O55+570)</f>
        <v/>
      </c>
      <c r="AK55" s="19" t="str">
        <f aca="false">IF(OR(I55="",I55&lt;21,O55=""),"",O55+600)</f>
        <v/>
      </c>
      <c r="AL55" s="19" t="str">
        <f aca="false">IF(OR(I55="",I55&lt;22,O55=""),"",O55+630)</f>
        <v/>
      </c>
      <c r="AM55" s="19" t="str">
        <f aca="false">IF(OR(I55="",I55&lt;23,O55=""),"",O55+660)</f>
        <v/>
      </c>
      <c r="AN55" s="19" t="str">
        <f aca="false">IF(OR(I55="",I55&lt;24,O55=""),"",O55+690)</f>
        <v/>
      </c>
      <c r="AO55" s="15" t="str">
        <f aca="false">IF(J55="","",COUNTIF(Q55:AN55,TRUE())*J55)</f>
        <v/>
      </c>
      <c r="AP55" s="15" t="str">
        <f aca="false">IF(K55="","",K55-AO55)</f>
        <v/>
      </c>
      <c r="AQ55" s="15" t="str">
        <f aca="false">IF(K55="","",K55-F55-IF(N55="",0,N55))</f>
        <v/>
      </c>
    </row>
    <row r="56" customFormat="false" ht="15" hidden="false" customHeight="false" outlineLevel="0" collapsed="false">
      <c r="A56" s="4"/>
      <c r="B56" s="4"/>
      <c r="C56" s="4"/>
      <c r="D56" s="5"/>
      <c r="E56" s="5"/>
      <c r="F56" s="6"/>
      <c r="G56" s="4"/>
      <c r="H56" s="4"/>
      <c r="I56" s="4"/>
      <c r="J56" s="6"/>
      <c r="K56" s="7" t="str">
        <f aca="false">IF(OR(I56="",J56=""),"",I56*J56)</f>
        <v/>
      </c>
      <c r="L56" s="4"/>
      <c r="M56" s="8"/>
      <c r="N56" s="7" t="str">
        <f aca="false">IF(OR(L56="",M56="",K56=""),"",IF(L56="GANANCIA",(K56-F56)*M56,IF(L56="BRUTO",K56*M56,"")))</f>
        <v/>
      </c>
      <c r="O56" s="9" t="str">
        <f aca="false">IF(D56="","",D56+30)</f>
        <v/>
      </c>
      <c r="P56" s="10" t="str">
        <f aca="false">IF(I56="","",IF(COUNTIF(Q56:AN56,TRUE())&gt;=I56,"PAGADO",IF(COUNTIF(Q56:AN56,TRUE())&gt;0,"PARCIAL","VIGENTE")))</f>
        <v/>
      </c>
      <c r="Q56" s="11" t="str">
        <f aca="false">IF(OR(I56="",I56&lt;1,O56=""),"",O56+0)</f>
        <v/>
      </c>
      <c r="R56" s="11" t="str">
        <f aca="false">IF(OR(I56="",I56&lt;2,O56=""),"",O56+30)</f>
        <v/>
      </c>
      <c r="S56" s="11" t="str">
        <f aca="false">IF(OR(I56="",I56&lt;3,O56=""),"",O56+60)</f>
        <v/>
      </c>
      <c r="T56" s="11" t="str">
        <f aca="false">IF(OR(I56="",I56&lt;4,O56=""),"",O56+90)</f>
        <v/>
      </c>
      <c r="U56" s="11" t="str">
        <f aca="false">IF(OR(I56="",I56&lt;5,O56=""),"",O56+120)</f>
        <v/>
      </c>
      <c r="V56" s="11" t="str">
        <f aca="false">IF(OR(I56="",I56&lt;6,O56=""),"",O56+150)</f>
        <v/>
      </c>
      <c r="W56" s="11" t="str">
        <f aca="false">IF(OR(I56="",I56&lt;7,O56=""),"",O56+180)</f>
        <v/>
      </c>
      <c r="X56" s="11" t="str">
        <f aca="false">IF(OR(I56="",I56&lt;8,O56=""),"",O56+210)</f>
        <v/>
      </c>
      <c r="Y56" s="11" t="str">
        <f aca="false">IF(OR(I56="",I56&lt;9,O56=""),"",O56+240)</f>
        <v/>
      </c>
      <c r="Z56" s="11" t="str">
        <f aca="false">IF(OR(I56="",I56&lt;10,O56=""),"",O56+270)</f>
        <v/>
      </c>
      <c r="AA56" s="11" t="str">
        <f aca="false">IF(OR(I56="",I56&lt;11,O56=""),"",O56+300)</f>
        <v/>
      </c>
      <c r="AB56" s="11" t="str">
        <f aca="false">IF(OR(I56="",I56&lt;12,O56=""),"",O56+330)</f>
        <v/>
      </c>
      <c r="AC56" s="11" t="str">
        <f aca="false">IF(OR(I56="",I56&lt;13,O56=""),"",O56+360)</f>
        <v/>
      </c>
      <c r="AD56" s="11" t="str">
        <f aca="false">IF(OR(I56="",I56&lt;14,O56=""),"",O56+390)</f>
        <v/>
      </c>
      <c r="AE56" s="11" t="str">
        <f aca="false">IF(OR(I56="",I56&lt;15,O56=""),"",O56+420)</f>
        <v/>
      </c>
      <c r="AF56" s="11" t="str">
        <f aca="false">IF(OR(I56="",I56&lt;16,O56=""),"",O56+450)</f>
        <v/>
      </c>
      <c r="AG56" s="11" t="str">
        <f aca="false">IF(OR(I56="",I56&lt;17,O56=""),"",O56+480)</f>
        <v/>
      </c>
      <c r="AH56" s="11" t="str">
        <f aca="false">IF(OR(I56="",I56&lt;18,O56=""),"",O56+510)</f>
        <v/>
      </c>
      <c r="AI56" s="11" t="str">
        <f aca="false">IF(OR(I56="",I56&lt;19,O56=""),"",O56+540)</f>
        <v/>
      </c>
      <c r="AJ56" s="11" t="str">
        <f aca="false">IF(OR(I56="",I56&lt;20,O56=""),"",O56+570)</f>
        <v/>
      </c>
      <c r="AK56" s="11" t="str">
        <f aca="false">IF(OR(I56="",I56&lt;21,O56=""),"",O56+600)</f>
        <v/>
      </c>
      <c r="AL56" s="11" t="str">
        <f aca="false">IF(OR(I56="",I56&lt;22,O56=""),"",O56+630)</f>
        <v/>
      </c>
      <c r="AM56" s="11" t="str">
        <f aca="false">IF(OR(I56="",I56&lt;23,O56=""),"",O56+660)</f>
        <v/>
      </c>
      <c r="AN56" s="11" t="str">
        <f aca="false">IF(OR(I56="",I56&lt;24,O56=""),"",O56+690)</f>
        <v/>
      </c>
      <c r="AO56" s="7" t="str">
        <f aca="false">IF(J56="","",COUNTIF(Q56:AN56,TRUE())*J56)</f>
        <v/>
      </c>
      <c r="AP56" s="7" t="str">
        <f aca="false">IF(K56="","",K56-AO56)</f>
        <v/>
      </c>
      <c r="AQ56" s="7" t="str">
        <f aca="false">IF(K56="","",K56-F56-IF(N56="",0,N56))</f>
        <v/>
      </c>
    </row>
    <row r="57" customFormat="false" ht="15" hidden="false" customHeight="false" outlineLevel="0" collapsed="false">
      <c r="A57" s="12"/>
      <c r="B57" s="12"/>
      <c r="C57" s="12"/>
      <c r="D57" s="13"/>
      <c r="E57" s="13"/>
      <c r="F57" s="14"/>
      <c r="G57" s="12"/>
      <c r="H57" s="12"/>
      <c r="I57" s="12"/>
      <c r="J57" s="14"/>
      <c r="K57" s="15" t="str">
        <f aca="false">IF(OR(I57="",J57=""),"",I57*J57)</f>
        <v/>
      </c>
      <c r="L57" s="12"/>
      <c r="M57" s="16"/>
      <c r="N57" s="15" t="str">
        <f aca="false">IF(OR(L57="",M57="",K57=""),"",IF(L57="GANANCIA",(K57-F57)*M57,IF(L57="BRUTO",K57*M57,"")))</f>
        <v/>
      </c>
      <c r="O57" s="17" t="str">
        <f aca="false">IF(D57="","",D57+30)</f>
        <v/>
      </c>
      <c r="P57" s="18" t="str">
        <f aca="false">IF(I57="","",IF(COUNTIF(Q57:AN57,TRUE())&gt;=I57,"PAGADO",IF(COUNTIF(Q57:AN57,TRUE())&gt;0,"PARCIAL","VIGENTE")))</f>
        <v/>
      </c>
      <c r="Q57" s="19" t="str">
        <f aca="false">IF(OR(I57="",I57&lt;1,O57=""),"",O57+0)</f>
        <v/>
      </c>
      <c r="R57" s="19" t="str">
        <f aca="false">IF(OR(I57="",I57&lt;2,O57=""),"",O57+30)</f>
        <v/>
      </c>
      <c r="S57" s="19" t="str">
        <f aca="false">IF(OR(I57="",I57&lt;3,O57=""),"",O57+60)</f>
        <v/>
      </c>
      <c r="T57" s="19" t="str">
        <f aca="false">IF(OR(I57="",I57&lt;4,O57=""),"",O57+90)</f>
        <v/>
      </c>
      <c r="U57" s="19" t="str">
        <f aca="false">IF(OR(I57="",I57&lt;5,O57=""),"",O57+120)</f>
        <v/>
      </c>
      <c r="V57" s="19" t="str">
        <f aca="false">IF(OR(I57="",I57&lt;6,O57=""),"",O57+150)</f>
        <v/>
      </c>
      <c r="W57" s="19" t="str">
        <f aca="false">IF(OR(I57="",I57&lt;7,O57=""),"",O57+180)</f>
        <v/>
      </c>
      <c r="X57" s="19" t="str">
        <f aca="false">IF(OR(I57="",I57&lt;8,O57=""),"",O57+210)</f>
        <v/>
      </c>
      <c r="Y57" s="19" t="str">
        <f aca="false">IF(OR(I57="",I57&lt;9,O57=""),"",O57+240)</f>
        <v/>
      </c>
      <c r="Z57" s="19" t="str">
        <f aca="false">IF(OR(I57="",I57&lt;10,O57=""),"",O57+270)</f>
        <v/>
      </c>
      <c r="AA57" s="19" t="str">
        <f aca="false">IF(OR(I57="",I57&lt;11,O57=""),"",O57+300)</f>
        <v/>
      </c>
      <c r="AB57" s="19" t="str">
        <f aca="false">IF(OR(I57="",I57&lt;12,O57=""),"",O57+330)</f>
        <v/>
      </c>
      <c r="AC57" s="19" t="str">
        <f aca="false">IF(OR(I57="",I57&lt;13,O57=""),"",O57+360)</f>
        <v/>
      </c>
      <c r="AD57" s="19" t="str">
        <f aca="false">IF(OR(I57="",I57&lt;14,O57=""),"",O57+390)</f>
        <v/>
      </c>
      <c r="AE57" s="19" t="str">
        <f aca="false">IF(OR(I57="",I57&lt;15,O57=""),"",O57+420)</f>
        <v/>
      </c>
      <c r="AF57" s="19" t="str">
        <f aca="false">IF(OR(I57="",I57&lt;16,O57=""),"",O57+450)</f>
        <v/>
      </c>
      <c r="AG57" s="19" t="str">
        <f aca="false">IF(OR(I57="",I57&lt;17,O57=""),"",O57+480)</f>
        <v/>
      </c>
      <c r="AH57" s="19" t="str">
        <f aca="false">IF(OR(I57="",I57&lt;18,O57=""),"",O57+510)</f>
        <v/>
      </c>
      <c r="AI57" s="19" t="str">
        <f aca="false">IF(OR(I57="",I57&lt;19,O57=""),"",O57+540)</f>
        <v/>
      </c>
      <c r="AJ57" s="19" t="str">
        <f aca="false">IF(OR(I57="",I57&lt;20,O57=""),"",O57+570)</f>
        <v/>
      </c>
      <c r="AK57" s="19" t="str">
        <f aca="false">IF(OR(I57="",I57&lt;21,O57=""),"",O57+600)</f>
        <v/>
      </c>
      <c r="AL57" s="19" t="str">
        <f aca="false">IF(OR(I57="",I57&lt;22,O57=""),"",O57+630)</f>
        <v/>
      </c>
      <c r="AM57" s="19" t="str">
        <f aca="false">IF(OR(I57="",I57&lt;23,O57=""),"",O57+660)</f>
        <v/>
      </c>
      <c r="AN57" s="19" t="str">
        <f aca="false">IF(OR(I57="",I57&lt;24,O57=""),"",O57+690)</f>
        <v/>
      </c>
      <c r="AO57" s="15" t="str">
        <f aca="false">IF(J57="","",COUNTIF(Q57:AN57,TRUE())*J57)</f>
        <v/>
      </c>
      <c r="AP57" s="15" t="str">
        <f aca="false">IF(K57="","",K57-AO57)</f>
        <v/>
      </c>
      <c r="AQ57" s="15" t="str">
        <f aca="false">IF(K57="","",K57-F57-IF(N57="",0,N57))</f>
        <v/>
      </c>
    </row>
    <row r="58" customFormat="false" ht="15" hidden="false" customHeight="false" outlineLevel="0" collapsed="false">
      <c r="A58" s="4"/>
      <c r="B58" s="4"/>
      <c r="C58" s="4"/>
      <c r="D58" s="5"/>
      <c r="E58" s="5"/>
      <c r="F58" s="6"/>
      <c r="G58" s="4"/>
      <c r="H58" s="4"/>
      <c r="I58" s="4"/>
      <c r="J58" s="6"/>
      <c r="K58" s="7" t="str">
        <f aca="false">IF(OR(I58="",J58=""),"",I58*J58)</f>
        <v/>
      </c>
      <c r="L58" s="4"/>
      <c r="M58" s="8"/>
      <c r="N58" s="7" t="str">
        <f aca="false">IF(OR(L58="",M58="",K58=""),"",IF(L58="GANANCIA",(K58-F58)*M58,IF(L58="BRUTO",K58*M58,"")))</f>
        <v/>
      </c>
      <c r="O58" s="9" t="str">
        <f aca="false">IF(D58="","",D58+30)</f>
        <v/>
      </c>
      <c r="P58" s="10" t="str">
        <f aca="false">IF(I58="","",IF(COUNTIF(Q58:AN58,TRUE())&gt;=I58,"PAGADO",IF(COUNTIF(Q58:AN58,TRUE())&gt;0,"PARCIAL","VIGENTE")))</f>
        <v/>
      </c>
      <c r="Q58" s="11" t="str">
        <f aca="false">IF(OR(I58="",I58&lt;1,O58=""),"",O58+0)</f>
        <v/>
      </c>
      <c r="R58" s="11" t="str">
        <f aca="false">IF(OR(I58="",I58&lt;2,O58=""),"",O58+30)</f>
        <v/>
      </c>
      <c r="S58" s="11" t="str">
        <f aca="false">IF(OR(I58="",I58&lt;3,O58=""),"",O58+60)</f>
        <v/>
      </c>
      <c r="T58" s="11" t="str">
        <f aca="false">IF(OR(I58="",I58&lt;4,O58=""),"",O58+90)</f>
        <v/>
      </c>
      <c r="U58" s="11" t="str">
        <f aca="false">IF(OR(I58="",I58&lt;5,O58=""),"",O58+120)</f>
        <v/>
      </c>
      <c r="V58" s="11" t="str">
        <f aca="false">IF(OR(I58="",I58&lt;6,O58=""),"",O58+150)</f>
        <v/>
      </c>
      <c r="W58" s="11" t="str">
        <f aca="false">IF(OR(I58="",I58&lt;7,O58=""),"",O58+180)</f>
        <v/>
      </c>
      <c r="X58" s="11" t="str">
        <f aca="false">IF(OR(I58="",I58&lt;8,O58=""),"",O58+210)</f>
        <v/>
      </c>
      <c r="Y58" s="11" t="str">
        <f aca="false">IF(OR(I58="",I58&lt;9,O58=""),"",O58+240)</f>
        <v/>
      </c>
      <c r="Z58" s="11" t="str">
        <f aca="false">IF(OR(I58="",I58&lt;10,O58=""),"",O58+270)</f>
        <v/>
      </c>
      <c r="AA58" s="11" t="str">
        <f aca="false">IF(OR(I58="",I58&lt;11,O58=""),"",O58+300)</f>
        <v/>
      </c>
      <c r="AB58" s="11" t="str">
        <f aca="false">IF(OR(I58="",I58&lt;12,O58=""),"",O58+330)</f>
        <v/>
      </c>
      <c r="AC58" s="11" t="str">
        <f aca="false">IF(OR(I58="",I58&lt;13,O58=""),"",O58+360)</f>
        <v/>
      </c>
      <c r="AD58" s="11" t="str">
        <f aca="false">IF(OR(I58="",I58&lt;14,O58=""),"",O58+390)</f>
        <v/>
      </c>
      <c r="AE58" s="11" t="str">
        <f aca="false">IF(OR(I58="",I58&lt;15,O58=""),"",O58+420)</f>
        <v/>
      </c>
      <c r="AF58" s="11" t="str">
        <f aca="false">IF(OR(I58="",I58&lt;16,O58=""),"",O58+450)</f>
        <v/>
      </c>
      <c r="AG58" s="11" t="str">
        <f aca="false">IF(OR(I58="",I58&lt;17,O58=""),"",O58+480)</f>
        <v/>
      </c>
      <c r="AH58" s="11" t="str">
        <f aca="false">IF(OR(I58="",I58&lt;18,O58=""),"",O58+510)</f>
        <v/>
      </c>
      <c r="AI58" s="11" t="str">
        <f aca="false">IF(OR(I58="",I58&lt;19,O58=""),"",O58+540)</f>
        <v/>
      </c>
      <c r="AJ58" s="11" t="str">
        <f aca="false">IF(OR(I58="",I58&lt;20,O58=""),"",O58+570)</f>
        <v/>
      </c>
      <c r="AK58" s="11" t="str">
        <f aca="false">IF(OR(I58="",I58&lt;21,O58=""),"",O58+600)</f>
        <v/>
      </c>
      <c r="AL58" s="11" t="str">
        <f aca="false">IF(OR(I58="",I58&lt;22,O58=""),"",O58+630)</f>
        <v/>
      </c>
      <c r="AM58" s="11" t="str">
        <f aca="false">IF(OR(I58="",I58&lt;23,O58=""),"",O58+660)</f>
        <v/>
      </c>
      <c r="AN58" s="11" t="str">
        <f aca="false">IF(OR(I58="",I58&lt;24,O58=""),"",O58+690)</f>
        <v/>
      </c>
      <c r="AO58" s="7" t="str">
        <f aca="false">IF(J58="","",COUNTIF(Q58:AN58,TRUE())*J58)</f>
        <v/>
      </c>
      <c r="AP58" s="7" t="str">
        <f aca="false">IF(K58="","",K58-AO58)</f>
        <v/>
      </c>
      <c r="AQ58" s="7" t="str">
        <f aca="false">IF(K58="","",K58-F58-IF(N58="",0,N58))</f>
        <v/>
      </c>
    </row>
    <row r="59" customFormat="false" ht="15" hidden="false" customHeight="false" outlineLevel="0" collapsed="false">
      <c r="A59" s="12"/>
      <c r="B59" s="12"/>
      <c r="C59" s="12"/>
      <c r="D59" s="13"/>
      <c r="E59" s="13"/>
      <c r="F59" s="14"/>
      <c r="G59" s="12"/>
      <c r="H59" s="12"/>
      <c r="I59" s="12"/>
      <c r="J59" s="14"/>
      <c r="K59" s="15" t="str">
        <f aca="false">IF(OR(I59="",J59=""),"",I59*J59)</f>
        <v/>
      </c>
      <c r="L59" s="12"/>
      <c r="M59" s="16"/>
      <c r="N59" s="15" t="str">
        <f aca="false">IF(OR(L59="",M59="",K59=""),"",IF(L59="GANANCIA",(K59-F59)*M59,IF(L59="BRUTO",K59*M59,"")))</f>
        <v/>
      </c>
      <c r="O59" s="17" t="str">
        <f aca="false">IF(D59="","",D59+30)</f>
        <v/>
      </c>
      <c r="P59" s="18" t="str">
        <f aca="false">IF(I59="","",IF(COUNTIF(Q59:AN59,TRUE())&gt;=I59,"PAGADO",IF(COUNTIF(Q59:AN59,TRUE())&gt;0,"PARCIAL","VIGENTE")))</f>
        <v/>
      </c>
      <c r="Q59" s="19" t="str">
        <f aca="false">IF(OR(I59="",I59&lt;1,O59=""),"",O59+0)</f>
        <v/>
      </c>
      <c r="R59" s="19" t="str">
        <f aca="false">IF(OR(I59="",I59&lt;2,O59=""),"",O59+30)</f>
        <v/>
      </c>
      <c r="S59" s="19" t="str">
        <f aca="false">IF(OR(I59="",I59&lt;3,O59=""),"",O59+60)</f>
        <v/>
      </c>
      <c r="T59" s="19" t="str">
        <f aca="false">IF(OR(I59="",I59&lt;4,O59=""),"",O59+90)</f>
        <v/>
      </c>
      <c r="U59" s="19" t="str">
        <f aca="false">IF(OR(I59="",I59&lt;5,O59=""),"",O59+120)</f>
        <v/>
      </c>
      <c r="V59" s="19" t="str">
        <f aca="false">IF(OR(I59="",I59&lt;6,O59=""),"",O59+150)</f>
        <v/>
      </c>
      <c r="W59" s="19" t="str">
        <f aca="false">IF(OR(I59="",I59&lt;7,O59=""),"",O59+180)</f>
        <v/>
      </c>
      <c r="X59" s="19" t="str">
        <f aca="false">IF(OR(I59="",I59&lt;8,O59=""),"",O59+210)</f>
        <v/>
      </c>
      <c r="Y59" s="19" t="str">
        <f aca="false">IF(OR(I59="",I59&lt;9,O59=""),"",O59+240)</f>
        <v/>
      </c>
      <c r="Z59" s="19" t="str">
        <f aca="false">IF(OR(I59="",I59&lt;10,O59=""),"",O59+270)</f>
        <v/>
      </c>
      <c r="AA59" s="19" t="str">
        <f aca="false">IF(OR(I59="",I59&lt;11,O59=""),"",O59+300)</f>
        <v/>
      </c>
      <c r="AB59" s="19" t="str">
        <f aca="false">IF(OR(I59="",I59&lt;12,O59=""),"",O59+330)</f>
        <v/>
      </c>
      <c r="AC59" s="19" t="str">
        <f aca="false">IF(OR(I59="",I59&lt;13,O59=""),"",O59+360)</f>
        <v/>
      </c>
      <c r="AD59" s="19" t="str">
        <f aca="false">IF(OR(I59="",I59&lt;14,O59=""),"",O59+390)</f>
        <v/>
      </c>
      <c r="AE59" s="19" t="str">
        <f aca="false">IF(OR(I59="",I59&lt;15,O59=""),"",O59+420)</f>
        <v/>
      </c>
      <c r="AF59" s="19" t="str">
        <f aca="false">IF(OR(I59="",I59&lt;16,O59=""),"",O59+450)</f>
        <v/>
      </c>
      <c r="AG59" s="19" t="str">
        <f aca="false">IF(OR(I59="",I59&lt;17,O59=""),"",O59+480)</f>
        <v/>
      </c>
      <c r="AH59" s="19" t="str">
        <f aca="false">IF(OR(I59="",I59&lt;18,O59=""),"",O59+510)</f>
        <v/>
      </c>
      <c r="AI59" s="19" t="str">
        <f aca="false">IF(OR(I59="",I59&lt;19,O59=""),"",O59+540)</f>
        <v/>
      </c>
      <c r="AJ59" s="19" t="str">
        <f aca="false">IF(OR(I59="",I59&lt;20,O59=""),"",O59+570)</f>
        <v/>
      </c>
      <c r="AK59" s="19" t="str">
        <f aca="false">IF(OR(I59="",I59&lt;21,O59=""),"",O59+600)</f>
        <v/>
      </c>
      <c r="AL59" s="19" t="str">
        <f aca="false">IF(OR(I59="",I59&lt;22,O59=""),"",O59+630)</f>
        <v/>
      </c>
      <c r="AM59" s="19" t="str">
        <f aca="false">IF(OR(I59="",I59&lt;23,O59=""),"",O59+660)</f>
        <v/>
      </c>
      <c r="AN59" s="19" t="str">
        <f aca="false">IF(OR(I59="",I59&lt;24,O59=""),"",O59+690)</f>
        <v/>
      </c>
      <c r="AO59" s="15" t="str">
        <f aca="false">IF(J59="","",COUNTIF(Q59:AN59,TRUE())*J59)</f>
        <v/>
      </c>
      <c r="AP59" s="15" t="str">
        <f aca="false">IF(K59="","",K59-AO59)</f>
        <v/>
      </c>
      <c r="AQ59" s="15" t="str">
        <f aca="false">IF(K59="","",K59-F59-IF(N59="",0,N59))</f>
        <v/>
      </c>
    </row>
    <row r="60" customFormat="false" ht="15" hidden="false" customHeight="false" outlineLevel="0" collapsed="false">
      <c r="A60" s="4"/>
      <c r="B60" s="4"/>
      <c r="C60" s="4"/>
      <c r="D60" s="5"/>
      <c r="E60" s="5"/>
      <c r="F60" s="6"/>
      <c r="G60" s="4"/>
      <c r="H60" s="4"/>
      <c r="I60" s="4"/>
      <c r="J60" s="6"/>
      <c r="K60" s="7" t="str">
        <f aca="false">IF(OR(I60="",J60=""),"",I60*J60)</f>
        <v/>
      </c>
      <c r="L60" s="4"/>
      <c r="M60" s="8"/>
      <c r="N60" s="7" t="str">
        <f aca="false">IF(OR(L60="",M60="",K60=""),"",IF(L60="GANANCIA",(K60-F60)*M60,IF(L60="BRUTO",K60*M60,"")))</f>
        <v/>
      </c>
      <c r="O60" s="9" t="str">
        <f aca="false">IF(D60="","",D60+30)</f>
        <v/>
      </c>
      <c r="P60" s="10" t="str">
        <f aca="false">IF(I60="","",IF(COUNTIF(Q60:AN60,TRUE())&gt;=I60,"PAGADO",IF(COUNTIF(Q60:AN60,TRUE())&gt;0,"PARCIAL","VIGENTE")))</f>
        <v/>
      </c>
      <c r="Q60" s="11" t="str">
        <f aca="false">IF(OR(I60="",I60&lt;1,O60=""),"",O60+0)</f>
        <v/>
      </c>
      <c r="R60" s="11" t="str">
        <f aca="false">IF(OR(I60="",I60&lt;2,O60=""),"",O60+30)</f>
        <v/>
      </c>
      <c r="S60" s="11" t="str">
        <f aca="false">IF(OR(I60="",I60&lt;3,O60=""),"",O60+60)</f>
        <v/>
      </c>
      <c r="T60" s="11" t="str">
        <f aca="false">IF(OR(I60="",I60&lt;4,O60=""),"",O60+90)</f>
        <v/>
      </c>
      <c r="U60" s="11" t="str">
        <f aca="false">IF(OR(I60="",I60&lt;5,O60=""),"",O60+120)</f>
        <v/>
      </c>
      <c r="V60" s="11" t="str">
        <f aca="false">IF(OR(I60="",I60&lt;6,O60=""),"",O60+150)</f>
        <v/>
      </c>
      <c r="W60" s="11" t="str">
        <f aca="false">IF(OR(I60="",I60&lt;7,O60=""),"",O60+180)</f>
        <v/>
      </c>
      <c r="X60" s="11" t="str">
        <f aca="false">IF(OR(I60="",I60&lt;8,O60=""),"",O60+210)</f>
        <v/>
      </c>
      <c r="Y60" s="11" t="str">
        <f aca="false">IF(OR(I60="",I60&lt;9,O60=""),"",O60+240)</f>
        <v/>
      </c>
      <c r="Z60" s="11" t="str">
        <f aca="false">IF(OR(I60="",I60&lt;10,O60=""),"",O60+270)</f>
        <v/>
      </c>
      <c r="AA60" s="11" t="str">
        <f aca="false">IF(OR(I60="",I60&lt;11,O60=""),"",O60+300)</f>
        <v/>
      </c>
      <c r="AB60" s="11" t="str">
        <f aca="false">IF(OR(I60="",I60&lt;12,O60=""),"",O60+330)</f>
        <v/>
      </c>
      <c r="AC60" s="11" t="str">
        <f aca="false">IF(OR(I60="",I60&lt;13,O60=""),"",O60+360)</f>
        <v/>
      </c>
      <c r="AD60" s="11" t="str">
        <f aca="false">IF(OR(I60="",I60&lt;14,O60=""),"",O60+390)</f>
        <v/>
      </c>
      <c r="AE60" s="11" t="str">
        <f aca="false">IF(OR(I60="",I60&lt;15,O60=""),"",O60+420)</f>
        <v/>
      </c>
      <c r="AF60" s="11" t="str">
        <f aca="false">IF(OR(I60="",I60&lt;16,O60=""),"",O60+450)</f>
        <v/>
      </c>
      <c r="AG60" s="11" t="str">
        <f aca="false">IF(OR(I60="",I60&lt;17,O60=""),"",O60+480)</f>
        <v/>
      </c>
      <c r="AH60" s="11" t="str">
        <f aca="false">IF(OR(I60="",I60&lt;18,O60=""),"",O60+510)</f>
        <v/>
      </c>
      <c r="AI60" s="11" t="str">
        <f aca="false">IF(OR(I60="",I60&lt;19,O60=""),"",O60+540)</f>
        <v/>
      </c>
      <c r="AJ60" s="11" t="str">
        <f aca="false">IF(OR(I60="",I60&lt;20,O60=""),"",O60+570)</f>
        <v/>
      </c>
      <c r="AK60" s="11" t="str">
        <f aca="false">IF(OR(I60="",I60&lt;21,O60=""),"",O60+600)</f>
        <v/>
      </c>
      <c r="AL60" s="11" t="str">
        <f aca="false">IF(OR(I60="",I60&lt;22,O60=""),"",O60+630)</f>
        <v/>
      </c>
      <c r="AM60" s="11" t="str">
        <f aca="false">IF(OR(I60="",I60&lt;23,O60=""),"",O60+660)</f>
        <v/>
      </c>
      <c r="AN60" s="11" t="str">
        <f aca="false">IF(OR(I60="",I60&lt;24,O60=""),"",O60+690)</f>
        <v/>
      </c>
      <c r="AO60" s="7" t="str">
        <f aca="false">IF(J60="","",COUNTIF(Q60:AN60,TRUE())*J60)</f>
        <v/>
      </c>
      <c r="AP60" s="7" t="str">
        <f aca="false">IF(K60="","",K60-AO60)</f>
        <v/>
      </c>
      <c r="AQ60" s="7" t="str">
        <f aca="false">IF(K60="","",K60-F60-IF(N60="",0,N60))</f>
        <v/>
      </c>
    </row>
    <row r="61" customFormat="false" ht="15" hidden="false" customHeight="false" outlineLevel="0" collapsed="false">
      <c r="A61" s="12"/>
      <c r="B61" s="12"/>
      <c r="C61" s="12"/>
      <c r="D61" s="13"/>
      <c r="E61" s="13"/>
      <c r="F61" s="14"/>
      <c r="G61" s="12"/>
      <c r="H61" s="12"/>
      <c r="I61" s="12"/>
      <c r="J61" s="14"/>
      <c r="K61" s="15" t="str">
        <f aca="false">IF(OR(I61="",J61=""),"",I61*J61)</f>
        <v/>
      </c>
      <c r="L61" s="12"/>
      <c r="M61" s="16"/>
      <c r="N61" s="15" t="str">
        <f aca="false">IF(OR(L61="",M61="",K61=""),"",IF(L61="GANANCIA",(K61-F61)*M61,IF(L61="BRUTO",K61*M61,"")))</f>
        <v/>
      </c>
      <c r="O61" s="17" t="str">
        <f aca="false">IF(D61="","",D61+30)</f>
        <v/>
      </c>
      <c r="P61" s="18" t="str">
        <f aca="false">IF(I61="","",IF(COUNTIF(Q61:AN61,TRUE())&gt;=I61,"PAGADO",IF(COUNTIF(Q61:AN61,TRUE())&gt;0,"PARCIAL","VIGENTE")))</f>
        <v/>
      </c>
      <c r="Q61" s="19" t="str">
        <f aca="false">IF(OR(I61="",I61&lt;1,O61=""),"",O61+0)</f>
        <v/>
      </c>
      <c r="R61" s="19" t="str">
        <f aca="false">IF(OR(I61="",I61&lt;2,O61=""),"",O61+30)</f>
        <v/>
      </c>
      <c r="S61" s="19" t="str">
        <f aca="false">IF(OR(I61="",I61&lt;3,O61=""),"",O61+60)</f>
        <v/>
      </c>
      <c r="T61" s="19" t="str">
        <f aca="false">IF(OR(I61="",I61&lt;4,O61=""),"",O61+90)</f>
        <v/>
      </c>
      <c r="U61" s="19" t="str">
        <f aca="false">IF(OR(I61="",I61&lt;5,O61=""),"",O61+120)</f>
        <v/>
      </c>
      <c r="V61" s="19" t="str">
        <f aca="false">IF(OR(I61="",I61&lt;6,O61=""),"",O61+150)</f>
        <v/>
      </c>
      <c r="W61" s="19" t="str">
        <f aca="false">IF(OR(I61="",I61&lt;7,O61=""),"",O61+180)</f>
        <v/>
      </c>
      <c r="X61" s="19" t="str">
        <f aca="false">IF(OR(I61="",I61&lt;8,O61=""),"",O61+210)</f>
        <v/>
      </c>
      <c r="Y61" s="19" t="str">
        <f aca="false">IF(OR(I61="",I61&lt;9,O61=""),"",O61+240)</f>
        <v/>
      </c>
      <c r="Z61" s="19" t="str">
        <f aca="false">IF(OR(I61="",I61&lt;10,O61=""),"",O61+270)</f>
        <v/>
      </c>
      <c r="AA61" s="19" t="str">
        <f aca="false">IF(OR(I61="",I61&lt;11,O61=""),"",O61+300)</f>
        <v/>
      </c>
      <c r="AB61" s="19" t="str">
        <f aca="false">IF(OR(I61="",I61&lt;12,O61=""),"",O61+330)</f>
        <v/>
      </c>
      <c r="AC61" s="19" t="str">
        <f aca="false">IF(OR(I61="",I61&lt;13,O61=""),"",O61+360)</f>
        <v/>
      </c>
      <c r="AD61" s="19" t="str">
        <f aca="false">IF(OR(I61="",I61&lt;14,O61=""),"",O61+390)</f>
        <v/>
      </c>
      <c r="AE61" s="19" t="str">
        <f aca="false">IF(OR(I61="",I61&lt;15,O61=""),"",O61+420)</f>
        <v/>
      </c>
      <c r="AF61" s="19" t="str">
        <f aca="false">IF(OR(I61="",I61&lt;16,O61=""),"",O61+450)</f>
        <v/>
      </c>
      <c r="AG61" s="19" t="str">
        <f aca="false">IF(OR(I61="",I61&lt;17,O61=""),"",O61+480)</f>
        <v/>
      </c>
      <c r="AH61" s="19" t="str">
        <f aca="false">IF(OR(I61="",I61&lt;18,O61=""),"",O61+510)</f>
        <v/>
      </c>
      <c r="AI61" s="19" t="str">
        <f aca="false">IF(OR(I61="",I61&lt;19,O61=""),"",O61+540)</f>
        <v/>
      </c>
      <c r="AJ61" s="19" t="str">
        <f aca="false">IF(OR(I61="",I61&lt;20,O61=""),"",O61+570)</f>
        <v/>
      </c>
      <c r="AK61" s="19" t="str">
        <f aca="false">IF(OR(I61="",I61&lt;21,O61=""),"",O61+600)</f>
        <v/>
      </c>
      <c r="AL61" s="19" t="str">
        <f aca="false">IF(OR(I61="",I61&lt;22,O61=""),"",O61+630)</f>
        <v/>
      </c>
      <c r="AM61" s="19" t="str">
        <f aca="false">IF(OR(I61="",I61&lt;23,O61=""),"",O61+660)</f>
        <v/>
      </c>
      <c r="AN61" s="19" t="str">
        <f aca="false">IF(OR(I61="",I61&lt;24,O61=""),"",O61+690)</f>
        <v/>
      </c>
      <c r="AO61" s="15" t="str">
        <f aca="false">IF(J61="","",COUNTIF(Q61:AN61,TRUE())*J61)</f>
        <v/>
      </c>
      <c r="AP61" s="15" t="str">
        <f aca="false">IF(K61="","",K61-AO61)</f>
        <v/>
      </c>
      <c r="AQ61" s="15" t="str">
        <f aca="false">IF(K61="","",K61-F61-IF(N61="",0,N61))</f>
        <v/>
      </c>
    </row>
    <row r="62" customFormat="false" ht="15" hidden="false" customHeight="false" outlineLevel="0" collapsed="false">
      <c r="A62" s="4"/>
      <c r="B62" s="4"/>
      <c r="C62" s="4"/>
      <c r="D62" s="5"/>
      <c r="E62" s="5"/>
      <c r="F62" s="6"/>
      <c r="G62" s="4"/>
      <c r="H62" s="4"/>
      <c r="I62" s="4"/>
      <c r="J62" s="6"/>
      <c r="K62" s="7" t="str">
        <f aca="false">IF(OR(I62="",J62=""),"",I62*J62)</f>
        <v/>
      </c>
      <c r="L62" s="4"/>
      <c r="M62" s="8"/>
      <c r="N62" s="7" t="str">
        <f aca="false">IF(OR(L62="",M62="",K62=""),"",IF(L62="GANANCIA",(K62-F62)*M62,IF(L62="BRUTO",K62*M62,"")))</f>
        <v/>
      </c>
      <c r="O62" s="9" t="str">
        <f aca="false">IF(D62="","",D62+30)</f>
        <v/>
      </c>
      <c r="P62" s="10" t="str">
        <f aca="false">IF(I62="","",IF(COUNTIF(Q62:AN62,TRUE())&gt;=I62,"PAGADO",IF(COUNTIF(Q62:AN62,TRUE())&gt;0,"PARCIAL","VIGENTE")))</f>
        <v/>
      </c>
      <c r="Q62" s="11" t="str">
        <f aca="false">IF(OR(I62="",I62&lt;1,O62=""),"",O62+0)</f>
        <v/>
      </c>
      <c r="R62" s="11" t="str">
        <f aca="false">IF(OR(I62="",I62&lt;2,O62=""),"",O62+30)</f>
        <v/>
      </c>
      <c r="S62" s="11" t="str">
        <f aca="false">IF(OR(I62="",I62&lt;3,O62=""),"",O62+60)</f>
        <v/>
      </c>
      <c r="T62" s="11" t="str">
        <f aca="false">IF(OR(I62="",I62&lt;4,O62=""),"",O62+90)</f>
        <v/>
      </c>
      <c r="U62" s="11" t="str">
        <f aca="false">IF(OR(I62="",I62&lt;5,O62=""),"",O62+120)</f>
        <v/>
      </c>
      <c r="V62" s="11" t="str">
        <f aca="false">IF(OR(I62="",I62&lt;6,O62=""),"",O62+150)</f>
        <v/>
      </c>
      <c r="W62" s="11" t="str">
        <f aca="false">IF(OR(I62="",I62&lt;7,O62=""),"",O62+180)</f>
        <v/>
      </c>
      <c r="X62" s="11" t="str">
        <f aca="false">IF(OR(I62="",I62&lt;8,O62=""),"",O62+210)</f>
        <v/>
      </c>
      <c r="Y62" s="11" t="str">
        <f aca="false">IF(OR(I62="",I62&lt;9,O62=""),"",O62+240)</f>
        <v/>
      </c>
      <c r="Z62" s="11" t="str">
        <f aca="false">IF(OR(I62="",I62&lt;10,O62=""),"",O62+270)</f>
        <v/>
      </c>
      <c r="AA62" s="11" t="str">
        <f aca="false">IF(OR(I62="",I62&lt;11,O62=""),"",O62+300)</f>
        <v/>
      </c>
      <c r="AB62" s="11" t="str">
        <f aca="false">IF(OR(I62="",I62&lt;12,O62=""),"",O62+330)</f>
        <v/>
      </c>
      <c r="AC62" s="11" t="str">
        <f aca="false">IF(OR(I62="",I62&lt;13,O62=""),"",O62+360)</f>
        <v/>
      </c>
      <c r="AD62" s="11" t="str">
        <f aca="false">IF(OR(I62="",I62&lt;14,O62=""),"",O62+390)</f>
        <v/>
      </c>
      <c r="AE62" s="11" t="str">
        <f aca="false">IF(OR(I62="",I62&lt;15,O62=""),"",O62+420)</f>
        <v/>
      </c>
      <c r="AF62" s="11" t="str">
        <f aca="false">IF(OR(I62="",I62&lt;16,O62=""),"",O62+450)</f>
        <v/>
      </c>
      <c r="AG62" s="11" t="str">
        <f aca="false">IF(OR(I62="",I62&lt;17,O62=""),"",O62+480)</f>
        <v/>
      </c>
      <c r="AH62" s="11" t="str">
        <f aca="false">IF(OR(I62="",I62&lt;18,O62=""),"",O62+510)</f>
        <v/>
      </c>
      <c r="AI62" s="11" t="str">
        <f aca="false">IF(OR(I62="",I62&lt;19,O62=""),"",O62+540)</f>
        <v/>
      </c>
      <c r="AJ62" s="11" t="str">
        <f aca="false">IF(OR(I62="",I62&lt;20,O62=""),"",O62+570)</f>
        <v/>
      </c>
      <c r="AK62" s="11" t="str">
        <f aca="false">IF(OR(I62="",I62&lt;21,O62=""),"",O62+600)</f>
        <v/>
      </c>
      <c r="AL62" s="11" t="str">
        <f aca="false">IF(OR(I62="",I62&lt;22,O62=""),"",O62+630)</f>
        <v/>
      </c>
      <c r="AM62" s="11" t="str">
        <f aca="false">IF(OR(I62="",I62&lt;23,O62=""),"",O62+660)</f>
        <v/>
      </c>
      <c r="AN62" s="11" t="str">
        <f aca="false">IF(OR(I62="",I62&lt;24,O62=""),"",O62+690)</f>
        <v/>
      </c>
      <c r="AO62" s="7" t="str">
        <f aca="false">IF(J62="","",COUNTIF(Q62:AN62,TRUE())*J62)</f>
        <v/>
      </c>
      <c r="AP62" s="7" t="str">
        <f aca="false">IF(K62="","",K62-AO62)</f>
        <v/>
      </c>
      <c r="AQ62" s="7" t="str">
        <f aca="false">IF(K62="","",K62-F62-IF(N62="",0,N62))</f>
        <v/>
      </c>
    </row>
    <row r="63" customFormat="false" ht="15" hidden="false" customHeight="false" outlineLevel="0" collapsed="false">
      <c r="A63" s="12"/>
      <c r="B63" s="12"/>
      <c r="C63" s="12"/>
      <c r="D63" s="13"/>
      <c r="E63" s="13"/>
      <c r="F63" s="14"/>
      <c r="G63" s="12"/>
      <c r="H63" s="12"/>
      <c r="I63" s="12"/>
      <c r="J63" s="14"/>
      <c r="K63" s="15" t="str">
        <f aca="false">IF(OR(I63="",J63=""),"",I63*J63)</f>
        <v/>
      </c>
      <c r="L63" s="12"/>
      <c r="M63" s="16"/>
      <c r="N63" s="15" t="str">
        <f aca="false">IF(OR(L63="",M63="",K63=""),"",IF(L63="GANANCIA",(K63-F63)*M63,IF(L63="BRUTO",K63*M63,"")))</f>
        <v/>
      </c>
      <c r="O63" s="17" t="str">
        <f aca="false">IF(D63="","",D63+30)</f>
        <v/>
      </c>
      <c r="P63" s="18" t="str">
        <f aca="false">IF(I63="","",IF(COUNTIF(Q63:AN63,TRUE())&gt;=I63,"PAGADO",IF(COUNTIF(Q63:AN63,TRUE())&gt;0,"PARCIAL","VIGENTE")))</f>
        <v/>
      </c>
      <c r="Q63" s="19" t="str">
        <f aca="false">IF(OR(I63="",I63&lt;1,O63=""),"",O63+0)</f>
        <v/>
      </c>
      <c r="R63" s="19" t="str">
        <f aca="false">IF(OR(I63="",I63&lt;2,O63=""),"",O63+30)</f>
        <v/>
      </c>
      <c r="S63" s="19" t="str">
        <f aca="false">IF(OR(I63="",I63&lt;3,O63=""),"",O63+60)</f>
        <v/>
      </c>
      <c r="T63" s="19" t="str">
        <f aca="false">IF(OR(I63="",I63&lt;4,O63=""),"",O63+90)</f>
        <v/>
      </c>
      <c r="U63" s="19" t="str">
        <f aca="false">IF(OR(I63="",I63&lt;5,O63=""),"",O63+120)</f>
        <v/>
      </c>
      <c r="V63" s="19" t="str">
        <f aca="false">IF(OR(I63="",I63&lt;6,O63=""),"",O63+150)</f>
        <v/>
      </c>
      <c r="W63" s="19" t="str">
        <f aca="false">IF(OR(I63="",I63&lt;7,O63=""),"",O63+180)</f>
        <v/>
      </c>
      <c r="X63" s="19" t="str">
        <f aca="false">IF(OR(I63="",I63&lt;8,O63=""),"",O63+210)</f>
        <v/>
      </c>
      <c r="Y63" s="19" t="str">
        <f aca="false">IF(OR(I63="",I63&lt;9,O63=""),"",O63+240)</f>
        <v/>
      </c>
      <c r="Z63" s="19" t="str">
        <f aca="false">IF(OR(I63="",I63&lt;10,O63=""),"",O63+270)</f>
        <v/>
      </c>
      <c r="AA63" s="19" t="str">
        <f aca="false">IF(OR(I63="",I63&lt;11,O63=""),"",O63+300)</f>
        <v/>
      </c>
      <c r="AB63" s="19" t="str">
        <f aca="false">IF(OR(I63="",I63&lt;12,O63=""),"",O63+330)</f>
        <v/>
      </c>
      <c r="AC63" s="19" t="str">
        <f aca="false">IF(OR(I63="",I63&lt;13,O63=""),"",O63+360)</f>
        <v/>
      </c>
      <c r="AD63" s="19" t="str">
        <f aca="false">IF(OR(I63="",I63&lt;14,O63=""),"",O63+390)</f>
        <v/>
      </c>
      <c r="AE63" s="19" t="str">
        <f aca="false">IF(OR(I63="",I63&lt;15,O63=""),"",O63+420)</f>
        <v/>
      </c>
      <c r="AF63" s="19" t="str">
        <f aca="false">IF(OR(I63="",I63&lt;16,O63=""),"",O63+450)</f>
        <v/>
      </c>
      <c r="AG63" s="19" t="str">
        <f aca="false">IF(OR(I63="",I63&lt;17,O63=""),"",O63+480)</f>
        <v/>
      </c>
      <c r="AH63" s="19" t="str">
        <f aca="false">IF(OR(I63="",I63&lt;18,O63=""),"",O63+510)</f>
        <v/>
      </c>
      <c r="AI63" s="19" t="str">
        <f aca="false">IF(OR(I63="",I63&lt;19,O63=""),"",O63+540)</f>
        <v/>
      </c>
      <c r="AJ63" s="19" t="str">
        <f aca="false">IF(OR(I63="",I63&lt;20,O63=""),"",O63+570)</f>
        <v/>
      </c>
      <c r="AK63" s="19" t="str">
        <f aca="false">IF(OR(I63="",I63&lt;21,O63=""),"",O63+600)</f>
        <v/>
      </c>
      <c r="AL63" s="19" t="str">
        <f aca="false">IF(OR(I63="",I63&lt;22,O63=""),"",O63+630)</f>
        <v/>
      </c>
      <c r="AM63" s="19" t="str">
        <f aca="false">IF(OR(I63="",I63&lt;23,O63=""),"",O63+660)</f>
        <v/>
      </c>
      <c r="AN63" s="19" t="str">
        <f aca="false">IF(OR(I63="",I63&lt;24,O63=""),"",O63+690)</f>
        <v/>
      </c>
      <c r="AO63" s="15" t="str">
        <f aca="false">IF(J63="","",COUNTIF(Q63:AN63,TRUE())*J63)</f>
        <v/>
      </c>
      <c r="AP63" s="15" t="str">
        <f aca="false">IF(K63="","",K63-AO63)</f>
        <v/>
      </c>
      <c r="AQ63" s="15" t="str">
        <f aca="false">IF(K63="","",K63-F63-IF(N63="",0,N63))</f>
        <v/>
      </c>
    </row>
    <row r="64" customFormat="false" ht="15" hidden="false" customHeight="false" outlineLevel="0" collapsed="false">
      <c r="A64" s="4"/>
      <c r="B64" s="4"/>
      <c r="C64" s="4"/>
      <c r="D64" s="5"/>
      <c r="E64" s="5"/>
      <c r="F64" s="6"/>
      <c r="G64" s="4"/>
      <c r="H64" s="4"/>
      <c r="I64" s="4"/>
      <c r="J64" s="6"/>
      <c r="K64" s="7" t="str">
        <f aca="false">IF(OR(I64="",J64=""),"",I64*J64)</f>
        <v/>
      </c>
      <c r="L64" s="4"/>
      <c r="M64" s="8"/>
      <c r="N64" s="7" t="str">
        <f aca="false">IF(OR(L64="",M64="",K64=""),"",IF(L64="GANANCIA",(K64-F64)*M64,IF(L64="BRUTO",K64*M64,"")))</f>
        <v/>
      </c>
      <c r="O64" s="9" t="str">
        <f aca="false">IF(D64="","",D64+30)</f>
        <v/>
      </c>
      <c r="P64" s="10" t="str">
        <f aca="false">IF(I64="","",IF(COUNTIF(Q64:AN64,TRUE())&gt;=I64,"PAGADO",IF(COUNTIF(Q64:AN64,TRUE())&gt;0,"PARCIAL","VIGENTE")))</f>
        <v/>
      </c>
      <c r="Q64" s="11" t="str">
        <f aca="false">IF(OR(I64="",I64&lt;1,O64=""),"",O64+0)</f>
        <v/>
      </c>
      <c r="R64" s="11" t="str">
        <f aca="false">IF(OR(I64="",I64&lt;2,O64=""),"",O64+30)</f>
        <v/>
      </c>
      <c r="S64" s="11" t="str">
        <f aca="false">IF(OR(I64="",I64&lt;3,O64=""),"",O64+60)</f>
        <v/>
      </c>
      <c r="T64" s="11" t="str">
        <f aca="false">IF(OR(I64="",I64&lt;4,O64=""),"",O64+90)</f>
        <v/>
      </c>
      <c r="U64" s="11" t="str">
        <f aca="false">IF(OR(I64="",I64&lt;5,O64=""),"",O64+120)</f>
        <v/>
      </c>
      <c r="V64" s="11" t="str">
        <f aca="false">IF(OR(I64="",I64&lt;6,O64=""),"",O64+150)</f>
        <v/>
      </c>
      <c r="W64" s="11" t="str">
        <f aca="false">IF(OR(I64="",I64&lt;7,O64=""),"",O64+180)</f>
        <v/>
      </c>
      <c r="X64" s="11" t="str">
        <f aca="false">IF(OR(I64="",I64&lt;8,O64=""),"",O64+210)</f>
        <v/>
      </c>
      <c r="Y64" s="11" t="str">
        <f aca="false">IF(OR(I64="",I64&lt;9,O64=""),"",O64+240)</f>
        <v/>
      </c>
      <c r="Z64" s="11" t="str">
        <f aca="false">IF(OR(I64="",I64&lt;10,O64=""),"",O64+270)</f>
        <v/>
      </c>
      <c r="AA64" s="11" t="str">
        <f aca="false">IF(OR(I64="",I64&lt;11,O64=""),"",O64+300)</f>
        <v/>
      </c>
      <c r="AB64" s="11" t="str">
        <f aca="false">IF(OR(I64="",I64&lt;12,O64=""),"",O64+330)</f>
        <v/>
      </c>
      <c r="AC64" s="11" t="str">
        <f aca="false">IF(OR(I64="",I64&lt;13,O64=""),"",O64+360)</f>
        <v/>
      </c>
      <c r="AD64" s="11" t="str">
        <f aca="false">IF(OR(I64="",I64&lt;14,O64=""),"",O64+390)</f>
        <v/>
      </c>
      <c r="AE64" s="11" t="str">
        <f aca="false">IF(OR(I64="",I64&lt;15,O64=""),"",O64+420)</f>
        <v/>
      </c>
      <c r="AF64" s="11" t="str">
        <f aca="false">IF(OR(I64="",I64&lt;16,O64=""),"",O64+450)</f>
        <v/>
      </c>
      <c r="AG64" s="11" t="str">
        <f aca="false">IF(OR(I64="",I64&lt;17,O64=""),"",O64+480)</f>
        <v/>
      </c>
      <c r="AH64" s="11" t="str">
        <f aca="false">IF(OR(I64="",I64&lt;18,O64=""),"",O64+510)</f>
        <v/>
      </c>
      <c r="AI64" s="11" t="str">
        <f aca="false">IF(OR(I64="",I64&lt;19,O64=""),"",O64+540)</f>
        <v/>
      </c>
      <c r="AJ64" s="11" t="str">
        <f aca="false">IF(OR(I64="",I64&lt;20,O64=""),"",O64+570)</f>
        <v/>
      </c>
      <c r="AK64" s="11" t="str">
        <f aca="false">IF(OR(I64="",I64&lt;21,O64=""),"",O64+600)</f>
        <v/>
      </c>
      <c r="AL64" s="11" t="str">
        <f aca="false">IF(OR(I64="",I64&lt;22,O64=""),"",O64+630)</f>
        <v/>
      </c>
      <c r="AM64" s="11" t="str">
        <f aca="false">IF(OR(I64="",I64&lt;23,O64=""),"",O64+660)</f>
        <v/>
      </c>
      <c r="AN64" s="11" t="str">
        <f aca="false">IF(OR(I64="",I64&lt;24,O64=""),"",O64+690)</f>
        <v/>
      </c>
      <c r="AO64" s="7" t="str">
        <f aca="false">IF(J64="","",COUNTIF(Q64:AN64,TRUE())*J64)</f>
        <v/>
      </c>
      <c r="AP64" s="7" t="str">
        <f aca="false">IF(K64="","",K64-AO64)</f>
        <v/>
      </c>
      <c r="AQ64" s="7" t="str">
        <f aca="false">IF(K64="","",K64-F64-IF(N64="",0,N64))</f>
        <v/>
      </c>
    </row>
    <row r="65" customFormat="false" ht="15" hidden="false" customHeight="false" outlineLevel="0" collapsed="false">
      <c r="A65" s="12"/>
      <c r="B65" s="12"/>
      <c r="C65" s="12"/>
      <c r="D65" s="13"/>
      <c r="E65" s="13"/>
      <c r="F65" s="14"/>
      <c r="G65" s="12"/>
      <c r="H65" s="12"/>
      <c r="I65" s="12"/>
      <c r="J65" s="14"/>
      <c r="K65" s="15" t="str">
        <f aca="false">IF(OR(I65="",J65=""),"",I65*J65)</f>
        <v/>
      </c>
      <c r="L65" s="12"/>
      <c r="M65" s="16"/>
      <c r="N65" s="15" t="str">
        <f aca="false">IF(OR(L65="",M65="",K65=""),"",IF(L65="GANANCIA",(K65-F65)*M65,IF(L65="BRUTO",K65*M65,"")))</f>
        <v/>
      </c>
      <c r="O65" s="17" t="str">
        <f aca="false">IF(D65="","",D65+30)</f>
        <v/>
      </c>
      <c r="P65" s="18" t="str">
        <f aca="false">IF(I65="","",IF(COUNTIF(Q65:AN65,TRUE())&gt;=I65,"PAGADO",IF(COUNTIF(Q65:AN65,TRUE())&gt;0,"PARCIAL","VIGENTE")))</f>
        <v/>
      </c>
      <c r="Q65" s="19" t="str">
        <f aca="false">IF(OR(I65="",I65&lt;1,O65=""),"",O65+0)</f>
        <v/>
      </c>
      <c r="R65" s="19" t="str">
        <f aca="false">IF(OR(I65="",I65&lt;2,O65=""),"",O65+30)</f>
        <v/>
      </c>
      <c r="S65" s="19" t="str">
        <f aca="false">IF(OR(I65="",I65&lt;3,O65=""),"",O65+60)</f>
        <v/>
      </c>
      <c r="T65" s="19" t="str">
        <f aca="false">IF(OR(I65="",I65&lt;4,O65=""),"",O65+90)</f>
        <v/>
      </c>
      <c r="U65" s="19" t="str">
        <f aca="false">IF(OR(I65="",I65&lt;5,O65=""),"",O65+120)</f>
        <v/>
      </c>
      <c r="V65" s="19" t="str">
        <f aca="false">IF(OR(I65="",I65&lt;6,O65=""),"",O65+150)</f>
        <v/>
      </c>
      <c r="W65" s="19" t="str">
        <f aca="false">IF(OR(I65="",I65&lt;7,O65=""),"",O65+180)</f>
        <v/>
      </c>
      <c r="X65" s="19" t="str">
        <f aca="false">IF(OR(I65="",I65&lt;8,O65=""),"",O65+210)</f>
        <v/>
      </c>
      <c r="Y65" s="19" t="str">
        <f aca="false">IF(OR(I65="",I65&lt;9,O65=""),"",O65+240)</f>
        <v/>
      </c>
      <c r="Z65" s="19" t="str">
        <f aca="false">IF(OR(I65="",I65&lt;10,O65=""),"",O65+270)</f>
        <v/>
      </c>
      <c r="AA65" s="19" t="str">
        <f aca="false">IF(OR(I65="",I65&lt;11,O65=""),"",O65+300)</f>
        <v/>
      </c>
      <c r="AB65" s="19" t="str">
        <f aca="false">IF(OR(I65="",I65&lt;12,O65=""),"",O65+330)</f>
        <v/>
      </c>
      <c r="AC65" s="19" t="str">
        <f aca="false">IF(OR(I65="",I65&lt;13,O65=""),"",O65+360)</f>
        <v/>
      </c>
      <c r="AD65" s="19" t="str">
        <f aca="false">IF(OR(I65="",I65&lt;14,O65=""),"",O65+390)</f>
        <v/>
      </c>
      <c r="AE65" s="19" t="str">
        <f aca="false">IF(OR(I65="",I65&lt;15,O65=""),"",O65+420)</f>
        <v/>
      </c>
      <c r="AF65" s="19" t="str">
        <f aca="false">IF(OR(I65="",I65&lt;16,O65=""),"",O65+450)</f>
        <v/>
      </c>
      <c r="AG65" s="19" t="str">
        <f aca="false">IF(OR(I65="",I65&lt;17,O65=""),"",O65+480)</f>
        <v/>
      </c>
      <c r="AH65" s="19" t="str">
        <f aca="false">IF(OR(I65="",I65&lt;18,O65=""),"",O65+510)</f>
        <v/>
      </c>
      <c r="AI65" s="19" t="str">
        <f aca="false">IF(OR(I65="",I65&lt;19,O65=""),"",O65+540)</f>
        <v/>
      </c>
      <c r="AJ65" s="19" t="str">
        <f aca="false">IF(OR(I65="",I65&lt;20,O65=""),"",O65+570)</f>
        <v/>
      </c>
      <c r="AK65" s="19" t="str">
        <f aca="false">IF(OR(I65="",I65&lt;21,O65=""),"",O65+600)</f>
        <v/>
      </c>
      <c r="AL65" s="19" t="str">
        <f aca="false">IF(OR(I65="",I65&lt;22,O65=""),"",O65+630)</f>
        <v/>
      </c>
      <c r="AM65" s="19" t="str">
        <f aca="false">IF(OR(I65="",I65&lt;23,O65=""),"",O65+660)</f>
        <v/>
      </c>
      <c r="AN65" s="19" t="str">
        <f aca="false">IF(OR(I65="",I65&lt;24,O65=""),"",O65+690)</f>
        <v/>
      </c>
      <c r="AO65" s="15" t="str">
        <f aca="false">IF(J65="","",COUNTIF(Q65:AN65,TRUE())*J65)</f>
        <v/>
      </c>
      <c r="AP65" s="15" t="str">
        <f aca="false">IF(K65="","",K65-AO65)</f>
        <v/>
      </c>
      <c r="AQ65" s="15" t="str">
        <f aca="false">IF(K65="","",K65-F65-IF(N65="",0,N65))</f>
        <v/>
      </c>
    </row>
    <row r="66" customFormat="false" ht="15" hidden="false" customHeight="false" outlineLevel="0" collapsed="false">
      <c r="A66" s="4"/>
      <c r="B66" s="4"/>
      <c r="C66" s="4"/>
      <c r="D66" s="5"/>
      <c r="E66" s="5"/>
      <c r="F66" s="6"/>
      <c r="G66" s="4"/>
      <c r="H66" s="4"/>
      <c r="I66" s="4"/>
      <c r="J66" s="6"/>
      <c r="K66" s="7" t="str">
        <f aca="false">IF(OR(I66="",J66=""),"",I66*J66)</f>
        <v/>
      </c>
      <c r="L66" s="4"/>
      <c r="M66" s="8"/>
      <c r="N66" s="7" t="str">
        <f aca="false">IF(OR(L66="",M66="",K66=""),"",IF(L66="GANANCIA",(K66-F66)*M66,IF(L66="BRUTO",K66*M66,"")))</f>
        <v/>
      </c>
      <c r="O66" s="9" t="str">
        <f aca="false">IF(D66="","",D66+30)</f>
        <v/>
      </c>
      <c r="P66" s="10" t="str">
        <f aca="false">IF(I66="","",IF(COUNTIF(Q66:AN66,TRUE())&gt;=I66,"PAGADO",IF(COUNTIF(Q66:AN66,TRUE())&gt;0,"PARCIAL","VIGENTE")))</f>
        <v/>
      </c>
      <c r="Q66" s="11" t="str">
        <f aca="false">IF(OR(I66="",I66&lt;1,O66=""),"",O66+0)</f>
        <v/>
      </c>
      <c r="R66" s="11" t="str">
        <f aca="false">IF(OR(I66="",I66&lt;2,O66=""),"",O66+30)</f>
        <v/>
      </c>
      <c r="S66" s="11" t="str">
        <f aca="false">IF(OR(I66="",I66&lt;3,O66=""),"",O66+60)</f>
        <v/>
      </c>
      <c r="T66" s="11" t="str">
        <f aca="false">IF(OR(I66="",I66&lt;4,O66=""),"",O66+90)</f>
        <v/>
      </c>
      <c r="U66" s="11" t="str">
        <f aca="false">IF(OR(I66="",I66&lt;5,O66=""),"",O66+120)</f>
        <v/>
      </c>
      <c r="V66" s="11" t="str">
        <f aca="false">IF(OR(I66="",I66&lt;6,O66=""),"",O66+150)</f>
        <v/>
      </c>
      <c r="W66" s="11" t="str">
        <f aca="false">IF(OR(I66="",I66&lt;7,O66=""),"",O66+180)</f>
        <v/>
      </c>
      <c r="X66" s="11" t="str">
        <f aca="false">IF(OR(I66="",I66&lt;8,O66=""),"",O66+210)</f>
        <v/>
      </c>
      <c r="Y66" s="11" t="str">
        <f aca="false">IF(OR(I66="",I66&lt;9,O66=""),"",O66+240)</f>
        <v/>
      </c>
      <c r="Z66" s="11" t="str">
        <f aca="false">IF(OR(I66="",I66&lt;10,O66=""),"",O66+270)</f>
        <v/>
      </c>
      <c r="AA66" s="11" t="str">
        <f aca="false">IF(OR(I66="",I66&lt;11,O66=""),"",O66+300)</f>
        <v/>
      </c>
      <c r="AB66" s="11" t="str">
        <f aca="false">IF(OR(I66="",I66&lt;12,O66=""),"",O66+330)</f>
        <v/>
      </c>
      <c r="AC66" s="11" t="str">
        <f aca="false">IF(OR(I66="",I66&lt;13,O66=""),"",O66+360)</f>
        <v/>
      </c>
      <c r="AD66" s="11" t="str">
        <f aca="false">IF(OR(I66="",I66&lt;14,O66=""),"",O66+390)</f>
        <v/>
      </c>
      <c r="AE66" s="11" t="str">
        <f aca="false">IF(OR(I66="",I66&lt;15,O66=""),"",O66+420)</f>
        <v/>
      </c>
      <c r="AF66" s="11" t="str">
        <f aca="false">IF(OR(I66="",I66&lt;16,O66=""),"",O66+450)</f>
        <v/>
      </c>
      <c r="AG66" s="11" t="str">
        <f aca="false">IF(OR(I66="",I66&lt;17,O66=""),"",O66+480)</f>
        <v/>
      </c>
      <c r="AH66" s="11" t="str">
        <f aca="false">IF(OR(I66="",I66&lt;18,O66=""),"",O66+510)</f>
        <v/>
      </c>
      <c r="AI66" s="11" t="str">
        <f aca="false">IF(OR(I66="",I66&lt;19,O66=""),"",O66+540)</f>
        <v/>
      </c>
      <c r="AJ66" s="11" t="str">
        <f aca="false">IF(OR(I66="",I66&lt;20,O66=""),"",O66+570)</f>
        <v/>
      </c>
      <c r="AK66" s="11" t="str">
        <f aca="false">IF(OR(I66="",I66&lt;21,O66=""),"",O66+600)</f>
        <v/>
      </c>
      <c r="AL66" s="11" t="str">
        <f aca="false">IF(OR(I66="",I66&lt;22,O66=""),"",O66+630)</f>
        <v/>
      </c>
      <c r="AM66" s="11" t="str">
        <f aca="false">IF(OR(I66="",I66&lt;23,O66=""),"",O66+660)</f>
        <v/>
      </c>
      <c r="AN66" s="11" t="str">
        <f aca="false">IF(OR(I66="",I66&lt;24,O66=""),"",O66+690)</f>
        <v/>
      </c>
      <c r="AO66" s="7" t="str">
        <f aca="false">IF(J66="","",COUNTIF(Q66:AN66,TRUE())*J66)</f>
        <v/>
      </c>
      <c r="AP66" s="7" t="str">
        <f aca="false">IF(K66="","",K66-AO66)</f>
        <v/>
      </c>
      <c r="AQ66" s="7" t="str">
        <f aca="false">IF(K66="","",K66-F66-IF(N66="",0,N66))</f>
        <v/>
      </c>
    </row>
    <row r="67" customFormat="false" ht="15" hidden="false" customHeight="false" outlineLevel="0" collapsed="false">
      <c r="A67" s="12"/>
      <c r="B67" s="12"/>
      <c r="C67" s="12"/>
      <c r="D67" s="13"/>
      <c r="E67" s="13"/>
      <c r="F67" s="14"/>
      <c r="G67" s="12"/>
      <c r="H67" s="12"/>
      <c r="I67" s="12"/>
      <c r="J67" s="14"/>
      <c r="K67" s="15" t="str">
        <f aca="false">IF(OR(I67="",J67=""),"",I67*J67)</f>
        <v/>
      </c>
      <c r="L67" s="12"/>
      <c r="M67" s="16"/>
      <c r="N67" s="15" t="str">
        <f aca="false">IF(OR(L67="",M67="",K67=""),"",IF(L67="GANANCIA",(K67-F67)*M67,IF(L67="BRUTO",K67*M67,"")))</f>
        <v/>
      </c>
      <c r="O67" s="17" t="str">
        <f aca="false">IF(D67="","",D67+30)</f>
        <v/>
      </c>
      <c r="P67" s="18" t="str">
        <f aca="false">IF(I67="","",IF(COUNTIF(Q67:AN67,TRUE())&gt;=I67,"PAGADO",IF(COUNTIF(Q67:AN67,TRUE())&gt;0,"PARCIAL","VIGENTE")))</f>
        <v/>
      </c>
      <c r="Q67" s="19" t="str">
        <f aca="false">IF(OR(I67="",I67&lt;1,O67=""),"",O67+0)</f>
        <v/>
      </c>
      <c r="R67" s="19" t="str">
        <f aca="false">IF(OR(I67="",I67&lt;2,O67=""),"",O67+30)</f>
        <v/>
      </c>
      <c r="S67" s="19" t="str">
        <f aca="false">IF(OR(I67="",I67&lt;3,O67=""),"",O67+60)</f>
        <v/>
      </c>
      <c r="T67" s="19" t="str">
        <f aca="false">IF(OR(I67="",I67&lt;4,O67=""),"",O67+90)</f>
        <v/>
      </c>
      <c r="U67" s="19" t="str">
        <f aca="false">IF(OR(I67="",I67&lt;5,O67=""),"",O67+120)</f>
        <v/>
      </c>
      <c r="V67" s="19" t="str">
        <f aca="false">IF(OR(I67="",I67&lt;6,O67=""),"",O67+150)</f>
        <v/>
      </c>
      <c r="W67" s="19" t="str">
        <f aca="false">IF(OR(I67="",I67&lt;7,O67=""),"",O67+180)</f>
        <v/>
      </c>
      <c r="X67" s="19" t="str">
        <f aca="false">IF(OR(I67="",I67&lt;8,O67=""),"",O67+210)</f>
        <v/>
      </c>
      <c r="Y67" s="19" t="str">
        <f aca="false">IF(OR(I67="",I67&lt;9,O67=""),"",O67+240)</f>
        <v/>
      </c>
      <c r="Z67" s="19" t="str">
        <f aca="false">IF(OR(I67="",I67&lt;10,O67=""),"",O67+270)</f>
        <v/>
      </c>
      <c r="AA67" s="19" t="str">
        <f aca="false">IF(OR(I67="",I67&lt;11,O67=""),"",O67+300)</f>
        <v/>
      </c>
      <c r="AB67" s="19" t="str">
        <f aca="false">IF(OR(I67="",I67&lt;12,O67=""),"",O67+330)</f>
        <v/>
      </c>
      <c r="AC67" s="19" t="str">
        <f aca="false">IF(OR(I67="",I67&lt;13,O67=""),"",O67+360)</f>
        <v/>
      </c>
      <c r="AD67" s="19" t="str">
        <f aca="false">IF(OR(I67="",I67&lt;14,O67=""),"",O67+390)</f>
        <v/>
      </c>
      <c r="AE67" s="19" t="str">
        <f aca="false">IF(OR(I67="",I67&lt;15,O67=""),"",O67+420)</f>
        <v/>
      </c>
      <c r="AF67" s="19" t="str">
        <f aca="false">IF(OR(I67="",I67&lt;16,O67=""),"",O67+450)</f>
        <v/>
      </c>
      <c r="AG67" s="19" t="str">
        <f aca="false">IF(OR(I67="",I67&lt;17,O67=""),"",O67+480)</f>
        <v/>
      </c>
      <c r="AH67" s="19" t="str">
        <f aca="false">IF(OR(I67="",I67&lt;18,O67=""),"",O67+510)</f>
        <v/>
      </c>
      <c r="AI67" s="19" t="str">
        <f aca="false">IF(OR(I67="",I67&lt;19,O67=""),"",O67+540)</f>
        <v/>
      </c>
      <c r="AJ67" s="19" t="str">
        <f aca="false">IF(OR(I67="",I67&lt;20,O67=""),"",O67+570)</f>
        <v/>
      </c>
      <c r="AK67" s="19" t="str">
        <f aca="false">IF(OR(I67="",I67&lt;21,O67=""),"",O67+600)</f>
        <v/>
      </c>
      <c r="AL67" s="19" t="str">
        <f aca="false">IF(OR(I67="",I67&lt;22,O67=""),"",O67+630)</f>
        <v/>
      </c>
      <c r="AM67" s="19" t="str">
        <f aca="false">IF(OR(I67="",I67&lt;23,O67=""),"",O67+660)</f>
        <v/>
      </c>
      <c r="AN67" s="19" t="str">
        <f aca="false">IF(OR(I67="",I67&lt;24,O67=""),"",O67+690)</f>
        <v/>
      </c>
      <c r="AO67" s="15" t="str">
        <f aca="false">IF(J67="","",COUNTIF(Q67:AN67,TRUE())*J67)</f>
        <v/>
      </c>
      <c r="AP67" s="15" t="str">
        <f aca="false">IF(K67="","",K67-AO67)</f>
        <v/>
      </c>
      <c r="AQ67" s="15" t="str">
        <f aca="false">IF(K67="","",K67-F67-IF(N67="",0,N67))</f>
        <v/>
      </c>
    </row>
    <row r="68" customFormat="false" ht="15" hidden="false" customHeight="false" outlineLevel="0" collapsed="false">
      <c r="A68" s="4"/>
      <c r="B68" s="4"/>
      <c r="C68" s="4"/>
      <c r="D68" s="5"/>
      <c r="E68" s="5"/>
      <c r="F68" s="6"/>
      <c r="G68" s="4"/>
      <c r="H68" s="4"/>
      <c r="I68" s="4"/>
      <c r="J68" s="6"/>
      <c r="K68" s="7" t="str">
        <f aca="false">IF(OR(I68="",J68=""),"",I68*J68)</f>
        <v/>
      </c>
      <c r="L68" s="4"/>
      <c r="M68" s="8"/>
      <c r="N68" s="7" t="str">
        <f aca="false">IF(OR(L68="",M68="",K68=""),"",IF(L68="GANANCIA",(K68-F68)*M68,IF(L68="BRUTO",K68*M68,"")))</f>
        <v/>
      </c>
      <c r="O68" s="9" t="str">
        <f aca="false">IF(D68="","",D68+30)</f>
        <v/>
      </c>
      <c r="P68" s="10" t="str">
        <f aca="false">IF(I68="","",IF(COUNTIF(Q68:AN68,TRUE())&gt;=I68,"PAGADO",IF(COUNTIF(Q68:AN68,TRUE())&gt;0,"PARCIAL","VIGENTE")))</f>
        <v/>
      </c>
      <c r="Q68" s="11" t="str">
        <f aca="false">IF(OR(I68="",I68&lt;1,O68=""),"",O68+0)</f>
        <v/>
      </c>
      <c r="R68" s="11" t="str">
        <f aca="false">IF(OR(I68="",I68&lt;2,O68=""),"",O68+30)</f>
        <v/>
      </c>
      <c r="S68" s="11" t="str">
        <f aca="false">IF(OR(I68="",I68&lt;3,O68=""),"",O68+60)</f>
        <v/>
      </c>
      <c r="T68" s="11" t="str">
        <f aca="false">IF(OR(I68="",I68&lt;4,O68=""),"",O68+90)</f>
        <v/>
      </c>
      <c r="U68" s="11" t="str">
        <f aca="false">IF(OR(I68="",I68&lt;5,O68=""),"",O68+120)</f>
        <v/>
      </c>
      <c r="V68" s="11" t="str">
        <f aca="false">IF(OR(I68="",I68&lt;6,O68=""),"",O68+150)</f>
        <v/>
      </c>
      <c r="W68" s="11" t="str">
        <f aca="false">IF(OR(I68="",I68&lt;7,O68=""),"",O68+180)</f>
        <v/>
      </c>
      <c r="X68" s="11" t="str">
        <f aca="false">IF(OR(I68="",I68&lt;8,O68=""),"",O68+210)</f>
        <v/>
      </c>
      <c r="Y68" s="11" t="str">
        <f aca="false">IF(OR(I68="",I68&lt;9,O68=""),"",O68+240)</f>
        <v/>
      </c>
      <c r="Z68" s="11" t="str">
        <f aca="false">IF(OR(I68="",I68&lt;10,O68=""),"",O68+270)</f>
        <v/>
      </c>
      <c r="AA68" s="11" t="str">
        <f aca="false">IF(OR(I68="",I68&lt;11,O68=""),"",O68+300)</f>
        <v/>
      </c>
      <c r="AB68" s="11" t="str">
        <f aca="false">IF(OR(I68="",I68&lt;12,O68=""),"",O68+330)</f>
        <v/>
      </c>
      <c r="AC68" s="11" t="str">
        <f aca="false">IF(OR(I68="",I68&lt;13,O68=""),"",O68+360)</f>
        <v/>
      </c>
      <c r="AD68" s="11" t="str">
        <f aca="false">IF(OR(I68="",I68&lt;14,O68=""),"",O68+390)</f>
        <v/>
      </c>
      <c r="AE68" s="11" t="str">
        <f aca="false">IF(OR(I68="",I68&lt;15,O68=""),"",O68+420)</f>
        <v/>
      </c>
      <c r="AF68" s="11" t="str">
        <f aca="false">IF(OR(I68="",I68&lt;16,O68=""),"",O68+450)</f>
        <v/>
      </c>
      <c r="AG68" s="11" t="str">
        <f aca="false">IF(OR(I68="",I68&lt;17,O68=""),"",O68+480)</f>
        <v/>
      </c>
      <c r="AH68" s="11" t="str">
        <f aca="false">IF(OR(I68="",I68&lt;18,O68=""),"",O68+510)</f>
        <v/>
      </c>
      <c r="AI68" s="11" t="str">
        <f aca="false">IF(OR(I68="",I68&lt;19,O68=""),"",O68+540)</f>
        <v/>
      </c>
      <c r="AJ68" s="11" t="str">
        <f aca="false">IF(OR(I68="",I68&lt;20,O68=""),"",O68+570)</f>
        <v/>
      </c>
      <c r="AK68" s="11" t="str">
        <f aca="false">IF(OR(I68="",I68&lt;21,O68=""),"",O68+600)</f>
        <v/>
      </c>
      <c r="AL68" s="11" t="str">
        <f aca="false">IF(OR(I68="",I68&lt;22,O68=""),"",O68+630)</f>
        <v/>
      </c>
      <c r="AM68" s="11" t="str">
        <f aca="false">IF(OR(I68="",I68&lt;23,O68=""),"",O68+660)</f>
        <v/>
      </c>
      <c r="AN68" s="11" t="str">
        <f aca="false">IF(OR(I68="",I68&lt;24,O68=""),"",O68+690)</f>
        <v/>
      </c>
      <c r="AO68" s="7" t="str">
        <f aca="false">IF(J68="","",COUNTIF(Q68:AN68,TRUE())*J68)</f>
        <v/>
      </c>
      <c r="AP68" s="7" t="str">
        <f aca="false">IF(K68="","",K68-AO68)</f>
        <v/>
      </c>
      <c r="AQ68" s="7" t="str">
        <f aca="false">IF(K68="","",K68-F68-IF(N68="",0,N68))</f>
        <v/>
      </c>
    </row>
    <row r="69" customFormat="false" ht="15" hidden="false" customHeight="false" outlineLevel="0" collapsed="false">
      <c r="A69" s="12"/>
      <c r="B69" s="12"/>
      <c r="C69" s="12"/>
      <c r="D69" s="13"/>
      <c r="E69" s="13"/>
      <c r="F69" s="14"/>
      <c r="G69" s="12"/>
      <c r="H69" s="12"/>
      <c r="I69" s="12"/>
      <c r="J69" s="14"/>
      <c r="K69" s="15" t="str">
        <f aca="false">IF(OR(I69="",J69=""),"",I69*J69)</f>
        <v/>
      </c>
      <c r="L69" s="12"/>
      <c r="M69" s="16"/>
      <c r="N69" s="15" t="str">
        <f aca="false">IF(OR(L69="",M69="",K69=""),"",IF(L69="GANANCIA",(K69-F69)*M69,IF(L69="BRUTO",K69*M69,"")))</f>
        <v/>
      </c>
      <c r="O69" s="17" t="str">
        <f aca="false">IF(D69="","",D69+30)</f>
        <v/>
      </c>
      <c r="P69" s="18" t="str">
        <f aca="false">IF(I69="","",IF(COUNTIF(Q69:AN69,TRUE())&gt;=I69,"PAGADO",IF(COUNTIF(Q69:AN69,TRUE())&gt;0,"PARCIAL","VIGENTE")))</f>
        <v/>
      </c>
      <c r="Q69" s="19" t="str">
        <f aca="false">IF(OR(I69="",I69&lt;1,O69=""),"",O69+0)</f>
        <v/>
      </c>
      <c r="R69" s="19" t="str">
        <f aca="false">IF(OR(I69="",I69&lt;2,O69=""),"",O69+30)</f>
        <v/>
      </c>
      <c r="S69" s="19" t="str">
        <f aca="false">IF(OR(I69="",I69&lt;3,O69=""),"",O69+60)</f>
        <v/>
      </c>
      <c r="T69" s="19" t="str">
        <f aca="false">IF(OR(I69="",I69&lt;4,O69=""),"",O69+90)</f>
        <v/>
      </c>
      <c r="U69" s="19" t="str">
        <f aca="false">IF(OR(I69="",I69&lt;5,O69=""),"",O69+120)</f>
        <v/>
      </c>
      <c r="V69" s="19" t="str">
        <f aca="false">IF(OR(I69="",I69&lt;6,O69=""),"",O69+150)</f>
        <v/>
      </c>
      <c r="W69" s="19" t="str">
        <f aca="false">IF(OR(I69="",I69&lt;7,O69=""),"",O69+180)</f>
        <v/>
      </c>
      <c r="X69" s="19" t="str">
        <f aca="false">IF(OR(I69="",I69&lt;8,O69=""),"",O69+210)</f>
        <v/>
      </c>
      <c r="Y69" s="19" t="str">
        <f aca="false">IF(OR(I69="",I69&lt;9,O69=""),"",O69+240)</f>
        <v/>
      </c>
      <c r="Z69" s="19" t="str">
        <f aca="false">IF(OR(I69="",I69&lt;10,O69=""),"",O69+270)</f>
        <v/>
      </c>
      <c r="AA69" s="19" t="str">
        <f aca="false">IF(OR(I69="",I69&lt;11,O69=""),"",O69+300)</f>
        <v/>
      </c>
      <c r="AB69" s="19" t="str">
        <f aca="false">IF(OR(I69="",I69&lt;12,O69=""),"",O69+330)</f>
        <v/>
      </c>
      <c r="AC69" s="19" t="str">
        <f aca="false">IF(OR(I69="",I69&lt;13,O69=""),"",O69+360)</f>
        <v/>
      </c>
      <c r="AD69" s="19" t="str">
        <f aca="false">IF(OR(I69="",I69&lt;14,O69=""),"",O69+390)</f>
        <v/>
      </c>
      <c r="AE69" s="19" t="str">
        <f aca="false">IF(OR(I69="",I69&lt;15,O69=""),"",O69+420)</f>
        <v/>
      </c>
      <c r="AF69" s="19" t="str">
        <f aca="false">IF(OR(I69="",I69&lt;16,O69=""),"",O69+450)</f>
        <v/>
      </c>
      <c r="AG69" s="19" t="str">
        <f aca="false">IF(OR(I69="",I69&lt;17,O69=""),"",O69+480)</f>
        <v/>
      </c>
      <c r="AH69" s="19" t="str">
        <f aca="false">IF(OR(I69="",I69&lt;18,O69=""),"",O69+510)</f>
        <v/>
      </c>
      <c r="AI69" s="19" t="str">
        <f aca="false">IF(OR(I69="",I69&lt;19,O69=""),"",O69+540)</f>
        <v/>
      </c>
      <c r="AJ69" s="19" t="str">
        <f aca="false">IF(OR(I69="",I69&lt;20,O69=""),"",O69+570)</f>
        <v/>
      </c>
      <c r="AK69" s="19" t="str">
        <f aca="false">IF(OR(I69="",I69&lt;21,O69=""),"",O69+600)</f>
        <v/>
      </c>
      <c r="AL69" s="19" t="str">
        <f aca="false">IF(OR(I69="",I69&lt;22,O69=""),"",O69+630)</f>
        <v/>
      </c>
      <c r="AM69" s="19" t="str">
        <f aca="false">IF(OR(I69="",I69&lt;23,O69=""),"",O69+660)</f>
        <v/>
      </c>
      <c r="AN69" s="19" t="str">
        <f aca="false">IF(OR(I69="",I69&lt;24,O69=""),"",O69+690)</f>
        <v/>
      </c>
      <c r="AO69" s="15" t="str">
        <f aca="false">IF(J69="","",COUNTIF(Q69:AN69,TRUE())*J69)</f>
        <v/>
      </c>
      <c r="AP69" s="15" t="str">
        <f aca="false">IF(K69="","",K69-AO69)</f>
        <v/>
      </c>
      <c r="AQ69" s="15" t="str">
        <f aca="false">IF(K69="","",K69-F69-IF(N69="",0,N69))</f>
        <v/>
      </c>
    </row>
    <row r="70" customFormat="false" ht="15" hidden="false" customHeight="false" outlineLevel="0" collapsed="false">
      <c r="A70" s="4"/>
      <c r="B70" s="4"/>
      <c r="C70" s="4"/>
      <c r="D70" s="5"/>
      <c r="E70" s="5"/>
      <c r="F70" s="6"/>
      <c r="G70" s="4"/>
      <c r="H70" s="4"/>
      <c r="I70" s="4"/>
      <c r="J70" s="6"/>
      <c r="K70" s="7" t="str">
        <f aca="false">IF(OR(I70="",J70=""),"",I70*J70)</f>
        <v/>
      </c>
      <c r="L70" s="4"/>
      <c r="M70" s="8"/>
      <c r="N70" s="7" t="str">
        <f aca="false">IF(OR(L70="",M70="",K70=""),"",IF(L70="GANANCIA",(K70-F70)*M70,IF(L70="BRUTO",K70*M70,"")))</f>
        <v/>
      </c>
      <c r="O70" s="9" t="str">
        <f aca="false">IF(D70="","",D70+30)</f>
        <v/>
      </c>
      <c r="P70" s="10" t="str">
        <f aca="false">IF(I70="","",IF(COUNTIF(Q70:AN70,TRUE())&gt;=I70,"PAGADO",IF(COUNTIF(Q70:AN70,TRUE())&gt;0,"PARCIAL","VIGENTE")))</f>
        <v/>
      </c>
      <c r="Q70" s="11" t="str">
        <f aca="false">IF(OR(I70="",I70&lt;1,O70=""),"",O70+0)</f>
        <v/>
      </c>
      <c r="R70" s="11" t="str">
        <f aca="false">IF(OR(I70="",I70&lt;2,O70=""),"",O70+30)</f>
        <v/>
      </c>
      <c r="S70" s="11" t="str">
        <f aca="false">IF(OR(I70="",I70&lt;3,O70=""),"",O70+60)</f>
        <v/>
      </c>
      <c r="T70" s="11" t="str">
        <f aca="false">IF(OR(I70="",I70&lt;4,O70=""),"",O70+90)</f>
        <v/>
      </c>
      <c r="U70" s="11" t="str">
        <f aca="false">IF(OR(I70="",I70&lt;5,O70=""),"",O70+120)</f>
        <v/>
      </c>
      <c r="V70" s="11" t="str">
        <f aca="false">IF(OR(I70="",I70&lt;6,O70=""),"",O70+150)</f>
        <v/>
      </c>
      <c r="W70" s="11" t="str">
        <f aca="false">IF(OR(I70="",I70&lt;7,O70=""),"",O70+180)</f>
        <v/>
      </c>
      <c r="X70" s="11" t="str">
        <f aca="false">IF(OR(I70="",I70&lt;8,O70=""),"",O70+210)</f>
        <v/>
      </c>
      <c r="Y70" s="11" t="str">
        <f aca="false">IF(OR(I70="",I70&lt;9,O70=""),"",O70+240)</f>
        <v/>
      </c>
      <c r="Z70" s="11" t="str">
        <f aca="false">IF(OR(I70="",I70&lt;10,O70=""),"",O70+270)</f>
        <v/>
      </c>
      <c r="AA70" s="11" t="str">
        <f aca="false">IF(OR(I70="",I70&lt;11,O70=""),"",O70+300)</f>
        <v/>
      </c>
      <c r="AB70" s="11" t="str">
        <f aca="false">IF(OR(I70="",I70&lt;12,O70=""),"",O70+330)</f>
        <v/>
      </c>
      <c r="AC70" s="11" t="str">
        <f aca="false">IF(OR(I70="",I70&lt;13,O70=""),"",O70+360)</f>
        <v/>
      </c>
      <c r="AD70" s="11" t="str">
        <f aca="false">IF(OR(I70="",I70&lt;14,O70=""),"",O70+390)</f>
        <v/>
      </c>
      <c r="AE70" s="11" t="str">
        <f aca="false">IF(OR(I70="",I70&lt;15,O70=""),"",O70+420)</f>
        <v/>
      </c>
      <c r="AF70" s="11" t="str">
        <f aca="false">IF(OR(I70="",I70&lt;16,O70=""),"",O70+450)</f>
        <v/>
      </c>
      <c r="AG70" s="11" t="str">
        <f aca="false">IF(OR(I70="",I70&lt;17,O70=""),"",O70+480)</f>
        <v/>
      </c>
      <c r="AH70" s="11" t="str">
        <f aca="false">IF(OR(I70="",I70&lt;18,O70=""),"",O70+510)</f>
        <v/>
      </c>
      <c r="AI70" s="11" t="str">
        <f aca="false">IF(OR(I70="",I70&lt;19,O70=""),"",O70+540)</f>
        <v/>
      </c>
      <c r="AJ70" s="11" t="str">
        <f aca="false">IF(OR(I70="",I70&lt;20,O70=""),"",O70+570)</f>
        <v/>
      </c>
      <c r="AK70" s="11" t="str">
        <f aca="false">IF(OR(I70="",I70&lt;21,O70=""),"",O70+600)</f>
        <v/>
      </c>
      <c r="AL70" s="11" t="str">
        <f aca="false">IF(OR(I70="",I70&lt;22,O70=""),"",O70+630)</f>
        <v/>
      </c>
      <c r="AM70" s="11" t="str">
        <f aca="false">IF(OR(I70="",I70&lt;23,O70=""),"",O70+660)</f>
        <v/>
      </c>
      <c r="AN70" s="11" t="str">
        <f aca="false">IF(OR(I70="",I70&lt;24,O70=""),"",O70+690)</f>
        <v/>
      </c>
      <c r="AO70" s="7" t="str">
        <f aca="false">IF(J70="","",COUNTIF(Q70:AN70,TRUE())*J70)</f>
        <v/>
      </c>
      <c r="AP70" s="7" t="str">
        <f aca="false">IF(K70="","",K70-AO70)</f>
        <v/>
      </c>
      <c r="AQ70" s="7" t="str">
        <f aca="false">IF(K70="","",K70-F70-IF(N70="",0,N70))</f>
        <v/>
      </c>
    </row>
    <row r="71" customFormat="false" ht="15" hidden="false" customHeight="false" outlineLevel="0" collapsed="false">
      <c r="A71" s="12"/>
      <c r="B71" s="12"/>
      <c r="C71" s="12"/>
      <c r="D71" s="13"/>
      <c r="E71" s="13"/>
      <c r="F71" s="14"/>
      <c r="G71" s="12"/>
      <c r="H71" s="12"/>
      <c r="I71" s="12"/>
      <c r="J71" s="14"/>
      <c r="K71" s="15" t="str">
        <f aca="false">IF(OR(I71="",J71=""),"",I71*J71)</f>
        <v/>
      </c>
      <c r="L71" s="12"/>
      <c r="M71" s="16"/>
      <c r="N71" s="15" t="str">
        <f aca="false">IF(OR(L71="",M71="",K71=""),"",IF(L71="GANANCIA",(K71-F71)*M71,IF(L71="BRUTO",K71*M71,"")))</f>
        <v/>
      </c>
      <c r="O71" s="17" t="str">
        <f aca="false">IF(D71="","",D71+30)</f>
        <v/>
      </c>
      <c r="P71" s="18" t="str">
        <f aca="false">IF(I71="","",IF(COUNTIF(Q71:AN71,TRUE())&gt;=I71,"PAGADO",IF(COUNTIF(Q71:AN71,TRUE())&gt;0,"PARCIAL","VIGENTE")))</f>
        <v/>
      </c>
      <c r="Q71" s="19" t="str">
        <f aca="false">IF(OR(I71="",I71&lt;1,O71=""),"",O71+0)</f>
        <v/>
      </c>
      <c r="R71" s="19" t="str">
        <f aca="false">IF(OR(I71="",I71&lt;2,O71=""),"",O71+30)</f>
        <v/>
      </c>
      <c r="S71" s="19" t="str">
        <f aca="false">IF(OR(I71="",I71&lt;3,O71=""),"",O71+60)</f>
        <v/>
      </c>
      <c r="T71" s="19" t="str">
        <f aca="false">IF(OR(I71="",I71&lt;4,O71=""),"",O71+90)</f>
        <v/>
      </c>
      <c r="U71" s="19" t="str">
        <f aca="false">IF(OR(I71="",I71&lt;5,O71=""),"",O71+120)</f>
        <v/>
      </c>
      <c r="V71" s="19" t="str">
        <f aca="false">IF(OR(I71="",I71&lt;6,O71=""),"",O71+150)</f>
        <v/>
      </c>
      <c r="W71" s="19" t="str">
        <f aca="false">IF(OR(I71="",I71&lt;7,O71=""),"",O71+180)</f>
        <v/>
      </c>
      <c r="X71" s="19" t="str">
        <f aca="false">IF(OR(I71="",I71&lt;8,O71=""),"",O71+210)</f>
        <v/>
      </c>
      <c r="Y71" s="19" t="str">
        <f aca="false">IF(OR(I71="",I71&lt;9,O71=""),"",O71+240)</f>
        <v/>
      </c>
      <c r="Z71" s="19" t="str">
        <f aca="false">IF(OR(I71="",I71&lt;10,O71=""),"",O71+270)</f>
        <v/>
      </c>
      <c r="AA71" s="19" t="str">
        <f aca="false">IF(OR(I71="",I71&lt;11,O71=""),"",O71+300)</f>
        <v/>
      </c>
      <c r="AB71" s="19" t="str">
        <f aca="false">IF(OR(I71="",I71&lt;12,O71=""),"",O71+330)</f>
        <v/>
      </c>
      <c r="AC71" s="19" t="str">
        <f aca="false">IF(OR(I71="",I71&lt;13,O71=""),"",O71+360)</f>
        <v/>
      </c>
      <c r="AD71" s="19" t="str">
        <f aca="false">IF(OR(I71="",I71&lt;14,O71=""),"",O71+390)</f>
        <v/>
      </c>
      <c r="AE71" s="19" t="str">
        <f aca="false">IF(OR(I71="",I71&lt;15,O71=""),"",O71+420)</f>
        <v/>
      </c>
      <c r="AF71" s="19" t="str">
        <f aca="false">IF(OR(I71="",I71&lt;16,O71=""),"",O71+450)</f>
        <v/>
      </c>
      <c r="AG71" s="19" t="str">
        <f aca="false">IF(OR(I71="",I71&lt;17,O71=""),"",O71+480)</f>
        <v/>
      </c>
      <c r="AH71" s="19" t="str">
        <f aca="false">IF(OR(I71="",I71&lt;18,O71=""),"",O71+510)</f>
        <v/>
      </c>
      <c r="AI71" s="19" t="str">
        <f aca="false">IF(OR(I71="",I71&lt;19,O71=""),"",O71+540)</f>
        <v/>
      </c>
      <c r="AJ71" s="19" t="str">
        <f aca="false">IF(OR(I71="",I71&lt;20,O71=""),"",O71+570)</f>
        <v/>
      </c>
      <c r="AK71" s="19" t="str">
        <f aca="false">IF(OR(I71="",I71&lt;21,O71=""),"",O71+600)</f>
        <v/>
      </c>
      <c r="AL71" s="19" t="str">
        <f aca="false">IF(OR(I71="",I71&lt;22,O71=""),"",O71+630)</f>
        <v/>
      </c>
      <c r="AM71" s="19" t="str">
        <f aca="false">IF(OR(I71="",I71&lt;23,O71=""),"",O71+660)</f>
        <v/>
      </c>
      <c r="AN71" s="19" t="str">
        <f aca="false">IF(OR(I71="",I71&lt;24,O71=""),"",O71+690)</f>
        <v/>
      </c>
      <c r="AO71" s="15" t="str">
        <f aca="false">IF(J71="","",COUNTIF(Q71:AN71,TRUE())*J71)</f>
        <v/>
      </c>
      <c r="AP71" s="15" t="str">
        <f aca="false">IF(K71="","",K71-AO71)</f>
        <v/>
      </c>
      <c r="AQ71" s="15" t="str">
        <f aca="false">IF(K71="","",K71-F71-IF(N71="",0,N71))</f>
        <v/>
      </c>
    </row>
    <row r="72" customFormat="false" ht="15" hidden="false" customHeight="false" outlineLevel="0" collapsed="false">
      <c r="A72" s="4"/>
      <c r="B72" s="4"/>
      <c r="C72" s="4"/>
      <c r="D72" s="5"/>
      <c r="E72" s="5"/>
      <c r="F72" s="6"/>
      <c r="G72" s="4"/>
      <c r="H72" s="4"/>
      <c r="I72" s="4"/>
      <c r="J72" s="6"/>
      <c r="K72" s="7" t="str">
        <f aca="false">IF(OR(I72="",J72=""),"",I72*J72)</f>
        <v/>
      </c>
      <c r="L72" s="4"/>
      <c r="M72" s="8"/>
      <c r="N72" s="7" t="str">
        <f aca="false">IF(OR(L72="",M72="",K72=""),"",IF(L72="GANANCIA",(K72-F72)*M72,IF(L72="BRUTO",K72*M72,"")))</f>
        <v/>
      </c>
      <c r="O72" s="9" t="str">
        <f aca="false">IF(D72="","",D72+30)</f>
        <v/>
      </c>
      <c r="P72" s="10" t="str">
        <f aca="false">IF(I72="","",IF(COUNTIF(Q72:AN72,TRUE())&gt;=I72,"PAGADO",IF(COUNTIF(Q72:AN72,TRUE())&gt;0,"PARCIAL","VIGENTE")))</f>
        <v/>
      </c>
      <c r="Q72" s="11" t="str">
        <f aca="false">IF(OR(I72="",I72&lt;1,O72=""),"",O72+0)</f>
        <v/>
      </c>
      <c r="R72" s="11" t="str">
        <f aca="false">IF(OR(I72="",I72&lt;2,O72=""),"",O72+30)</f>
        <v/>
      </c>
      <c r="S72" s="11" t="str">
        <f aca="false">IF(OR(I72="",I72&lt;3,O72=""),"",O72+60)</f>
        <v/>
      </c>
      <c r="T72" s="11" t="str">
        <f aca="false">IF(OR(I72="",I72&lt;4,O72=""),"",O72+90)</f>
        <v/>
      </c>
      <c r="U72" s="11" t="str">
        <f aca="false">IF(OR(I72="",I72&lt;5,O72=""),"",O72+120)</f>
        <v/>
      </c>
      <c r="V72" s="11" t="str">
        <f aca="false">IF(OR(I72="",I72&lt;6,O72=""),"",O72+150)</f>
        <v/>
      </c>
      <c r="W72" s="11" t="str">
        <f aca="false">IF(OR(I72="",I72&lt;7,O72=""),"",O72+180)</f>
        <v/>
      </c>
      <c r="X72" s="11" t="str">
        <f aca="false">IF(OR(I72="",I72&lt;8,O72=""),"",O72+210)</f>
        <v/>
      </c>
      <c r="Y72" s="11" t="str">
        <f aca="false">IF(OR(I72="",I72&lt;9,O72=""),"",O72+240)</f>
        <v/>
      </c>
      <c r="Z72" s="11" t="str">
        <f aca="false">IF(OR(I72="",I72&lt;10,O72=""),"",O72+270)</f>
        <v/>
      </c>
      <c r="AA72" s="11" t="str">
        <f aca="false">IF(OR(I72="",I72&lt;11,O72=""),"",O72+300)</f>
        <v/>
      </c>
      <c r="AB72" s="11" t="str">
        <f aca="false">IF(OR(I72="",I72&lt;12,O72=""),"",O72+330)</f>
        <v/>
      </c>
      <c r="AC72" s="11" t="str">
        <f aca="false">IF(OR(I72="",I72&lt;13,O72=""),"",O72+360)</f>
        <v/>
      </c>
      <c r="AD72" s="11" t="str">
        <f aca="false">IF(OR(I72="",I72&lt;14,O72=""),"",O72+390)</f>
        <v/>
      </c>
      <c r="AE72" s="11" t="str">
        <f aca="false">IF(OR(I72="",I72&lt;15,O72=""),"",O72+420)</f>
        <v/>
      </c>
      <c r="AF72" s="11" t="str">
        <f aca="false">IF(OR(I72="",I72&lt;16,O72=""),"",O72+450)</f>
        <v/>
      </c>
      <c r="AG72" s="11" t="str">
        <f aca="false">IF(OR(I72="",I72&lt;17,O72=""),"",O72+480)</f>
        <v/>
      </c>
      <c r="AH72" s="11" t="str">
        <f aca="false">IF(OR(I72="",I72&lt;18,O72=""),"",O72+510)</f>
        <v/>
      </c>
      <c r="AI72" s="11" t="str">
        <f aca="false">IF(OR(I72="",I72&lt;19,O72=""),"",O72+540)</f>
        <v/>
      </c>
      <c r="AJ72" s="11" t="str">
        <f aca="false">IF(OR(I72="",I72&lt;20,O72=""),"",O72+570)</f>
        <v/>
      </c>
      <c r="AK72" s="11" t="str">
        <f aca="false">IF(OR(I72="",I72&lt;21,O72=""),"",O72+600)</f>
        <v/>
      </c>
      <c r="AL72" s="11" t="str">
        <f aca="false">IF(OR(I72="",I72&lt;22,O72=""),"",O72+630)</f>
        <v/>
      </c>
      <c r="AM72" s="11" t="str">
        <f aca="false">IF(OR(I72="",I72&lt;23,O72=""),"",O72+660)</f>
        <v/>
      </c>
      <c r="AN72" s="11" t="str">
        <f aca="false">IF(OR(I72="",I72&lt;24,O72=""),"",O72+690)</f>
        <v/>
      </c>
      <c r="AO72" s="7" t="str">
        <f aca="false">IF(J72="","",COUNTIF(Q72:AN72,TRUE())*J72)</f>
        <v/>
      </c>
      <c r="AP72" s="7" t="str">
        <f aca="false">IF(K72="","",K72-AO72)</f>
        <v/>
      </c>
      <c r="AQ72" s="7" t="str">
        <f aca="false">IF(K72="","",K72-F72-IF(N72="",0,N72))</f>
        <v/>
      </c>
    </row>
    <row r="73" customFormat="false" ht="15" hidden="false" customHeight="false" outlineLevel="0" collapsed="false">
      <c r="A73" s="12"/>
      <c r="B73" s="12"/>
      <c r="C73" s="12"/>
      <c r="D73" s="13"/>
      <c r="E73" s="13"/>
      <c r="F73" s="14"/>
      <c r="G73" s="12"/>
      <c r="H73" s="12"/>
      <c r="I73" s="12"/>
      <c r="J73" s="14"/>
      <c r="K73" s="15" t="str">
        <f aca="false">IF(OR(I73="",J73=""),"",I73*J73)</f>
        <v/>
      </c>
      <c r="L73" s="12"/>
      <c r="M73" s="16"/>
      <c r="N73" s="15" t="str">
        <f aca="false">IF(OR(L73="",M73="",K73=""),"",IF(L73="GANANCIA",(K73-F73)*M73,IF(L73="BRUTO",K73*M73,"")))</f>
        <v/>
      </c>
      <c r="O73" s="17" t="str">
        <f aca="false">IF(D73="","",D73+30)</f>
        <v/>
      </c>
      <c r="P73" s="18" t="str">
        <f aca="false">IF(I73="","",IF(COUNTIF(Q73:AN73,TRUE())&gt;=I73,"PAGADO",IF(COUNTIF(Q73:AN73,TRUE())&gt;0,"PARCIAL","VIGENTE")))</f>
        <v/>
      </c>
      <c r="Q73" s="19" t="str">
        <f aca="false">IF(OR(I73="",I73&lt;1,O73=""),"",O73+0)</f>
        <v/>
      </c>
      <c r="R73" s="19" t="str">
        <f aca="false">IF(OR(I73="",I73&lt;2,O73=""),"",O73+30)</f>
        <v/>
      </c>
      <c r="S73" s="19" t="str">
        <f aca="false">IF(OR(I73="",I73&lt;3,O73=""),"",O73+60)</f>
        <v/>
      </c>
      <c r="T73" s="19" t="str">
        <f aca="false">IF(OR(I73="",I73&lt;4,O73=""),"",O73+90)</f>
        <v/>
      </c>
      <c r="U73" s="19" t="str">
        <f aca="false">IF(OR(I73="",I73&lt;5,O73=""),"",O73+120)</f>
        <v/>
      </c>
      <c r="V73" s="19" t="str">
        <f aca="false">IF(OR(I73="",I73&lt;6,O73=""),"",O73+150)</f>
        <v/>
      </c>
      <c r="W73" s="19" t="str">
        <f aca="false">IF(OR(I73="",I73&lt;7,O73=""),"",O73+180)</f>
        <v/>
      </c>
      <c r="X73" s="19" t="str">
        <f aca="false">IF(OR(I73="",I73&lt;8,O73=""),"",O73+210)</f>
        <v/>
      </c>
      <c r="Y73" s="19" t="str">
        <f aca="false">IF(OR(I73="",I73&lt;9,O73=""),"",O73+240)</f>
        <v/>
      </c>
      <c r="Z73" s="19" t="str">
        <f aca="false">IF(OR(I73="",I73&lt;10,O73=""),"",O73+270)</f>
        <v/>
      </c>
      <c r="AA73" s="19" t="str">
        <f aca="false">IF(OR(I73="",I73&lt;11,O73=""),"",O73+300)</f>
        <v/>
      </c>
      <c r="AB73" s="19" t="str">
        <f aca="false">IF(OR(I73="",I73&lt;12,O73=""),"",O73+330)</f>
        <v/>
      </c>
      <c r="AC73" s="19" t="str">
        <f aca="false">IF(OR(I73="",I73&lt;13,O73=""),"",O73+360)</f>
        <v/>
      </c>
      <c r="AD73" s="19" t="str">
        <f aca="false">IF(OR(I73="",I73&lt;14,O73=""),"",O73+390)</f>
        <v/>
      </c>
      <c r="AE73" s="19" t="str">
        <f aca="false">IF(OR(I73="",I73&lt;15,O73=""),"",O73+420)</f>
        <v/>
      </c>
      <c r="AF73" s="19" t="str">
        <f aca="false">IF(OR(I73="",I73&lt;16,O73=""),"",O73+450)</f>
        <v/>
      </c>
      <c r="AG73" s="19" t="str">
        <f aca="false">IF(OR(I73="",I73&lt;17,O73=""),"",O73+480)</f>
        <v/>
      </c>
      <c r="AH73" s="19" t="str">
        <f aca="false">IF(OR(I73="",I73&lt;18,O73=""),"",O73+510)</f>
        <v/>
      </c>
      <c r="AI73" s="19" t="str">
        <f aca="false">IF(OR(I73="",I73&lt;19,O73=""),"",O73+540)</f>
        <v/>
      </c>
      <c r="AJ73" s="19" t="str">
        <f aca="false">IF(OR(I73="",I73&lt;20,O73=""),"",O73+570)</f>
        <v/>
      </c>
      <c r="AK73" s="19" t="str">
        <f aca="false">IF(OR(I73="",I73&lt;21,O73=""),"",O73+600)</f>
        <v/>
      </c>
      <c r="AL73" s="19" t="str">
        <f aca="false">IF(OR(I73="",I73&lt;22,O73=""),"",O73+630)</f>
        <v/>
      </c>
      <c r="AM73" s="19" t="str">
        <f aca="false">IF(OR(I73="",I73&lt;23,O73=""),"",O73+660)</f>
        <v/>
      </c>
      <c r="AN73" s="19" t="str">
        <f aca="false">IF(OR(I73="",I73&lt;24,O73=""),"",O73+690)</f>
        <v/>
      </c>
      <c r="AO73" s="15" t="str">
        <f aca="false">IF(J73="","",COUNTIF(Q73:AN73,TRUE())*J73)</f>
        <v/>
      </c>
      <c r="AP73" s="15" t="str">
        <f aca="false">IF(K73="","",K73-AO73)</f>
        <v/>
      </c>
      <c r="AQ73" s="15" t="str">
        <f aca="false">IF(K73="","",K73-F73-IF(N73="",0,N73))</f>
        <v/>
      </c>
    </row>
    <row r="74" customFormat="false" ht="15" hidden="false" customHeight="false" outlineLevel="0" collapsed="false">
      <c r="A74" s="4"/>
      <c r="B74" s="4"/>
      <c r="C74" s="4"/>
      <c r="D74" s="5"/>
      <c r="E74" s="5"/>
      <c r="F74" s="6"/>
      <c r="G74" s="4"/>
      <c r="H74" s="4"/>
      <c r="I74" s="4"/>
      <c r="J74" s="6"/>
      <c r="K74" s="7" t="str">
        <f aca="false">IF(OR(I74="",J74=""),"",I74*J74)</f>
        <v/>
      </c>
      <c r="L74" s="4"/>
      <c r="M74" s="8"/>
      <c r="N74" s="7" t="str">
        <f aca="false">IF(OR(L74="",M74="",K74=""),"",IF(L74="GANANCIA",(K74-F74)*M74,IF(L74="BRUTO",K74*M74,"")))</f>
        <v/>
      </c>
      <c r="O74" s="9" t="str">
        <f aca="false">IF(D74="","",D74+30)</f>
        <v/>
      </c>
      <c r="P74" s="10" t="str">
        <f aca="false">IF(I74="","",IF(COUNTIF(Q74:AN74,TRUE())&gt;=I74,"PAGADO",IF(COUNTIF(Q74:AN74,TRUE())&gt;0,"PARCIAL","VIGENTE")))</f>
        <v/>
      </c>
      <c r="Q74" s="11" t="str">
        <f aca="false">IF(OR(I74="",I74&lt;1,O74=""),"",O74+0)</f>
        <v/>
      </c>
      <c r="R74" s="11" t="str">
        <f aca="false">IF(OR(I74="",I74&lt;2,O74=""),"",O74+30)</f>
        <v/>
      </c>
      <c r="S74" s="11" t="str">
        <f aca="false">IF(OR(I74="",I74&lt;3,O74=""),"",O74+60)</f>
        <v/>
      </c>
      <c r="T74" s="11" t="str">
        <f aca="false">IF(OR(I74="",I74&lt;4,O74=""),"",O74+90)</f>
        <v/>
      </c>
      <c r="U74" s="11" t="str">
        <f aca="false">IF(OR(I74="",I74&lt;5,O74=""),"",O74+120)</f>
        <v/>
      </c>
      <c r="V74" s="11" t="str">
        <f aca="false">IF(OR(I74="",I74&lt;6,O74=""),"",O74+150)</f>
        <v/>
      </c>
      <c r="W74" s="11" t="str">
        <f aca="false">IF(OR(I74="",I74&lt;7,O74=""),"",O74+180)</f>
        <v/>
      </c>
      <c r="X74" s="11" t="str">
        <f aca="false">IF(OR(I74="",I74&lt;8,O74=""),"",O74+210)</f>
        <v/>
      </c>
      <c r="Y74" s="11" t="str">
        <f aca="false">IF(OR(I74="",I74&lt;9,O74=""),"",O74+240)</f>
        <v/>
      </c>
      <c r="Z74" s="11" t="str">
        <f aca="false">IF(OR(I74="",I74&lt;10,O74=""),"",O74+270)</f>
        <v/>
      </c>
      <c r="AA74" s="11" t="str">
        <f aca="false">IF(OR(I74="",I74&lt;11,O74=""),"",O74+300)</f>
        <v/>
      </c>
      <c r="AB74" s="11" t="str">
        <f aca="false">IF(OR(I74="",I74&lt;12,O74=""),"",O74+330)</f>
        <v/>
      </c>
      <c r="AC74" s="11" t="str">
        <f aca="false">IF(OR(I74="",I74&lt;13,O74=""),"",O74+360)</f>
        <v/>
      </c>
      <c r="AD74" s="11" t="str">
        <f aca="false">IF(OR(I74="",I74&lt;14,O74=""),"",O74+390)</f>
        <v/>
      </c>
      <c r="AE74" s="11" t="str">
        <f aca="false">IF(OR(I74="",I74&lt;15,O74=""),"",O74+420)</f>
        <v/>
      </c>
      <c r="AF74" s="11" t="str">
        <f aca="false">IF(OR(I74="",I74&lt;16,O74=""),"",O74+450)</f>
        <v/>
      </c>
      <c r="AG74" s="11" t="str">
        <f aca="false">IF(OR(I74="",I74&lt;17,O74=""),"",O74+480)</f>
        <v/>
      </c>
      <c r="AH74" s="11" t="str">
        <f aca="false">IF(OR(I74="",I74&lt;18,O74=""),"",O74+510)</f>
        <v/>
      </c>
      <c r="AI74" s="11" t="str">
        <f aca="false">IF(OR(I74="",I74&lt;19,O74=""),"",O74+540)</f>
        <v/>
      </c>
      <c r="AJ74" s="11" t="str">
        <f aca="false">IF(OR(I74="",I74&lt;20,O74=""),"",O74+570)</f>
        <v/>
      </c>
      <c r="AK74" s="11" t="str">
        <f aca="false">IF(OR(I74="",I74&lt;21,O74=""),"",O74+600)</f>
        <v/>
      </c>
      <c r="AL74" s="11" t="str">
        <f aca="false">IF(OR(I74="",I74&lt;22,O74=""),"",O74+630)</f>
        <v/>
      </c>
      <c r="AM74" s="11" t="str">
        <f aca="false">IF(OR(I74="",I74&lt;23,O74=""),"",O74+660)</f>
        <v/>
      </c>
      <c r="AN74" s="11" t="str">
        <f aca="false">IF(OR(I74="",I74&lt;24,O74=""),"",O74+690)</f>
        <v/>
      </c>
      <c r="AO74" s="7" t="str">
        <f aca="false">IF(J74="","",COUNTIF(Q74:AN74,TRUE())*J74)</f>
        <v/>
      </c>
      <c r="AP74" s="7" t="str">
        <f aca="false">IF(K74="","",K74-AO74)</f>
        <v/>
      </c>
      <c r="AQ74" s="7" t="str">
        <f aca="false">IF(K74="","",K74-F74-IF(N74="",0,N74))</f>
        <v/>
      </c>
    </row>
    <row r="75" customFormat="false" ht="15" hidden="false" customHeight="false" outlineLevel="0" collapsed="false">
      <c r="A75" s="12"/>
      <c r="B75" s="12"/>
      <c r="C75" s="12"/>
      <c r="D75" s="13"/>
      <c r="E75" s="13"/>
      <c r="F75" s="14"/>
      <c r="G75" s="12"/>
      <c r="H75" s="12"/>
      <c r="I75" s="12"/>
      <c r="J75" s="14"/>
      <c r="K75" s="15" t="str">
        <f aca="false">IF(OR(I75="",J75=""),"",I75*J75)</f>
        <v/>
      </c>
      <c r="L75" s="12"/>
      <c r="M75" s="16"/>
      <c r="N75" s="15" t="str">
        <f aca="false">IF(OR(L75="",M75="",K75=""),"",IF(L75="GANANCIA",(K75-F75)*M75,IF(L75="BRUTO",K75*M75,"")))</f>
        <v/>
      </c>
      <c r="O75" s="17" t="str">
        <f aca="false">IF(D75="","",D75+30)</f>
        <v/>
      </c>
      <c r="P75" s="18" t="str">
        <f aca="false">IF(I75="","",IF(COUNTIF(Q75:AN75,TRUE())&gt;=I75,"PAGADO",IF(COUNTIF(Q75:AN75,TRUE())&gt;0,"PARCIAL","VIGENTE")))</f>
        <v/>
      </c>
      <c r="Q75" s="19" t="str">
        <f aca="false">IF(OR(I75="",I75&lt;1,O75=""),"",O75+0)</f>
        <v/>
      </c>
      <c r="R75" s="19" t="str">
        <f aca="false">IF(OR(I75="",I75&lt;2,O75=""),"",O75+30)</f>
        <v/>
      </c>
      <c r="S75" s="19" t="str">
        <f aca="false">IF(OR(I75="",I75&lt;3,O75=""),"",O75+60)</f>
        <v/>
      </c>
      <c r="T75" s="19" t="str">
        <f aca="false">IF(OR(I75="",I75&lt;4,O75=""),"",O75+90)</f>
        <v/>
      </c>
      <c r="U75" s="19" t="str">
        <f aca="false">IF(OR(I75="",I75&lt;5,O75=""),"",O75+120)</f>
        <v/>
      </c>
      <c r="V75" s="19" t="str">
        <f aca="false">IF(OR(I75="",I75&lt;6,O75=""),"",O75+150)</f>
        <v/>
      </c>
      <c r="W75" s="19" t="str">
        <f aca="false">IF(OR(I75="",I75&lt;7,O75=""),"",O75+180)</f>
        <v/>
      </c>
      <c r="X75" s="19" t="str">
        <f aca="false">IF(OR(I75="",I75&lt;8,O75=""),"",O75+210)</f>
        <v/>
      </c>
      <c r="Y75" s="19" t="str">
        <f aca="false">IF(OR(I75="",I75&lt;9,O75=""),"",O75+240)</f>
        <v/>
      </c>
      <c r="Z75" s="19" t="str">
        <f aca="false">IF(OR(I75="",I75&lt;10,O75=""),"",O75+270)</f>
        <v/>
      </c>
      <c r="AA75" s="19" t="str">
        <f aca="false">IF(OR(I75="",I75&lt;11,O75=""),"",O75+300)</f>
        <v/>
      </c>
      <c r="AB75" s="19" t="str">
        <f aca="false">IF(OR(I75="",I75&lt;12,O75=""),"",O75+330)</f>
        <v/>
      </c>
      <c r="AC75" s="19" t="str">
        <f aca="false">IF(OR(I75="",I75&lt;13,O75=""),"",O75+360)</f>
        <v/>
      </c>
      <c r="AD75" s="19" t="str">
        <f aca="false">IF(OR(I75="",I75&lt;14,O75=""),"",O75+390)</f>
        <v/>
      </c>
      <c r="AE75" s="19" t="str">
        <f aca="false">IF(OR(I75="",I75&lt;15,O75=""),"",O75+420)</f>
        <v/>
      </c>
      <c r="AF75" s="19" t="str">
        <f aca="false">IF(OR(I75="",I75&lt;16,O75=""),"",O75+450)</f>
        <v/>
      </c>
      <c r="AG75" s="19" t="str">
        <f aca="false">IF(OR(I75="",I75&lt;17,O75=""),"",O75+480)</f>
        <v/>
      </c>
      <c r="AH75" s="19" t="str">
        <f aca="false">IF(OR(I75="",I75&lt;18,O75=""),"",O75+510)</f>
        <v/>
      </c>
      <c r="AI75" s="19" t="str">
        <f aca="false">IF(OR(I75="",I75&lt;19,O75=""),"",O75+540)</f>
        <v/>
      </c>
      <c r="AJ75" s="19" t="str">
        <f aca="false">IF(OR(I75="",I75&lt;20,O75=""),"",O75+570)</f>
        <v/>
      </c>
      <c r="AK75" s="19" t="str">
        <f aca="false">IF(OR(I75="",I75&lt;21,O75=""),"",O75+600)</f>
        <v/>
      </c>
      <c r="AL75" s="19" t="str">
        <f aca="false">IF(OR(I75="",I75&lt;22,O75=""),"",O75+630)</f>
        <v/>
      </c>
      <c r="AM75" s="19" t="str">
        <f aca="false">IF(OR(I75="",I75&lt;23,O75=""),"",O75+660)</f>
        <v/>
      </c>
      <c r="AN75" s="19" t="str">
        <f aca="false">IF(OR(I75="",I75&lt;24,O75=""),"",O75+690)</f>
        <v/>
      </c>
      <c r="AO75" s="15" t="str">
        <f aca="false">IF(J75="","",COUNTIF(Q75:AN75,TRUE())*J75)</f>
        <v/>
      </c>
      <c r="AP75" s="15" t="str">
        <f aca="false">IF(K75="","",K75-AO75)</f>
        <v/>
      </c>
      <c r="AQ75" s="15" t="str">
        <f aca="false">IF(K75="","",K75-F75-IF(N75="",0,N75))</f>
        <v/>
      </c>
    </row>
    <row r="76" customFormat="false" ht="15" hidden="false" customHeight="false" outlineLevel="0" collapsed="false">
      <c r="A76" s="4"/>
      <c r="B76" s="4"/>
      <c r="C76" s="4"/>
      <c r="D76" s="5"/>
      <c r="E76" s="5"/>
      <c r="F76" s="6"/>
      <c r="G76" s="4"/>
      <c r="H76" s="4"/>
      <c r="I76" s="4"/>
      <c r="J76" s="6"/>
      <c r="K76" s="7" t="str">
        <f aca="false">IF(OR(I76="",J76=""),"",I76*J76)</f>
        <v/>
      </c>
      <c r="L76" s="4"/>
      <c r="M76" s="8"/>
      <c r="N76" s="7" t="str">
        <f aca="false">IF(OR(L76="",M76="",K76=""),"",IF(L76="GANANCIA",(K76-F76)*M76,IF(L76="BRUTO",K76*M76,"")))</f>
        <v/>
      </c>
      <c r="O76" s="9" t="str">
        <f aca="false">IF(D76="","",D76+30)</f>
        <v/>
      </c>
      <c r="P76" s="10" t="str">
        <f aca="false">IF(I76="","",IF(COUNTIF(Q76:AN76,TRUE())&gt;=I76,"PAGADO",IF(COUNTIF(Q76:AN76,TRUE())&gt;0,"PARCIAL","VIGENTE")))</f>
        <v/>
      </c>
      <c r="Q76" s="11" t="str">
        <f aca="false">IF(OR(I76="",I76&lt;1,O76=""),"",O76+0)</f>
        <v/>
      </c>
      <c r="R76" s="11" t="str">
        <f aca="false">IF(OR(I76="",I76&lt;2,O76=""),"",O76+30)</f>
        <v/>
      </c>
      <c r="S76" s="11" t="str">
        <f aca="false">IF(OR(I76="",I76&lt;3,O76=""),"",O76+60)</f>
        <v/>
      </c>
      <c r="T76" s="11" t="str">
        <f aca="false">IF(OR(I76="",I76&lt;4,O76=""),"",O76+90)</f>
        <v/>
      </c>
      <c r="U76" s="11" t="str">
        <f aca="false">IF(OR(I76="",I76&lt;5,O76=""),"",O76+120)</f>
        <v/>
      </c>
      <c r="V76" s="11" t="str">
        <f aca="false">IF(OR(I76="",I76&lt;6,O76=""),"",O76+150)</f>
        <v/>
      </c>
      <c r="W76" s="11" t="str">
        <f aca="false">IF(OR(I76="",I76&lt;7,O76=""),"",O76+180)</f>
        <v/>
      </c>
      <c r="X76" s="11" t="str">
        <f aca="false">IF(OR(I76="",I76&lt;8,O76=""),"",O76+210)</f>
        <v/>
      </c>
      <c r="Y76" s="11" t="str">
        <f aca="false">IF(OR(I76="",I76&lt;9,O76=""),"",O76+240)</f>
        <v/>
      </c>
      <c r="Z76" s="11" t="str">
        <f aca="false">IF(OR(I76="",I76&lt;10,O76=""),"",O76+270)</f>
        <v/>
      </c>
      <c r="AA76" s="11" t="str">
        <f aca="false">IF(OR(I76="",I76&lt;11,O76=""),"",O76+300)</f>
        <v/>
      </c>
      <c r="AB76" s="11" t="str">
        <f aca="false">IF(OR(I76="",I76&lt;12,O76=""),"",O76+330)</f>
        <v/>
      </c>
      <c r="AC76" s="11" t="str">
        <f aca="false">IF(OR(I76="",I76&lt;13,O76=""),"",O76+360)</f>
        <v/>
      </c>
      <c r="AD76" s="11" t="str">
        <f aca="false">IF(OR(I76="",I76&lt;14,O76=""),"",O76+390)</f>
        <v/>
      </c>
      <c r="AE76" s="11" t="str">
        <f aca="false">IF(OR(I76="",I76&lt;15,O76=""),"",O76+420)</f>
        <v/>
      </c>
      <c r="AF76" s="11" t="str">
        <f aca="false">IF(OR(I76="",I76&lt;16,O76=""),"",O76+450)</f>
        <v/>
      </c>
      <c r="AG76" s="11" t="str">
        <f aca="false">IF(OR(I76="",I76&lt;17,O76=""),"",O76+480)</f>
        <v/>
      </c>
      <c r="AH76" s="11" t="str">
        <f aca="false">IF(OR(I76="",I76&lt;18,O76=""),"",O76+510)</f>
        <v/>
      </c>
      <c r="AI76" s="11" t="str">
        <f aca="false">IF(OR(I76="",I76&lt;19,O76=""),"",O76+540)</f>
        <v/>
      </c>
      <c r="AJ76" s="11" t="str">
        <f aca="false">IF(OR(I76="",I76&lt;20,O76=""),"",O76+570)</f>
        <v/>
      </c>
      <c r="AK76" s="11" t="str">
        <f aca="false">IF(OR(I76="",I76&lt;21,O76=""),"",O76+600)</f>
        <v/>
      </c>
      <c r="AL76" s="11" t="str">
        <f aca="false">IF(OR(I76="",I76&lt;22,O76=""),"",O76+630)</f>
        <v/>
      </c>
      <c r="AM76" s="11" t="str">
        <f aca="false">IF(OR(I76="",I76&lt;23,O76=""),"",O76+660)</f>
        <v/>
      </c>
      <c r="AN76" s="11" t="str">
        <f aca="false">IF(OR(I76="",I76&lt;24,O76=""),"",O76+690)</f>
        <v/>
      </c>
      <c r="AO76" s="7" t="str">
        <f aca="false">IF(J76="","",COUNTIF(Q76:AN76,TRUE())*J76)</f>
        <v/>
      </c>
      <c r="AP76" s="7" t="str">
        <f aca="false">IF(K76="","",K76-AO76)</f>
        <v/>
      </c>
      <c r="AQ76" s="7" t="str">
        <f aca="false">IF(K76="","",K76-F76-IF(N76="",0,N76))</f>
        <v/>
      </c>
    </row>
    <row r="77" customFormat="false" ht="15" hidden="false" customHeight="false" outlineLevel="0" collapsed="false">
      <c r="A77" s="12"/>
      <c r="B77" s="12"/>
      <c r="C77" s="12"/>
      <c r="D77" s="13"/>
      <c r="E77" s="13"/>
      <c r="F77" s="14"/>
      <c r="G77" s="12"/>
      <c r="H77" s="12"/>
      <c r="I77" s="12"/>
      <c r="J77" s="14"/>
      <c r="K77" s="15" t="str">
        <f aca="false">IF(OR(I77="",J77=""),"",I77*J77)</f>
        <v/>
      </c>
      <c r="L77" s="12"/>
      <c r="M77" s="16"/>
      <c r="N77" s="15" t="str">
        <f aca="false">IF(OR(L77="",M77="",K77=""),"",IF(L77="GANANCIA",(K77-F77)*M77,IF(L77="BRUTO",K77*M77,"")))</f>
        <v/>
      </c>
      <c r="O77" s="17" t="str">
        <f aca="false">IF(D77="","",D77+30)</f>
        <v/>
      </c>
      <c r="P77" s="18" t="str">
        <f aca="false">IF(I77="","",IF(COUNTIF(Q77:AN77,TRUE())&gt;=I77,"PAGADO",IF(COUNTIF(Q77:AN77,TRUE())&gt;0,"PARCIAL","VIGENTE")))</f>
        <v/>
      </c>
      <c r="Q77" s="19" t="str">
        <f aca="false">IF(OR(I77="",I77&lt;1,O77=""),"",O77+0)</f>
        <v/>
      </c>
      <c r="R77" s="19" t="str">
        <f aca="false">IF(OR(I77="",I77&lt;2,O77=""),"",O77+30)</f>
        <v/>
      </c>
      <c r="S77" s="19" t="str">
        <f aca="false">IF(OR(I77="",I77&lt;3,O77=""),"",O77+60)</f>
        <v/>
      </c>
      <c r="T77" s="19" t="str">
        <f aca="false">IF(OR(I77="",I77&lt;4,O77=""),"",O77+90)</f>
        <v/>
      </c>
      <c r="U77" s="19" t="str">
        <f aca="false">IF(OR(I77="",I77&lt;5,O77=""),"",O77+120)</f>
        <v/>
      </c>
      <c r="V77" s="19" t="str">
        <f aca="false">IF(OR(I77="",I77&lt;6,O77=""),"",O77+150)</f>
        <v/>
      </c>
      <c r="W77" s="19" t="str">
        <f aca="false">IF(OR(I77="",I77&lt;7,O77=""),"",O77+180)</f>
        <v/>
      </c>
      <c r="X77" s="19" t="str">
        <f aca="false">IF(OR(I77="",I77&lt;8,O77=""),"",O77+210)</f>
        <v/>
      </c>
      <c r="Y77" s="19" t="str">
        <f aca="false">IF(OR(I77="",I77&lt;9,O77=""),"",O77+240)</f>
        <v/>
      </c>
      <c r="Z77" s="19" t="str">
        <f aca="false">IF(OR(I77="",I77&lt;10,O77=""),"",O77+270)</f>
        <v/>
      </c>
      <c r="AA77" s="19" t="str">
        <f aca="false">IF(OR(I77="",I77&lt;11,O77=""),"",O77+300)</f>
        <v/>
      </c>
      <c r="AB77" s="19" t="str">
        <f aca="false">IF(OR(I77="",I77&lt;12,O77=""),"",O77+330)</f>
        <v/>
      </c>
      <c r="AC77" s="19" t="str">
        <f aca="false">IF(OR(I77="",I77&lt;13,O77=""),"",O77+360)</f>
        <v/>
      </c>
      <c r="AD77" s="19" t="str">
        <f aca="false">IF(OR(I77="",I77&lt;14,O77=""),"",O77+390)</f>
        <v/>
      </c>
      <c r="AE77" s="19" t="str">
        <f aca="false">IF(OR(I77="",I77&lt;15,O77=""),"",O77+420)</f>
        <v/>
      </c>
      <c r="AF77" s="19" t="str">
        <f aca="false">IF(OR(I77="",I77&lt;16,O77=""),"",O77+450)</f>
        <v/>
      </c>
      <c r="AG77" s="19" t="str">
        <f aca="false">IF(OR(I77="",I77&lt;17,O77=""),"",O77+480)</f>
        <v/>
      </c>
      <c r="AH77" s="19" t="str">
        <f aca="false">IF(OR(I77="",I77&lt;18,O77=""),"",O77+510)</f>
        <v/>
      </c>
      <c r="AI77" s="19" t="str">
        <f aca="false">IF(OR(I77="",I77&lt;19,O77=""),"",O77+540)</f>
        <v/>
      </c>
      <c r="AJ77" s="19" t="str">
        <f aca="false">IF(OR(I77="",I77&lt;20,O77=""),"",O77+570)</f>
        <v/>
      </c>
      <c r="AK77" s="19" t="str">
        <f aca="false">IF(OR(I77="",I77&lt;21,O77=""),"",O77+600)</f>
        <v/>
      </c>
      <c r="AL77" s="19" t="str">
        <f aca="false">IF(OR(I77="",I77&lt;22,O77=""),"",O77+630)</f>
        <v/>
      </c>
      <c r="AM77" s="19" t="str">
        <f aca="false">IF(OR(I77="",I77&lt;23,O77=""),"",O77+660)</f>
        <v/>
      </c>
      <c r="AN77" s="19" t="str">
        <f aca="false">IF(OR(I77="",I77&lt;24,O77=""),"",O77+690)</f>
        <v/>
      </c>
      <c r="AO77" s="15" t="str">
        <f aca="false">IF(J77="","",COUNTIF(Q77:AN77,TRUE())*J77)</f>
        <v/>
      </c>
      <c r="AP77" s="15" t="str">
        <f aca="false">IF(K77="","",K77-AO77)</f>
        <v/>
      </c>
      <c r="AQ77" s="15" t="str">
        <f aca="false">IF(K77="","",K77-F77-IF(N77="",0,N77))</f>
        <v/>
      </c>
    </row>
    <row r="78" customFormat="false" ht="15" hidden="false" customHeight="false" outlineLevel="0" collapsed="false">
      <c r="A78" s="4"/>
      <c r="B78" s="4"/>
      <c r="C78" s="4"/>
      <c r="D78" s="5"/>
      <c r="E78" s="5"/>
      <c r="F78" s="6"/>
      <c r="G78" s="4"/>
      <c r="H78" s="4"/>
      <c r="I78" s="4"/>
      <c r="J78" s="6"/>
      <c r="K78" s="7" t="str">
        <f aca="false">IF(OR(I78="",J78=""),"",I78*J78)</f>
        <v/>
      </c>
      <c r="L78" s="4"/>
      <c r="M78" s="8"/>
      <c r="N78" s="7" t="str">
        <f aca="false">IF(OR(L78="",M78="",K78=""),"",IF(L78="GANANCIA",(K78-F78)*M78,IF(L78="BRUTO",K78*M78,"")))</f>
        <v/>
      </c>
      <c r="O78" s="9" t="str">
        <f aca="false">IF(D78="","",D78+30)</f>
        <v/>
      </c>
      <c r="P78" s="10" t="str">
        <f aca="false">IF(I78="","",IF(COUNTIF(Q78:AN78,TRUE())&gt;=I78,"PAGADO",IF(COUNTIF(Q78:AN78,TRUE())&gt;0,"PARCIAL","VIGENTE")))</f>
        <v/>
      </c>
      <c r="Q78" s="11" t="str">
        <f aca="false">IF(OR(I78="",I78&lt;1,O78=""),"",O78+0)</f>
        <v/>
      </c>
      <c r="R78" s="11" t="str">
        <f aca="false">IF(OR(I78="",I78&lt;2,O78=""),"",O78+30)</f>
        <v/>
      </c>
      <c r="S78" s="11" t="str">
        <f aca="false">IF(OR(I78="",I78&lt;3,O78=""),"",O78+60)</f>
        <v/>
      </c>
      <c r="T78" s="11" t="str">
        <f aca="false">IF(OR(I78="",I78&lt;4,O78=""),"",O78+90)</f>
        <v/>
      </c>
      <c r="U78" s="11" t="str">
        <f aca="false">IF(OR(I78="",I78&lt;5,O78=""),"",O78+120)</f>
        <v/>
      </c>
      <c r="V78" s="11" t="str">
        <f aca="false">IF(OR(I78="",I78&lt;6,O78=""),"",O78+150)</f>
        <v/>
      </c>
      <c r="W78" s="11" t="str">
        <f aca="false">IF(OR(I78="",I78&lt;7,O78=""),"",O78+180)</f>
        <v/>
      </c>
      <c r="X78" s="11" t="str">
        <f aca="false">IF(OR(I78="",I78&lt;8,O78=""),"",O78+210)</f>
        <v/>
      </c>
      <c r="Y78" s="11" t="str">
        <f aca="false">IF(OR(I78="",I78&lt;9,O78=""),"",O78+240)</f>
        <v/>
      </c>
      <c r="Z78" s="11" t="str">
        <f aca="false">IF(OR(I78="",I78&lt;10,O78=""),"",O78+270)</f>
        <v/>
      </c>
      <c r="AA78" s="11" t="str">
        <f aca="false">IF(OR(I78="",I78&lt;11,O78=""),"",O78+300)</f>
        <v/>
      </c>
      <c r="AB78" s="11" t="str">
        <f aca="false">IF(OR(I78="",I78&lt;12,O78=""),"",O78+330)</f>
        <v/>
      </c>
      <c r="AC78" s="11" t="str">
        <f aca="false">IF(OR(I78="",I78&lt;13,O78=""),"",O78+360)</f>
        <v/>
      </c>
      <c r="AD78" s="11" t="str">
        <f aca="false">IF(OR(I78="",I78&lt;14,O78=""),"",O78+390)</f>
        <v/>
      </c>
      <c r="AE78" s="11" t="str">
        <f aca="false">IF(OR(I78="",I78&lt;15,O78=""),"",O78+420)</f>
        <v/>
      </c>
      <c r="AF78" s="11" t="str">
        <f aca="false">IF(OR(I78="",I78&lt;16,O78=""),"",O78+450)</f>
        <v/>
      </c>
      <c r="AG78" s="11" t="str">
        <f aca="false">IF(OR(I78="",I78&lt;17,O78=""),"",O78+480)</f>
        <v/>
      </c>
      <c r="AH78" s="11" t="str">
        <f aca="false">IF(OR(I78="",I78&lt;18,O78=""),"",O78+510)</f>
        <v/>
      </c>
      <c r="AI78" s="11" t="str">
        <f aca="false">IF(OR(I78="",I78&lt;19,O78=""),"",O78+540)</f>
        <v/>
      </c>
      <c r="AJ78" s="11" t="str">
        <f aca="false">IF(OR(I78="",I78&lt;20,O78=""),"",O78+570)</f>
        <v/>
      </c>
      <c r="AK78" s="11" t="str">
        <f aca="false">IF(OR(I78="",I78&lt;21,O78=""),"",O78+600)</f>
        <v/>
      </c>
      <c r="AL78" s="11" t="str">
        <f aca="false">IF(OR(I78="",I78&lt;22,O78=""),"",O78+630)</f>
        <v/>
      </c>
      <c r="AM78" s="11" t="str">
        <f aca="false">IF(OR(I78="",I78&lt;23,O78=""),"",O78+660)</f>
        <v/>
      </c>
      <c r="AN78" s="11" t="str">
        <f aca="false">IF(OR(I78="",I78&lt;24,O78=""),"",O78+690)</f>
        <v/>
      </c>
      <c r="AO78" s="7" t="str">
        <f aca="false">IF(J78="","",COUNTIF(Q78:AN78,TRUE())*J78)</f>
        <v/>
      </c>
      <c r="AP78" s="7" t="str">
        <f aca="false">IF(K78="","",K78-AO78)</f>
        <v/>
      </c>
      <c r="AQ78" s="7" t="str">
        <f aca="false">IF(K78="","",K78-F78-IF(N78="",0,N78))</f>
        <v/>
      </c>
    </row>
    <row r="79" customFormat="false" ht="15" hidden="false" customHeight="false" outlineLevel="0" collapsed="false">
      <c r="A79" s="12"/>
      <c r="B79" s="12"/>
      <c r="C79" s="12"/>
      <c r="D79" s="13"/>
      <c r="E79" s="13"/>
      <c r="F79" s="14"/>
      <c r="G79" s="12"/>
      <c r="H79" s="12"/>
      <c r="I79" s="12"/>
      <c r="J79" s="14"/>
      <c r="K79" s="15" t="str">
        <f aca="false">IF(OR(I79="",J79=""),"",I79*J79)</f>
        <v/>
      </c>
      <c r="L79" s="12"/>
      <c r="M79" s="16"/>
      <c r="N79" s="15" t="str">
        <f aca="false">IF(OR(L79="",M79="",K79=""),"",IF(L79="GANANCIA",(K79-F79)*M79,IF(L79="BRUTO",K79*M79,"")))</f>
        <v/>
      </c>
      <c r="O79" s="17" t="str">
        <f aca="false">IF(D79="","",D79+30)</f>
        <v/>
      </c>
      <c r="P79" s="18" t="str">
        <f aca="false">IF(I79="","",IF(COUNTIF(Q79:AN79,TRUE())&gt;=I79,"PAGADO",IF(COUNTIF(Q79:AN79,TRUE())&gt;0,"PARCIAL","VIGENTE")))</f>
        <v/>
      </c>
      <c r="Q79" s="19" t="str">
        <f aca="false">IF(OR(I79="",I79&lt;1,O79=""),"",O79+0)</f>
        <v/>
      </c>
      <c r="R79" s="19" t="str">
        <f aca="false">IF(OR(I79="",I79&lt;2,O79=""),"",O79+30)</f>
        <v/>
      </c>
      <c r="S79" s="19" t="str">
        <f aca="false">IF(OR(I79="",I79&lt;3,O79=""),"",O79+60)</f>
        <v/>
      </c>
      <c r="T79" s="19" t="str">
        <f aca="false">IF(OR(I79="",I79&lt;4,O79=""),"",O79+90)</f>
        <v/>
      </c>
      <c r="U79" s="19" t="str">
        <f aca="false">IF(OR(I79="",I79&lt;5,O79=""),"",O79+120)</f>
        <v/>
      </c>
      <c r="V79" s="19" t="str">
        <f aca="false">IF(OR(I79="",I79&lt;6,O79=""),"",O79+150)</f>
        <v/>
      </c>
      <c r="W79" s="19" t="str">
        <f aca="false">IF(OR(I79="",I79&lt;7,O79=""),"",O79+180)</f>
        <v/>
      </c>
      <c r="X79" s="19" t="str">
        <f aca="false">IF(OR(I79="",I79&lt;8,O79=""),"",O79+210)</f>
        <v/>
      </c>
      <c r="Y79" s="19" t="str">
        <f aca="false">IF(OR(I79="",I79&lt;9,O79=""),"",O79+240)</f>
        <v/>
      </c>
      <c r="Z79" s="19" t="str">
        <f aca="false">IF(OR(I79="",I79&lt;10,O79=""),"",O79+270)</f>
        <v/>
      </c>
      <c r="AA79" s="19" t="str">
        <f aca="false">IF(OR(I79="",I79&lt;11,O79=""),"",O79+300)</f>
        <v/>
      </c>
      <c r="AB79" s="19" t="str">
        <f aca="false">IF(OR(I79="",I79&lt;12,O79=""),"",O79+330)</f>
        <v/>
      </c>
      <c r="AC79" s="19" t="str">
        <f aca="false">IF(OR(I79="",I79&lt;13,O79=""),"",O79+360)</f>
        <v/>
      </c>
      <c r="AD79" s="19" t="str">
        <f aca="false">IF(OR(I79="",I79&lt;14,O79=""),"",O79+390)</f>
        <v/>
      </c>
      <c r="AE79" s="19" t="str">
        <f aca="false">IF(OR(I79="",I79&lt;15,O79=""),"",O79+420)</f>
        <v/>
      </c>
      <c r="AF79" s="19" t="str">
        <f aca="false">IF(OR(I79="",I79&lt;16,O79=""),"",O79+450)</f>
        <v/>
      </c>
      <c r="AG79" s="19" t="str">
        <f aca="false">IF(OR(I79="",I79&lt;17,O79=""),"",O79+480)</f>
        <v/>
      </c>
      <c r="AH79" s="19" t="str">
        <f aca="false">IF(OR(I79="",I79&lt;18,O79=""),"",O79+510)</f>
        <v/>
      </c>
      <c r="AI79" s="19" t="str">
        <f aca="false">IF(OR(I79="",I79&lt;19,O79=""),"",O79+540)</f>
        <v/>
      </c>
      <c r="AJ79" s="19" t="str">
        <f aca="false">IF(OR(I79="",I79&lt;20,O79=""),"",O79+570)</f>
        <v/>
      </c>
      <c r="AK79" s="19" t="str">
        <f aca="false">IF(OR(I79="",I79&lt;21,O79=""),"",O79+600)</f>
        <v/>
      </c>
      <c r="AL79" s="19" t="str">
        <f aca="false">IF(OR(I79="",I79&lt;22,O79=""),"",O79+630)</f>
        <v/>
      </c>
      <c r="AM79" s="19" t="str">
        <f aca="false">IF(OR(I79="",I79&lt;23,O79=""),"",O79+660)</f>
        <v/>
      </c>
      <c r="AN79" s="19" t="str">
        <f aca="false">IF(OR(I79="",I79&lt;24,O79=""),"",O79+690)</f>
        <v/>
      </c>
      <c r="AO79" s="15" t="str">
        <f aca="false">IF(J79="","",COUNTIF(Q79:AN79,TRUE())*J79)</f>
        <v/>
      </c>
      <c r="AP79" s="15" t="str">
        <f aca="false">IF(K79="","",K79-AO79)</f>
        <v/>
      </c>
      <c r="AQ79" s="15" t="str">
        <f aca="false">IF(K79="","",K79-F79-IF(N79="",0,N79))</f>
        <v/>
      </c>
    </row>
    <row r="80" customFormat="false" ht="15" hidden="false" customHeight="false" outlineLevel="0" collapsed="false">
      <c r="A80" s="4"/>
      <c r="B80" s="4"/>
      <c r="C80" s="4"/>
      <c r="D80" s="5"/>
      <c r="E80" s="5"/>
      <c r="F80" s="6"/>
      <c r="G80" s="4"/>
      <c r="H80" s="4"/>
      <c r="I80" s="4"/>
      <c r="J80" s="6"/>
      <c r="K80" s="7" t="str">
        <f aca="false">IF(OR(I80="",J80=""),"",I80*J80)</f>
        <v/>
      </c>
      <c r="L80" s="4"/>
      <c r="M80" s="8"/>
      <c r="N80" s="7" t="str">
        <f aca="false">IF(OR(L80="",M80="",K80=""),"",IF(L80="GANANCIA",(K80-F80)*M80,IF(L80="BRUTO",K80*M80,"")))</f>
        <v/>
      </c>
      <c r="O80" s="9" t="str">
        <f aca="false">IF(D80="","",D80+30)</f>
        <v/>
      </c>
      <c r="P80" s="10" t="str">
        <f aca="false">IF(I80="","",IF(COUNTIF(Q80:AN80,TRUE())&gt;=I80,"PAGADO",IF(COUNTIF(Q80:AN80,TRUE())&gt;0,"PARCIAL","VIGENTE")))</f>
        <v/>
      </c>
      <c r="Q80" s="11" t="str">
        <f aca="false">IF(OR(I80="",I80&lt;1,O80=""),"",O80+0)</f>
        <v/>
      </c>
      <c r="R80" s="11" t="str">
        <f aca="false">IF(OR(I80="",I80&lt;2,O80=""),"",O80+30)</f>
        <v/>
      </c>
      <c r="S80" s="11" t="str">
        <f aca="false">IF(OR(I80="",I80&lt;3,O80=""),"",O80+60)</f>
        <v/>
      </c>
      <c r="T80" s="11" t="str">
        <f aca="false">IF(OR(I80="",I80&lt;4,O80=""),"",O80+90)</f>
        <v/>
      </c>
      <c r="U80" s="11" t="str">
        <f aca="false">IF(OR(I80="",I80&lt;5,O80=""),"",O80+120)</f>
        <v/>
      </c>
      <c r="V80" s="11" t="str">
        <f aca="false">IF(OR(I80="",I80&lt;6,O80=""),"",O80+150)</f>
        <v/>
      </c>
      <c r="W80" s="11" t="str">
        <f aca="false">IF(OR(I80="",I80&lt;7,O80=""),"",O80+180)</f>
        <v/>
      </c>
      <c r="X80" s="11" t="str">
        <f aca="false">IF(OR(I80="",I80&lt;8,O80=""),"",O80+210)</f>
        <v/>
      </c>
      <c r="Y80" s="11" t="str">
        <f aca="false">IF(OR(I80="",I80&lt;9,O80=""),"",O80+240)</f>
        <v/>
      </c>
      <c r="Z80" s="11" t="str">
        <f aca="false">IF(OR(I80="",I80&lt;10,O80=""),"",O80+270)</f>
        <v/>
      </c>
      <c r="AA80" s="11" t="str">
        <f aca="false">IF(OR(I80="",I80&lt;11,O80=""),"",O80+300)</f>
        <v/>
      </c>
      <c r="AB80" s="11" t="str">
        <f aca="false">IF(OR(I80="",I80&lt;12,O80=""),"",O80+330)</f>
        <v/>
      </c>
      <c r="AC80" s="11" t="str">
        <f aca="false">IF(OR(I80="",I80&lt;13,O80=""),"",O80+360)</f>
        <v/>
      </c>
      <c r="AD80" s="11" t="str">
        <f aca="false">IF(OR(I80="",I80&lt;14,O80=""),"",O80+390)</f>
        <v/>
      </c>
      <c r="AE80" s="11" t="str">
        <f aca="false">IF(OR(I80="",I80&lt;15,O80=""),"",O80+420)</f>
        <v/>
      </c>
      <c r="AF80" s="11" t="str">
        <f aca="false">IF(OR(I80="",I80&lt;16,O80=""),"",O80+450)</f>
        <v/>
      </c>
      <c r="AG80" s="11" t="str">
        <f aca="false">IF(OR(I80="",I80&lt;17,O80=""),"",O80+480)</f>
        <v/>
      </c>
      <c r="AH80" s="11" t="str">
        <f aca="false">IF(OR(I80="",I80&lt;18,O80=""),"",O80+510)</f>
        <v/>
      </c>
      <c r="AI80" s="11" t="str">
        <f aca="false">IF(OR(I80="",I80&lt;19,O80=""),"",O80+540)</f>
        <v/>
      </c>
      <c r="AJ80" s="11" t="str">
        <f aca="false">IF(OR(I80="",I80&lt;20,O80=""),"",O80+570)</f>
        <v/>
      </c>
      <c r="AK80" s="11" t="str">
        <f aca="false">IF(OR(I80="",I80&lt;21,O80=""),"",O80+600)</f>
        <v/>
      </c>
      <c r="AL80" s="11" t="str">
        <f aca="false">IF(OR(I80="",I80&lt;22,O80=""),"",O80+630)</f>
        <v/>
      </c>
      <c r="AM80" s="11" t="str">
        <f aca="false">IF(OR(I80="",I80&lt;23,O80=""),"",O80+660)</f>
        <v/>
      </c>
      <c r="AN80" s="11" t="str">
        <f aca="false">IF(OR(I80="",I80&lt;24,O80=""),"",O80+690)</f>
        <v/>
      </c>
      <c r="AO80" s="7" t="str">
        <f aca="false">IF(J80="","",COUNTIF(Q80:AN80,TRUE())*J80)</f>
        <v/>
      </c>
      <c r="AP80" s="7" t="str">
        <f aca="false">IF(K80="","",K80-AO80)</f>
        <v/>
      </c>
      <c r="AQ80" s="7" t="str">
        <f aca="false">IF(K80="","",K80-F80-IF(N80="",0,N80))</f>
        <v/>
      </c>
    </row>
    <row r="81" customFormat="false" ht="15" hidden="false" customHeight="false" outlineLevel="0" collapsed="false">
      <c r="A81" s="12"/>
      <c r="B81" s="12"/>
      <c r="C81" s="12"/>
      <c r="D81" s="13"/>
      <c r="E81" s="13"/>
      <c r="F81" s="14"/>
      <c r="G81" s="12"/>
      <c r="H81" s="12"/>
      <c r="I81" s="12"/>
      <c r="J81" s="14"/>
      <c r="K81" s="15" t="str">
        <f aca="false">IF(OR(I81="",J81=""),"",I81*J81)</f>
        <v/>
      </c>
      <c r="L81" s="12"/>
      <c r="M81" s="16"/>
      <c r="N81" s="15" t="str">
        <f aca="false">IF(OR(L81="",M81="",K81=""),"",IF(L81="GANANCIA",(K81-F81)*M81,IF(L81="BRUTO",K81*M81,"")))</f>
        <v/>
      </c>
      <c r="O81" s="17" t="str">
        <f aca="false">IF(D81="","",D81+30)</f>
        <v/>
      </c>
      <c r="P81" s="18" t="str">
        <f aca="false">IF(I81="","",IF(COUNTIF(Q81:AN81,TRUE())&gt;=I81,"PAGADO",IF(COUNTIF(Q81:AN81,TRUE())&gt;0,"PARCIAL","VIGENTE")))</f>
        <v/>
      </c>
      <c r="Q81" s="19" t="str">
        <f aca="false">IF(OR(I81="",I81&lt;1,O81=""),"",O81+0)</f>
        <v/>
      </c>
      <c r="R81" s="19" t="str">
        <f aca="false">IF(OR(I81="",I81&lt;2,O81=""),"",O81+30)</f>
        <v/>
      </c>
      <c r="S81" s="19" t="str">
        <f aca="false">IF(OR(I81="",I81&lt;3,O81=""),"",O81+60)</f>
        <v/>
      </c>
      <c r="T81" s="19" t="str">
        <f aca="false">IF(OR(I81="",I81&lt;4,O81=""),"",O81+90)</f>
        <v/>
      </c>
      <c r="U81" s="19" t="str">
        <f aca="false">IF(OR(I81="",I81&lt;5,O81=""),"",O81+120)</f>
        <v/>
      </c>
      <c r="V81" s="19" t="str">
        <f aca="false">IF(OR(I81="",I81&lt;6,O81=""),"",O81+150)</f>
        <v/>
      </c>
      <c r="W81" s="19" t="str">
        <f aca="false">IF(OR(I81="",I81&lt;7,O81=""),"",O81+180)</f>
        <v/>
      </c>
      <c r="X81" s="19" t="str">
        <f aca="false">IF(OR(I81="",I81&lt;8,O81=""),"",O81+210)</f>
        <v/>
      </c>
      <c r="Y81" s="19" t="str">
        <f aca="false">IF(OR(I81="",I81&lt;9,O81=""),"",O81+240)</f>
        <v/>
      </c>
      <c r="Z81" s="19" t="str">
        <f aca="false">IF(OR(I81="",I81&lt;10,O81=""),"",O81+270)</f>
        <v/>
      </c>
      <c r="AA81" s="19" t="str">
        <f aca="false">IF(OR(I81="",I81&lt;11,O81=""),"",O81+300)</f>
        <v/>
      </c>
      <c r="AB81" s="19" t="str">
        <f aca="false">IF(OR(I81="",I81&lt;12,O81=""),"",O81+330)</f>
        <v/>
      </c>
      <c r="AC81" s="19" t="str">
        <f aca="false">IF(OR(I81="",I81&lt;13,O81=""),"",O81+360)</f>
        <v/>
      </c>
      <c r="AD81" s="19" t="str">
        <f aca="false">IF(OR(I81="",I81&lt;14,O81=""),"",O81+390)</f>
        <v/>
      </c>
      <c r="AE81" s="19" t="str">
        <f aca="false">IF(OR(I81="",I81&lt;15,O81=""),"",O81+420)</f>
        <v/>
      </c>
      <c r="AF81" s="19" t="str">
        <f aca="false">IF(OR(I81="",I81&lt;16,O81=""),"",O81+450)</f>
        <v/>
      </c>
      <c r="AG81" s="19" t="str">
        <f aca="false">IF(OR(I81="",I81&lt;17,O81=""),"",O81+480)</f>
        <v/>
      </c>
      <c r="AH81" s="19" t="str">
        <f aca="false">IF(OR(I81="",I81&lt;18,O81=""),"",O81+510)</f>
        <v/>
      </c>
      <c r="AI81" s="19" t="str">
        <f aca="false">IF(OR(I81="",I81&lt;19,O81=""),"",O81+540)</f>
        <v/>
      </c>
      <c r="AJ81" s="19" t="str">
        <f aca="false">IF(OR(I81="",I81&lt;20,O81=""),"",O81+570)</f>
        <v/>
      </c>
      <c r="AK81" s="19" t="str">
        <f aca="false">IF(OR(I81="",I81&lt;21,O81=""),"",O81+600)</f>
        <v/>
      </c>
      <c r="AL81" s="19" t="str">
        <f aca="false">IF(OR(I81="",I81&lt;22,O81=""),"",O81+630)</f>
        <v/>
      </c>
      <c r="AM81" s="19" t="str">
        <f aca="false">IF(OR(I81="",I81&lt;23,O81=""),"",O81+660)</f>
        <v/>
      </c>
      <c r="AN81" s="19" t="str">
        <f aca="false">IF(OR(I81="",I81&lt;24,O81=""),"",O81+690)</f>
        <v/>
      </c>
      <c r="AO81" s="15" t="str">
        <f aca="false">IF(J81="","",COUNTIF(Q81:AN81,TRUE())*J81)</f>
        <v/>
      </c>
      <c r="AP81" s="15" t="str">
        <f aca="false">IF(K81="","",K81-AO81)</f>
        <v/>
      </c>
      <c r="AQ81" s="15" t="str">
        <f aca="false">IF(K81="","",K81-F81-IF(N81="",0,N81))</f>
        <v/>
      </c>
    </row>
    <row r="82" customFormat="false" ht="15" hidden="false" customHeight="false" outlineLevel="0" collapsed="false">
      <c r="A82" s="4"/>
      <c r="B82" s="4"/>
      <c r="C82" s="4"/>
      <c r="D82" s="5"/>
      <c r="E82" s="5"/>
      <c r="F82" s="6"/>
      <c r="G82" s="4"/>
      <c r="H82" s="4"/>
      <c r="I82" s="4"/>
      <c r="J82" s="6"/>
      <c r="K82" s="7" t="str">
        <f aca="false">IF(OR(I82="",J82=""),"",I82*J82)</f>
        <v/>
      </c>
      <c r="L82" s="4"/>
      <c r="M82" s="8"/>
      <c r="N82" s="7" t="str">
        <f aca="false">IF(OR(L82="",M82="",K82=""),"",IF(L82="GANANCIA",(K82-F82)*M82,IF(L82="BRUTO",K82*M82,"")))</f>
        <v/>
      </c>
      <c r="O82" s="9" t="str">
        <f aca="false">IF(D82="","",D82+30)</f>
        <v/>
      </c>
      <c r="P82" s="10" t="str">
        <f aca="false">IF(I82="","",IF(COUNTIF(Q82:AN82,TRUE())&gt;=I82,"PAGADO",IF(COUNTIF(Q82:AN82,TRUE())&gt;0,"PARCIAL","VIGENTE")))</f>
        <v/>
      </c>
      <c r="Q82" s="11" t="str">
        <f aca="false">IF(OR(I82="",I82&lt;1,O82=""),"",O82+0)</f>
        <v/>
      </c>
      <c r="R82" s="11" t="str">
        <f aca="false">IF(OR(I82="",I82&lt;2,O82=""),"",O82+30)</f>
        <v/>
      </c>
      <c r="S82" s="11" t="str">
        <f aca="false">IF(OR(I82="",I82&lt;3,O82=""),"",O82+60)</f>
        <v/>
      </c>
      <c r="T82" s="11" t="str">
        <f aca="false">IF(OR(I82="",I82&lt;4,O82=""),"",O82+90)</f>
        <v/>
      </c>
      <c r="U82" s="11" t="str">
        <f aca="false">IF(OR(I82="",I82&lt;5,O82=""),"",O82+120)</f>
        <v/>
      </c>
      <c r="V82" s="11" t="str">
        <f aca="false">IF(OR(I82="",I82&lt;6,O82=""),"",O82+150)</f>
        <v/>
      </c>
      <c r="W82" s="11" t="str">
        <f aca="false">IF(OR(I82="",I82&lt;7,O82=""),"",O82+180)</f>
        <v/>
      </c>
      <c r="X82" s="11" t="str">
        <f aca="false">IF(OR(I82="",I82&lt;8,O82=""),"",O82+210)</f>
        <v/>
      </c>
      <c r="Y82" s="11" t="str">
        <f aca="false">IF(OR(I82="",I82&lt;9,O82=""),"",O82+240)</f>
        <v/>
      </c>
      <c r="Z82" s="11" t="str">
        <f aca="false">IF(OR(I82="",I82&lt;10,O82=""),"",O82+270)</f>
        <v/>
      </c>
      <c r="AA82" s="11" t="str">
        <f aca="false">IF(OR(I82="",I82&lt;11,O82=""),"",O82+300)</f>
        <v/>
      </c>
      <c r="AB82" s="11" t="str">
        <f aca="false">IF(OR(I82="",I82&lt;12,O82=""),"",O82+330)</f>
        <v/>
      </c>
      <c r="AC82" s="11" t="str">
        <f aca="false">IF(OR(I82="",I82&lt;13,O82=""),"",O82+360)</f>
        <v/>
      </c>
      <c r="AD82" s="11" t="str">
        <f aca="false">IF(OR(I82="",I82&lt;14,O82=""),"",O82+390)</f>
        <v/>
      </c>
      <c r="AE82" s="11" t="str">
        <f aca="false">IF(OR(I82="",I82&lt;15,O82=""),"",O82+420)</f>
        <v/>
      </c>
      <c r="AF82" s="11" t="str">
        <f aca="false">IF(OR(I82="",I82&lt;16,O82=""),"",O82+450)</f>
        <v/>
      </c>
      <c r="AG82" s="11" t="str">
        <f aca="false">IF(OR(I82="",I82&lt;17,O82=""),"",O82+480)</f>
        <v/>
      </c>
      <c r="AH82" s="11" t="str">
        <f aca="false">IF(OR(I82="",I82&lt;18,O82=""),"",O82+510)</f>
        <v/>
      </c>
      <c r="AI82" s="11" t="str">
        <f aca="false">IF(OR(I82="",I82&lt;19,O82=""),"",O82+540)</f>
        <v/>
      </c>
      <c r="AJ82" s="11" t="str">
        <f aca="false">IF(OR(I82="",I82&lt;20,O82=""),"",O82+570)</f>
        <v/>
      </c>
      <c r="AK82" s="11" t="str">
        <f aca="false">IF(OR(I82="",I82&lt;21,O82=""),"",O82+600)</f>
        <v/>
      </c>
      <c r="AL82" s="11" t="str">
        <f aca="false">IF(OR(I82="",I82&lt;22,O82=""),"",O82+630)</f>
        <v/>
      </c>
      <c r="AM82" s="11" t="str">
        <f aca="false">IF(OR(I82="",I82&lt;23,O82=""),"",O82+660)</f>
        <v/>
      </c>
      <c r="AN82" s="11" t="str">
        <f aca="false">IF(OR(I82="",I82&lt;24,O82=""),"",O82+690)</f>
        <v/>
      </c>
      <c r="AO82" s="7" t="str">
        <f aca="false">IF(J82="","",COUNTIF(Q82:AN82,TRUE())*J82)</f>
        <v/>
      </c>
      <c r="AP82" s="7" t="str">
        <f aca="false">IF(K82="","",K82-AO82)</f>
        <v/>
      </c>
      <c r="AQ82" s="7" t="str">
        <f aca="false">IF(K82="","",K82-F82-IF(N82="",0,N82))</f>
        <v/>
      </c>
    </row>
    <row r="83" customFormat="false" ht="15" hidden="false" customHeight="false" outlineLevel="0" collapsed="false">
      <c r="A83" s="12"/>
      <c r="B83" s="12"/>
      <c r="C83" s="12"/>
      <c r="D83" s="13"/>
      <c r="E83" s="13"/>
      <c r="F83" s="14"/>
      <c r="G83" s="12"/>
      <c r="H83" s="12"/>
      <c r="I83" s="12"/>
      <c r="J83" s="14"/>
      <c r="K83" s="15" t="str">
        <f aca="false">IF(OR(I83="",J83=""),"",I83*J83)</f>
        <v/>
      </c>
      <c r="L83" s="12"/>
      <c r="M83" s="16"/>
      <c r="N83" s="15" t="str">
        <f aca="false">IF(OR(L83="",M83="",K83=""),"",IF(L83="GANANCIA",(K83-F83)*M83,IF(L83="BRUTO",K83*M83,"")))</f>
        <v/>
      </c>
      <c r="O83" s="17" t="str">
        <f aca="false">IF(D83="","",D83+30)</f>
        <v/>
      </c>
      <c r="P83" s="18" t="str">
        <f aca="false">IF(I83="","",IF(COUNTIF(Q83:AN83,TRUE())&gt;=I83,"PAGADO",IF(COUNTIF(Q83:AN83,TRUE())&gt;0,"PARCIAL","VIGENTE")))</f>
        <v/>
      </c>
      <c r="Q83" s="19" t="str">
        <f aca="false">IF(OR(I83="",I83&lt;1,O83=""),"",O83+0)</f>
        <v/>
      </c>
      <c r="R83" s="19" t="str">
        <f aca="false">IF(OR(I83="",I83&lt;2,O83=""),"",O83+30)</f>
        <v/>
      </c>
      <c r="S83" s="19" t="str">
        <f aca="false">IF(OR(I83="",I83&lt;3,O83=""),"",O83+60)</f>
        <v/>
      </c>
      <c r="T83" s="19" t="str">
        <f aca="false">IF(OR(I83="",I83&lt;4,O83=""),"",O83+90)</f>
        <v/>
      </c>
      <c r="U83" s="19" t="str">
        <f aca="false">IF(OR(I83="",I83&lt;5,O83=""),"",O83+120)</f>
        <v/>
      </c>
      <c r="V83" s="19" t="str">
        <f aca="false">IF(OR(I83="",I83&lt;6,O83=""),"",O83+150)</f>
        <v/>
      </c>
      <c r="W83" s="19" t="str">
        <f aca="false">IF(OR(I83="",I83&lt;7,O83=""),"",O83+180)</f>
        <v/>
      </c>
      <c r="X83" s="19" t="str">
        <f aca="false">IF(OR(I83="",I83&lt;8,O83=""),"",O83+210)</f>
        <v/>
      </c>
      <c r="Y83" s="19" t="str">
        <f aca="false">IF(OR(I83="",I83&lt;9,O83=""),"",O83+240)</f>
        <v/>
      </c>
      <c r="Z83" s="19" t="str">
        <f aca="false">IF(OR(I83="",I83&lt;10,O83=""),"",O83+270)</f>
        <v/>
      </c>
      <c r="AA83" s="19" t="str">
        <f aca="false">IF(OR(I83="",I83&lt;11,O83=""),"",O83+300)</f>
        <v/>
      </c>
      <c r="AB83" s="19" t="str">
        <f aca="false">IF(OR(I83="",I83&lt;12,O83=""),"",O83+330)</f>
        <v/>
      </c>
      <c r="AC83" s="19" t="str">
        <f aca="false">IF(OR(I83="",I83&lt;13,O83=""),"",O83+360)</f>
        <v/>
      </c>
      <c r="AD83" s="19" t="str">
        <f aca="false">IF(OR(I83="",I83&lt;14,O83=""),"",O83+390)</f>
        <v/>
      </c>
      <c r="AE83" s="19" t="str">
        <f aca="false">IF(OR(I83="",I83&lt;15,O83=""),"",O83+420)</f>
        <v/>
      </c>
      <c r="AF83" s="19" t="str">
        <f aca="false">IF(OR(I83="",I83&lt;16,O83=""),"",O83+450)</f>
        <v/>
      </c>
      <c r="AG83" s="19" t="str">
        <f aca="false">IF(OR(I83="",I83&lt;17,O83=""),"",O83+480)</f>
        <v/>
      </c>
      <c r="AH83" s="19" t="str">
        <f aca="false">IF(OR(I83="",I83&lt;18,O83=""),"",O83+510)</f>
        <v/>
      </c>
      <c r="AI83" s="19" t="str">
        <f aca="false">IF(OR(I83="",I83&lt;19,O83=""),"",O83+540)</f>
        <v/>
      </c>
      <c r="AJ83" s="19" t="str">
        <f aca="false">IF(OR(I83="",I83&lt;20,O83=""),"",O83+570)</f>
        <v/>
      </c>
      <c r="AK83" s="19" t="str">
        <f aca="false">IF(OR(I83="",I83&lt;21,O83=""),"",O83+600)</f>
        <v/>
      </c>
      <c r="AL83" s="19" t="str">
        <f aca="false">IF(OR(I83="",I83&lt;22,O83=""),"",O83+630)</f>
        <v/>
      </c>
      <c r="AM83" s="19" t="str">
        <f aca="false">IF(OR(I83="",I83&lt;23,O83=""),"",O83+660)</f>
        <v/>
      </c>
      <c r="AN83" s="19" t="str">
        <f aca="false">IF(OR(I83="",I83&lt;24,O83=""),"",O83+690)</f>
        <v/>
      </c>
      <c r="AO83" s="15" t="str">
        <f aca="false">IF(J83="","",COUNTIF(Q83:AN83,TRUE())*J83)</f>
        <v/>
      </c>
      <c r="AP83" s="15" t="str">
        <f aca="false">IF(K83="","",K83-AO83)</f>
        <v/>
      </c>
      <c r="AQ83" s="15" t="str">
        <f aca="false">IF(K83="","",K83-F83-IF(N83="",0,N83))</f>
        <v/>
      </c>
    </row>
    <row r="84" customFormat="false" ht="15" hidden="false" customHeight="false" outlineLevel="0" collapsed="false">
      <c r="A84" s="4"/>
      <c r="B84" s="4"/>
      <c r="C84" s="4"/>
      <c r="D84" s="5"/>
      <c r="E84" s="5"/>
      <c r="F84" s="6"/>
      <c r="G84" s="4"/>
      <c r="H84" s="4"/>
      <c r="I84" s="4"/>
      <c r="J84" s="6"/>
      <c r="K84" s="7" t="str">
        <f aca="false">IF(OR(I84="",J84=""),"",I84*J84)</f>
        <v/>
      </c>
      <c r="L84" s="4"/>
      <c r="M84" s="8"/>
      <c r="N84" s="7" t="str">
        <f aca="false">IF(OR(L84="",M84="",K84=""),"",IF(L84="GANANCIA",(K84-F84)*M84,IF(L84="BRUTO",K84*M84,"")))</f>
        <v/>
      </c>
      <c r="O84" s="9" t="str">
        <f aca="false">IF(D84="","",D84+30)</f>
        <v/>
      </c>
      <c r="P84" s="10" t="str">
        <f aca="false">IF(I84="","",IF(COUNTIF(Q84:AN84,TRUE())&gt;=I84,"PAGADO",IF(COUNTIF(Q84:AN84,TRUE())&gt;0,"PARCIAL","VIGENTE")))</f>
        <v/>
      </c>
      <c r="Q84" s="11" t="str">
        <f aca="false">IF(OR(I84="",I84&lt;1,O84=""),"",O84+0)</f>
        <v/>
      </c>
      <c r="R84" s="11" t="str">
        <f aca="false">IF(OR(I84="",I84&lt;2,O84=""),"",O84+30)</f>
        <v/>
      </c>
      <c r="S84" s="11" t="str">
        <f aca="false">IF(OR(I84="",I84&lt;3,O84=""),"",O84+60)</f>
        <v/>
      </c>
      <c r="T84" s="11" t="str">
        <f aca="false">IF(OR(I84="",I84&lt;4,O84=""),"",O84+90)</f>
        <v/>
      </c>
      <c r="U84" s="11" t="str">
        <f aca="false">IF(OR(I84="",I84&lt;5,O84=""),"",O84+120)</f>
        <v/>
      </c>
      <c r="V84" s="11" t="str">
        <f aca="false">IF(OR(I84="",I84&lt;6,O84=""),"",O84+150)</f>
        <v/>
      </c>
      <c r="W84" s="11" t="str">
        <f aca="false">IF(OR(I84="",I84&lt;7,O84=""),"",O84+180)</f>
        <v/>
      </c>
      <c r="X84" s="11" t="str">
        <f aca="false">IF(OR(I84="",I84&lt;8,O84=""),"",O84+210)</f>
        <v/>
      </c>
      <c r="Y84" s="11" t="str">
        <f aca="false">IF(OR(I84="",I84&lt;9,O84=""),"",O84+240)</f>
        <v/>
      </c>
      <c r="Z84" s="11" t="str">
        <f aca="false">IF(OR(I84="",I84&lt;10,O84=""),"",O84+270)</f>
        <v/>
      </c>
      <c r="AA84" s="11" t="str">
        <f aca="false">IF(OR(I84="",I84&lt;11,O84=""),"",O84+300)</f>
        <v/>
      </c>
      <c r="AB84" s="11" t="str">
        <f aca="false">IF(OR(I84="",I84&lt;12,O84=""),"",O84+330)</f>
        <v/>
      </c>
      <c r="AC84" s="11" t="str">
        <f aca="false">IF(OR(I84="",I84&lt;13,O84=""),"",O84+360)</f>
        <v/>
      </c>
      <c r="AD84" s="11" t="str">
        <f aca="false">IF(OR(I84="",I84&lt;14,O84=""),"",O84+390)</f>
        <v/>
      </c>
      <c r="AE84" s="11" t="str">
        <f aca="false">IF(OR(I84="",I84&lt;15,O84=""),"",O84+420)</f>
        <v/>
      </c>
      <c r="AF84" s="11" t="str">
        <f aca="false">IF(OR(I84="",I84&lt;16,O84=""),"",O84+450)</f>
        <v/>
      </c>
      <c r="AG84" s="11" t="str">
        <f aca="false">IF(OR(I84="",I84&lt;17,O84=""),"",O84+480)</f>
        <v/>
      </c>
      <c r="AH84" s="11" t="str">
        <f aca="false">IF(OR(I84="",I84&lt;18,O84=""),"",O84+510)</f>
        <v/>
      </c>
      <c r="AI84" s="11" t="str">
        <f aca="false">IF(OR(I84="",I84&lt;19,O84=""),"",O84+540)</f>
        <v/>
      </c>
      <c r="AJ84" s="11" t="str">
        <f aca="false">IF(OR(I84="",I84&lt;20,O84=""),"",O84+570)</f>
        <v/>
      </c>
      <c r="AK84" s="11" t="str">
        <f aca="false">IF(OR(I84="",I84&lt;21,O84=""),"",O84+600)</f>
        <v/>
      </c>
      <c r="AL84" s="11" t="str">
        <f aca="false">IF(OR(I84="",I84&lt;22,O84=""),"",O84+630)</f>
        <v/>
      </c>
      <c r="AM84" s="11" t="str">
        <f aca="false">IF(OR(I84="",I84&lt;23,O84=""),"",O84+660)</f>
        <v/>
      </c>
      <c r="AN84" s="11" t="str">
        <f aca="false">IF(OR(I84="",I84&lt;24,O84=""),"",O84+690)</f>
        <v/>
      </c>
      <c r="AO84" s="7" t="str">
        <f aca="false">IF(J84="","",COUNTIF(Q84:AN84,TRUE())*J84)</f>
        <v/>
      </c>
      <c r="AP84" s="7" t="str">
        <f aca="false">IF(K84="","",K84-AO84)</f>
        <v/>
      </c>
      <c r="AQ84" s="7" t="str">
        <f aca="false">IF(K84="","",K84-F84-IF(N84="",0,N84))</f>
        <v/>
      </c>
    </row>
    <row r="85" customFormat="false" ht="15" hidden="false" customHeight="false" outlineLevel="0" collapsed="false">
      <c r="A85" s="12"/>
      <c r="B85" s="12"/>
      <c r="C85" s="12"/>
      <c r="D85" s="13"/>
      <c r="E85" s="13"/>
      <c r="F85" s="14"/>
      <c r="G85" s="12"/>
      <c r="H85" s="12"/>
      <c r="I85" s="12"/>
      <c r="J85" s="14"/>
      <c r="K85" s="15" t="str">
        <f aca="false">IF(OR(I85="",J85=""),"",I85*J85)</f>
        <v/>
      </c>
      <c r="L85" s="12"/>
      <c r="M85" s="16"/>
      <c r="N85" s="15" t="str">
        <f aca="false">IF(OR(L85="",M85="",K85=""),"",IF(L85="GANANCIA",(K85-F85)*M85,IF(L85="BRUTO",K85*M85,"")))</f>
        <v/>
      </c>
      <c r="O85" s="17" t="str">
        <f aca="false">IF(D85="","",D85+30)</f>
        <v/>
      </c>
      <c r="P85" s="18" t="str">
        <f aca="false">IF(I85="","",IF(COUNTIF(Q85:AN85,TRUE())&gt;=I85,"PAGADO",IF(COUNTIF(Q85:AN85,TRUE())&gt;0,"PARCIAL","VIGENTE")))</f>
        <v/>
      </c>
      <c r="Q85" s="19" t="str">
        <f aca="false">IF(OR(I85="",I85&lt;1,O85=""),"",O85+0)</f>
        <v/>
      </c>
      <c r="R85" s="19" t="str">
        <f aca="false">IF(OR(I85="",I85&lt;2,O85=""),"",O85+30)</f>
        <v/>
      </c>
      <c r="S85" s="19" t="str">
        <f aca="false">IF(OR(I85="",I85&lt;3,O85=""),"",O85+60)</f>
        <v/>
      </c>
      <c r="T85" s="19" t="str">
        <f aca="false">IF(OR(I85="",I85&lt;4,O85=""),"",O85+90)</f>
        <v/>
      </c>
      <c r="U85" s="19" t="str">
        <f aca="false">IF(OR(I85="",I85&lt;5,O85=""),"",O85+120)</f>
        <v/>
      </c>
      <c r="V85" s="19" t="str">
        <f aca="false">IF(OR(I85="",I85&lt;6,O85=""),"",O85+150)</f>
        <v/>
      </c>
      <c r="W85" s="19" t="str">
        <f aca="false">IF(OR(I85="",I85&lt;7,O85=""),"",O85+180)</f>
        <v/>
      </c>
      <c r="X85" s="19" t="str">
        <f aca="false">IF(OR(I85="",I85&lt;8,O85=""),"",O85+210)</f>
        <v/>
      </c>
      <c r="Y85" s="19" t="str">
        <f aca="false">IF(OR(I85="",I85&lt;9,O85=""),"",O85+240)</f>
        <v/>
      </c>
      <c r="Z85" s="19" t="str">
        <f aca="false">IF(OR(I85="",I85&lt;10,O85=""),"",O85+270)</f>
        <v/>
      </c>
      <c r="AA85" s="19" t="str">
        <f aca="false">IF(OR(I85="",I85&lt;11,O85=""),"",O85+300)</f>
        <v/>
      </c>
      <c r="AB85" s="19" t="str">
        <f aca="false">IF(OR(I85="",I85&lt;12,O85=""),"",O85+330)</f>
        <v/>
      </c>
      <c r="AC85" s="19" t="str">
        <f aca="false">IF(OR(I85="",I85&lt;13,O85=""),"",O85+360)</f>
        <v/>
      </c>
      <c r="AD85" s="19" t="str">
        <f aca="false">IF(OR(I85="",I85&lt;14,O85=""),"",O85+390)</f>
        <v/>
      </c>
      <c r="AE85" s="19" t="str">
        <f aca="false">IF(OR(I85="",I85&lt;15,O85=""),"",O85+420)</f>
        <v/>
      </c>
      <c r="AF85" s="19" t="str">
        <f aca="false">IF(OR(I85="",I85&lt;16,O85=""),"",O85+450)</f>
        <v/>
      </c>
      <c r="AG85" s="19" t="str">
        <f aca="false">IF(OR(I85="",I85&lt;17,O85=""),"",O85+480)</f>
        <v/>
      </c>
      <c r="AH85" s="19" t="str">
        <f aca="false">IF(OR(I85="",I85&lt;18,O85=""),"",O85+510)</f>
        <v/>
      </c>
      <c r="AI85" s="19" t="str">
        <f aca="false">IF(OR(I85="",I85&lt;19,O85=""),"",O85+540)</f>
        <v/>
      </c>
      <c r="AJ85" s="19" t="str">
        <f aca="false">IF(OR(I85="",I85&lt;20,O85=""),"",O85+570)</f>
        <v/>
      </c>
      <c r="AK85" s="19" t="str">
        <f aca="false">IF(OR(I85="",I85&lt;21,O85=""),"",O85+600)</f>
        <v/>
      </c>
      <c r="AL85" s="19" t="str">
        <f aca="false">IF(OR(I85="",I85&lt;22,O85=""),"",O85+630)</f>
        <v/>
      </c>
      <c r="AM85" s="19" t="str">
        <f aca="false">IF(OR(I85="",I85&lt;23,O85=""),"",O85+660)</f>
        <v/>
      </c>
      <c r="AN85" s="19" t="str">
        <f aca="false">IF(OR(I85="",I85&lt;24,O85=""),"",O85+690)</f>
        <v/>
      </c>
      <c r="AO85" s="15" t="str">
        <f aca="false">IF(J85="","",COUNTIF(Q85:AN85,TRUE())*J85)</f>
        <v/>
      </c>
      <c r="AP85" s="15" t="str">
        <f aca="false">IF(K85="","",K85-AO85)</f>
        <v/>
      </c>
      <c r="AQ85" s="15" t="str">
        <f aca="false">IF(K85="","",K85-F85-IF(N85="",0,N85))</f>
        <v/>
      </c>
    </row>
    <row r="86" customFormat="false" ht="15" hidden="false" customHeight="false" outlineLevel="0" collapsed="false">
      <c r="A86" s="4"/>
      <c r="B86" s="4"/>
      <c r="C86" s="4"/>
      <c r="D86" s="5"/>
      <c r="E86" s="5"/>
      <c r="F86" s="6"/>
      <c r="G86" s="4"/>
      <c r="H86" s="4"/>
      <c r="I86" s="4"/>
      <c r="J86" s="6"/>
      <c r="K86" s="7" t="str">
        <f aca="false">IF(OR(I86="",J86=""),"",I86*J86)</f>
        <v/>
      </c>
      <c r="L86" s="4"/>
      <c r="M86" s="8"/>
      <c r="N86" s="7" t="str">
        <f aca="false">IF(OR(L86="",M86="",K86=""),"",IF(L86="GANANCIA",(K86-F86)*M86,IF(L86="BRUTO",K86*M86,"")))</f>
        <v/>
      </c>
      <c r="O86" s="9" t="str">
        <f aca="false">IF(D86="","",D86+30)</f>
        <v/>
      </c>
      <c r="P86" s="10" t="str">
        <f aca="false">IF(I86="","",IF(COUNTIF(Q86:AN86,TRUE())&gt;=I86,"PAGADO",IF(COUNTIF(Q86:AN86,TRUE())&gt;0,"PARCIAL","VIGENTE")))</f>
        <v/>
      </c>
      <c r="Q86" s="11" t="str">
        <f aca="false">IF(OR(I86="",I86&lt;1,O86=""),"",O86+0)</f>
        <v/>
      </c>
      <c r="R86" s="11" t="str">
        <f aca="false">IF(OR(I86="",I86&lt;2,O86=""),"",O86+30)</f>
        <v/>
      </c>
      <c r="S86" s="11" t="str">
        <f aca="false">IF(OR(I86="",I86&lt;3,O86=""),"",O86+60)</f>
        <v/>
      </c>
      <c r="T86" s="11" t="str">
        <f aca="false">IF(OR(I86="",I86&lt;4,O86=""),"",O86+90)</f>
        <v/>
      </c>
      <c r="U86" s="11" t="str">
        <f aca="false">IF(OR(I86="",I86&lt;5,O86=""),"",O86+120)</f>
        <v/>
      </c>
      <c r="V86" s="11" t="str">
        <f aca="false">IF(OR(I86="",I86&lt;6,O86=""),"",O86+150)</f>
        <v/>
      </c>
      <c r="W86" s="11" t="str">
        <f aca="false">IF(OR(I86="",I86&lt;7,O86=""),"",O86+180)</f>
        <v/>
      </c>
      <c r="X86" s="11" t="str">
        <f aca="false">IF(OR(I86="",I86&lt;8,O86=""),"",O86+210)</f>
        <v/>
      </c>
      <c r="Y86" s="11" t="str">
        <f aca="false">IF(OR(I86="",I86&lt;9,O86=""),"",O86+240)</f>
        <v/>
      </c>
      <c r="Z86" s="11" t="str">
        <f aca="false">IF(OR(I86="",I86&lt;10,O86=""),"",O86+270)</f>
        <v/>
      </c>
      <c r="AA86" s="11" t="str">
        <f aca="false">IF(OR(I86="",I86&lt;11,O86=""),"",O86+300)</f>
        <v/>
      </c>
      <c r="AB86" s="11" t="str">
        <f aca="false">IF(OR(I86="",I86&lt;12,O86=""),"",O86+330)</f>
        <v/>
      </c>
      <c r="AC86" s="11" t="str">
        <f aca="false">IF(OR(I86="",I86&lt;13,O86=""),"",O86+360)</f>
        <v/>
      </c>
      <c r="AD86" s="11" t="str">
        <f aca="false">IF(OR(I86="",I86&lt;14,O86=""),"",O86+390)</f>
        <v/>
      </c>
      <c r="AE86" s="11" t="str">
        <f aca="false">IF(OR(I86="",I86&lt;15,O86=""),"",O86+420)</f>
        <v/>
      </c>
      <c r="AF86" s="11" t="str">
        <f aca="false">IF(OR(I86="",I86&lt;16,O86=""),"",O86+450)</f>
        <v/>
      </c>
      <c r="AG86" s="11" t="str">
        <f aca="false">IF(OR(I86="",I86&lt;17,O86=""),"",O86+480)</f>
        <v/>
      </c>
      <c r="AH86" s="11" t="str">
        <f aca="false">IF(OR(I86="",I86&lt;18,O86=""),"",O86+510)</f>
        <v/>
      </c>
      <c r="AI86" s="11" t="str">
        <f aca="false">IF(OR(I86="",I86&lt;19,O86=""),"",O86+540)</f>
        <v/>
      </c>
      <c r="AJ86" s="11" t="str">
        <f aca="false">IF(OR(I86="",I86&lt;20,O86=""),"",O86+570)</f>
        <v/>
      </c>
      <c r="AK86" s="11" t="str">
        <f aca="false">IF(OR(I86="",I86&lt;21,O86=""),"",O86+600)</f>
        <v/>
      </c>
      <c r="AL86" s="11" t="str">
        <f aca="false">IF(OR(I86="",I86&lt;22,O86=""),"",O86+630)</f>
        <v/>
      </c>
      <c r="AM86" s="11" t="str">
        <f aca="false">IF(OR(I86="",I86&lt;23,O86=""),"",O86+660)</f>
        <v/>
      </c>
      <c r="AN86" s="11" t="str">
        <f aca="false">IF(OR(I86="",I86&lt;24,O86=""),"",O86+690)</f>
        <v/>
      </c>
      <c r="AO86" s="7" t="str">
        <f aca="false">IF(J86="","",COUNTIF(Q86:AN86,TRUE())*J86)</f>
        <v/>
      </c>
      <c r="AP86" s="7" t="str">
        <f aca="false">IF(K86="","",K86-AO86)</f>
        <v/>
      </c>
      <c r="AQ86" s="7" t="str">
        <f aca="false">IF(K86="","",K86-F86-IF(N86="",0,N86))</f>
        <v/>
      </c>
    </row>
    <row r="87" customFormat="false" ht="15" hidden="false" customHeight="false" outlineLevel="0" collapsed="false">
      <c r="A87" s="12"/>
      <c r="B87" s="12"/>
      <c r="C87" s="12"/>
      <c r="D87" s="13"/>
      <c r="E87" s="13"/>
      <c r="F87" s="14"/>
      <c r="G87" s="12"/>
      <c r="H87" s="12"/>
      <c r="I87" s="12"/>
      <c r="J87" s="14"/>
      <c r="K87" s="15" t="str">
        <f aca="false">IF(OR(I87="",J87=""),"",I87*J87)</f>
        <v/>
      </c>
      <c r="L87" s="12"/>
      <c r="M87" s="16"/>
      <c r="N87" s="15" t="str">
        <f aca="false">IF(OR(L87="",M87="",K87=""),"",IF(L87="GANANCIA",(K87-F87)*M87,IF(L87="BRUTO",K87*M87,"")))</f>
        <v/>
      </c>
      <c r="O87" s="17" t="str">
        <f aca="false">IF(D87="","",D87+30)</f>
        <v/>
      </c>
      <c r="P87" s="18" t="str">
        <f aca="false">IF(I87="","",IF(COUNTIF(Q87:AN87,TRUE())&gt;=I87,"PAGADO",IF(COUNTIF(Q87:AN87,TRUE())&gt;0,"PARCIAL","VIGENTE")))</f>
        <v/>
      </c>
      <c r="Q87" s="19" t="str">
        <f aca="false">IF(OR(I87="",I87&lt;1,O87=""),"",O87+0)</f>
        <v/>
      </c>
      <c r="R87" s="19" t="str">
        <f aca="false">IF(OR(I87="",I87&lt;2,O87=""),"",O87+30)</f>
        <v/>
      </c>
      <c r="S87" s="19" t="str">
        <f aca="false">IF(OR(I87="",I87&lt;3,O87=""),"",O87+60)</f>
        <v/>
      </c>
      <c r="T87" s="19" t="str">
        <f aca="false">IF(OR(I87="",I87&lt;4,O87=""),"",O87+90)</f>
        <v/>
      </c>
      <c r="U87" s="19" t="str">
        <f aca="false">IF(OR(I87="",I87&lt;5,O87=""),"",O87+120)</f>
        <v/>
      </c>
      <c r="V87" s="19" t="str">
        <f aca="false">IF(OR(I87="",I87&lt;6,O87=""),"",O87+150)</f>
        <v/>
      </c>
      <c r="W87" s="19" t="str">
        <f aca="false">IF(OR(I87="",I87&lt;7,O87=""),"",O87+180)</f>
        <v/>
      </c>
      <c r="X87" s="19" t="str">
        <f aca="false">IF(OR(I87="",I87&lt;8,O87=""),"",O87+210)</f>
        <v/>
      </c>
      <c r="Y87" s="19" t="str">
        <f aca="false">IF(OR(I87="",I87&lt;9,O87=""),"",O87+240)</f>
        <v/>
      </c>
      <c r="Z87" s="19" t="str">
        <f aca="false">IF(OR(I87="",I87&lt;10,O87=""),"",O87+270)</f>
        <v/>
      </c>
      <c r="AA87" s="19" t="str">
        <f aca="false">IF(OR(I87="",I87&lt;11,O87=""),"",O87+300)</f>
        <v/>
      </c>
      <c r="AB87" s="19" t="str">
        <f aca="false">IF(OR(I87="",I87&lt;12,O87=""),"",O87+330)</f>
        <v/>
      </c>
      <c r="AC87" s="19" t="str">
        <f aca="false">IF(OR(I87="",I87&lt;13,O87=""),"",O87+360)</f>
        <v/>
      </c>
      <c r="AD87" s="19" t="str">
        <f aca="false">IF(OR(I87="",I87&lt;14,O87=""),"",O87+390)</f>
        <v/>
      </c>
      <c r="AE87" s="19" t="str">
        <f aca="false">IF(OR(I87="",I87&lt;15,O87=""),"",O87+420)</f>
        <v/>
      </c>
      <c r="AF87" s="19" t="str">
        <f aca="false">IF(OR(I87="",I87&lt;16,O87=""),"",O87+450)</f>
        <v/>
      </c>
      <c r="AG87" s="19" t="str">
        <f aca="false">IF(OR(I87="",I87&lt;17,O87=""),"",O87+480)</f>
        <v/>
      </c>
      <c r="AH87" s="19" t="str">
        <f aca="false">IF(OR(I87="",I87&lt;18,O87=""),"",O87+510)</f>
        <v/>
      </c>
      <c r="AI87" s="19" t="str">
        <f aca="false">IF(OR(I87="",I87&lt;19,O87=""),"",O87+540)</f>
        <v/>
      </c>
      <c r="AJ87" s="19" t="str">
        <f aca="false">IF(OR(I87="",I87&lt;20,O87=""),"",O87+570)</f>
        <v/>
      </c>
      <c r="AK87" s="19" t="str">
        <f aca="false">IF(OR(I87="",I87&lt;21,O87=""),"",O87+600)</f>
        <v/>
      </c>
      <c r="AL87" s="19" t="str">
        <f aca="false">IF(OR(I87="",I87&lt;22,O87=""),"",O87+630)</f>
        <v/>
      </c>
      <c r="AM87" s="19" t="str">
        <f aca="false">IF(OR(I87="",I87&lt;23,O87=""),"",O87+660)</f>
        <v/>
      </c>
      <c r="AN87" s="19" t="str">
        <f aca="false">IF(OR(I87="",I87&lt;24,O87=""),"",O87+690)</f>
        <v/>
      </c>
      <c r="AO87" s="15" t="str">
        <f aca="false">IF(J87="","",COUNTIF(Q87:AN87,TRUE())*J87)</f>
        <v/>
      </c>
      <c r="AP87" s="15" t="str">
        <f aca="false">IF(K87="","",K87-AO87)</f>
        <v/>
      </c>
      <c r="AQ87" s="15" t="str">
        <f aca="false">IF(K87="","",K87-F87-IF(N87="",0,N87))</f>
        <v/>
      </c>
    </row>
    <row r="88" customFormat="false" ht="15" hidden="false" customHeight="false" outlineLevel="0" collapsed="false">
      <c r="A88" s="4"/>
      <c r="B88" s="4"/>
      <c r="C88" s="4"/>
      <c r="D88" s="5"/>
      <c r="E88" s="5"/>
      <c r="F88" s="6"/>
      <c r="G88" s="4"/>
      <c r="H88" s="4"/>
      <c r="I88" s="4"/>
      <c r="J88" s="6"/>
      <c r="K88" s="7" t="str">
        <f aca="false">IF(OR(I88="",J88=""),"",I88*J88)</f>
        <v/>
      </c>
      <c r="L88" s="4"/>
      <c r="M88" s="8"/>
      <c r="N88" s="7" t="str">
        <f aca="false">IF(OR(L88="",M88="",K88=""),"",IF(L88="GANANCIA",(K88-F88)*M88,IF(L88="BRUTO",K88*M88,"")))</f>
        <v/>
      </c>
      <c r="O88" s="9" t="str">
        <f aca="false">IF(D88="","",D88+30)</f>
        <v/>
      </c>
      <c r="P88" s="10" t="str">
        <f aca="false">IF(I88="","",IF(COUNTIF(Q88:AN88,TRUE())&gt;=I88,"PAGADO",IF(COUNTIF(Q88:AN88,TRUE())&gt;0,"PARCIAL","VIGENTE")))</f>
        <v/>
      </c>
      <c r="Q88" s="11" t="str">
        <f aca="false">IF(OR(I88="",I88&lt;1,O88=""),"",O88+0)</f>
        <v/>
      </c>
      <c r="R88" s="11" t="str">
        <f aca="false">IF(OR(I88="",I88&lt;2,O88=""),"",O88+30)</f>
        <v/>
      </c>
      <c r="S88" s="11" t="str">
        <f aca="false">IF(OR(I88="",I88&lt;3,O88=""),"",O88+60)</f>
        <v/>
      </c>
      <c r="T88" s="11" t="str">
        <f aca="false">IF(OR(I88="",I88&lt;4,O88=""),"",O88+90)</f>
        <v/>
      </c>
      <c r="U88" s="11" t="str">
        <f aca="false">IF(OR(I88="",I88&lt;5,O88=""),"",O88+120)</f>
        <v/>
      </c>
      <c r="V88" s="11" t="str">
        <f aca="false">IF(OR(I88="",I88&lt;6,O88=""),"",O88+150)</f>
        <v/>
      </c>
      <c r="W88" s="11" t="str">
        <f aca="false">IF(OR(I88="",I88&lt;7,O88=""),"",O88+180)</f>
        <v/>
      </c>
      <c r="X88" s="11" t="str">
        <f aca="false">IF(OR(I88="",I88&lt;8,O88=""),"",O88+210)</f>
        <v/>
      </c>
      <c r="Y88" s="11" t="str">
        <f aca="false">IF(OR(I88="",I88&lt;9,O88=""),"",O88+240)</f>
        <v/>
      </c>
      <c r="Z88" s="11" t="str">
        <f aca="false">IF(OR(I88="",I88&lt;10,O88=""),"",O88+270)</f>
        <v/>
      </c>
      <c r="AA88" s="11" t="str">
        <f aca="false">IF(OR(I88="",I88&lt;11,O88=""),"",O88+300)</f>
        <v/>
      </c>
      <c r="AB88" s="11" t="str">
        <f aca="false">IF(OR(I88="",I88&lt;12,O88=""),"",O88+330)</f>
        <v/>
      </c>
      <c r="AC88" s="11" t="str">
        <f aca="false">IF(OR(I88="",I88&lt;13,O88=""),"",O88+360)</f>
        <v/>
      </c>
      <c r="AD88" s="11" t="str">
        <f aca="false">IF(OR(I88="",I88&lt;14,O88=""),"",O88+390)</f>
        <v/>
      </c>
      <c r="AE88" s="11" t="str">
        <f aca="false">IF(OR(I88="",I88&lt;15,O88=""),"",O88+420)</f>
        <v/>
      </c>
      <c r="AF88" s="11" t="str">
        <f aca="false">IF(OR(I88="",I88&lt;16,O88=""),"",O88+450)</f>
        <v/>
      </c>
      <c r="AG88" s="11" t="str">
        <f aca="false">IF(OR(I88="",I88&lt;17,O88=""),"",O88+480)</f>
        <v/>
      </c>
      <c r="AH88" s="11" t="str">
        <f aca="false">IF(OR(I88="",I88&lt;18,O88=""),"",O88+510)</f>
        <v/>
      </c>
      <c r="AI88" s="11" t="str">
        <f aca="false">IF(OR(I88="",I88&lt;19,O88=""),"",O88+540)</f>
        <v/>
      </c>
      <c r="AJ88" s="11" t="str">
        <f aca="false">IF(OR(I88="",I88&lt;20,O88=""),"",O88+570)</f>
        <v/>
      </c>
      <c r="AK88" s="11" t="str">
        <f aca="false">IF(OR(I88="",I88&lt;21,O88=""),"",O88+600)</f>
        <v/>
      </c>
      <c r="AL88" s="11" t="str">
        <f aca="false">IF(OR(I88="",I88&lt;22,O88=""),"",O88+630)</f>
        <v/>
      </c>
      <c r="AM88" s="11" t="str">
        <f aca="false">IF(OR(I88="",I88&lt;23,O88=""),"",O88+660)</f>
        <v/>
      </c>
      <c r="AN88" s="11" t="str">
        <f aca="false">IF(OR(I88="",I88&lt;24,O88=""),"",O88+690)</f>
        <v/>
      </c>
      <c r="AO88" s="7" t="str">
        <f aca="false">IF(J88="","",COUNTIF(Q88:AN88,TRUE())*J88)</f>
        <v/>
      </c>
      <c r="AP88" s="7" t="str">
        <f aca="false">IF(K88="","",K88-AO88)</f>
        <v/>
      </c>
      <c r="AQ88" s="7" t="str">
        <f aca="false">IF(K88="","",K88-F88-IF(N88="",0,N88))</f>
        <v/>
      </c>
    </row>
    <row r="89" customFormat="false" ht="15" hidden="false" customHeight="false" outlineLevel="0" collapsed="false">
      <c r="A89" s="12"/>
      <c r="B89" s="12"/>
      <c r="C89" s="12"/>
      <c r="D89" s="13"/>
      <c r="E89" s="13"/>
      <c r="F89" s="14"/>
      <c r="G89" s="12"/>
      <c r="H89" s="12"/>
      <c r="I89" s="12"/>
      <c r="J89" s="14"/>
      <c r="K89" s="15" t="str">
        <f aca="false">IF(OR(I89="",J89=""),"",I89*J89)</f>
        <v/>
      </c>
      <c r="L89" s="12"/>
      <c r="M89" s="16"/>
      <c r="N89" s="15" t="str">
        <f aca="false">IF(OR(L89="",M89="",K89=""),"",IF(L89="GANANCIA",(K89-F89)*M89,IF(L89="BRUTO",K89*M89,"")))</f>
        <v/>
      </c>
      <c r="O89" s="17" t="str">
        <f aca="false">IF(D89="","",D89+30)</f>
        <v/>
      </c>
      <c r="P89" s="18" t="str">
        <f aca="false">IF(I89="","",IF(COUNTIF(Q89:AN89,TRUE())&gt;=I89,"PAGADO",IF(COUNTIF(Q89:AN89,TRUE())&gt;0,"PARCIAL","VIGENTE")))</f>
        <v/>
      </c>
      <c r="Q89" s="19" t="str">
        <f aca="false">IF(OR(I89="",I89&lt;1,O89=""),"",O89+0)</f>
        <v/>
      </c>
      <c r="R89" s="19" t="str">
        <f aca="false">IF(OR(I89="",I89&lt;2,O89=""),"",O89+30)</f>
        <v/>
      </c>
      <c r="S89" s="19" t="str">
        <f aca="false">IF(OR(I89="",I89&lt;3,O89=""),"",O89+60)</f>
        <v/>
      </c>
      <c r="T89" s="19" t="str">
        <f aca="false">IF(OR(I89="",I89&lt;4,O89=""),"",O89+90)</f>
        <v/>
      </c>
      <c r="U89" s="19" t="str">
        <f aca="false">IF(OR(I89="",I89&lt;5,O89=""),"",O89+120)</f>
        <v/>
      </c>
      <c r="V89" s="19" t="str">
        <f aca="false">IF(OR(I89="",I89&lt;6,O89=""),"",O89+150)</f>
        <v/>
      </c>
      <c r="W89" s="19" t="str">
        <f aca="false">IF(OR(I89="",I89&lt;7,O89=""),"",O89+180)</f>
        <v/>
      </c>
      <c r="X89" s="19" t="str">
        <f aca="false">IF(OR(I89="",I89&lt;8,O89=""),"",O89+210)</f>
        <v/>
      </c>
      <c r="Y89" s="19" t="str">
        <f aca="false">IF(OR(I89="",I89&lt;9,O89=""),"",O89+240)</f>
        <v/>
      </c>
      <c r="Z89" s="19" t="str">
        <f aca="false">IF(OR(I89="",I89&lt;10,O89=""),"",O89+270)</f>
        <v/>
      </c>
      <c r="AA89" s="19" t="str">
        <f aca="false">IF(OR(I89="",I89&lt;11,O89=""),"",O89+300)</f>
        <v/>
      </c>
      <c r="AB89" s="19" t="str">
        <f aca="false">IF(OR(I89="",I89&lt;12,O89=""),"",O89+330)</f>
        <v/>
      </c>
      <c r="AC89" s="19" t="str">
        <f aca="false">IF(OR(I89="",I89&lt;13,O89=""),"",O89+360)</f>
        <v/>
      </c>
      <c r="AD89" s="19" t="str">
        <f aca="false">IF(OR(I89="",I89&lt;14,O89=""),"",O89+390)</f>
        <v/>
      </c>
      <c r="AE89" s="19" t="str">
        <f aca="false">IF(OR(I89="",I89&lt;15,O89=""),"",O89+420)</f>
        <v/>
      </c>
      <c r="AF89" s="19" t="str">
        <f aca="false">IF(OR(I89="",I89&lt;16,O89=""),"",O89+450)</f>
        <v/>
      </c>
      <c r="AG89" s="19" t="str">
        <f aca="false">IF(OR(I89="",I89&lt;17,O89=""),"",O89+480)</f>
        <v/>
      </c>
      <c r="AH89" s="19" t="str">
        <f aca="false">IF(OR(I89="",I89&lt;18,O89=""),"",O89+510)</f>
        <v/>
      </c>
      <c r="AI89" s="19" t="str">
        <f aca="false">IF(OR(I89="",I89&lt;19,O89=""),"",O89+540)</f>
        <v/>
      </c>
      <c r="AJ89" s="19" t="str">
        <f aca="false">IF(OR(I89="",I89&lt;20,O89=""),"",O89+570)</f>
        <v/>
      </c>
      <c r="AK89" s="19" t="str">
        <f aca="false">IF(OR(I89="",I89&lt;21,O89=""),"",O89+600)</f>
        <v/>
      </c>
      <c r="AL89" s="19" t="str">
        <f aca="false">IF(OR(I89="",I89&lt;22,O89=""),"",O89+630)</f>
        <v/>
      </c>
      <c r="AM89" s="19" t="str">
        <f aca="false">IF(OR(I89="",I89&lt;23,O89=""),"",O89+660)</f>
        <v/>
      </c>
      <c r="AN89" s="19" t="str">
        <f aca="false">IF(OR(I89="",I89&lt;24,O89=""),"",O89+690)</f>
        <v/>
      </c>
      <c r="AO89" s="15" t="str">
        <f aca="false">IF(J89="","",COUNTIF(Q89:AN89,TRUE())*J89)</f>
        <v/>
      </c>
      <c r="AP89" s="15" t="str">
        <f aca="false">IF(K89="","",K89-AO89)</f>
        <v/>
      </c>
      <c r="AQ89" s="15" t="str">
        <f aca="false">IF(K89="","",K89-F89-IF(N89="",0,N89))</f>
        <v/>
      </c>
    </row>
    <row r="90" customFormat="false" ht="15" hidden="false" customHeight="false" outlineLevel="0" collapsed="false">
      <c r="A90" s="4"/>
      <c r="B90" s="4"/>
      <c r="C90" s="4"/>
      <c r="D90" s="5"/>
      <c r="E90" s="5"/>
      <c r="F90" s="6"/>
      <c r="G90" s="4"/>
      <c r="H90" s="4"/>
      <c r="I90" s="4"/>
      <c r="J90" s="6"/>
      <c r="K90" s="7" t="str">
        <f aca="false">IF(OR(I90="",J90=""),"",I90*J90)</f>
        <v/>
      </c>
      <c r="L90" s="4"/>
      <c r="M90" s="8"/>
      <c r="N90" s="7" t="str">
        <f aca="false">IF(OR(L90="",M90="",K90=""),"",IF(L90="GANANCIA",(K90-F90)*M90,IF(L90="BRUTO",K90*M90,"")))</f>
        <v/>
      </c>
      <c r="O90" s="9" t="str">
        <f aca="false">IF(D90="","",D90+30)</f>
        <v/>
      </c>
      <c r="P90" s="10" t="str">
        <f aca="false">IF(I90="","",IF(COUNTIF(Q90:AN90,TRUE())&gt;=I90,"PAGADO",IF(COUNTIF(Q90:AN90,TRUE())&gt;0,"PARCIAL","VIGENTE")))</f>
        <v/>
      </c>
      <c r="Q90" s="11" t="str">
        <f aca="false">IF(OR(I90="",I90&lt;1,O90=""),"",O90+0)</f>
        <v/>
      </c>
      <c r="R90" s="11" t="str">
        <f aca="false">IF(OR(I90="",I90&lt;2,O90=""),"",O90+30)</f>
        <v/>
      </c>
      <c r="S90" s="11" t="str">
        <f aca="false">IF(OR(I90="",I90&lt;3,O90=""),"",O90+60)</f>
        <v/>
      </c>
      <c r="T90" s="11" t="str">
        <f aca="false">IF(OR(I90="",I90&lt;4,O90=""),"",O90+90)</f>
        <v/>
      </c>
      <c r="U90" s="11" t="str">
        <f aca="false">IF(OR(I90="",I90&lt;5,O90=""),"",O90+120)</f>
        <v/>
      </c>
      <c r="V90" s="11" t="str">
        <f aca="false">IF(OR(I90="",I90&lt;6,O90=""),"",O90+150)</f>
        <v/>
      </c>
      <c r="W90" s="11" t="str">
        <f aca="false">IF(OR(I90="",I90&lt;7,O90=""),"",O90+180)</f>
        <v/>
      </c>
      <c r="X90" s="11" t="str">
        <f aca="false">IF(OR(I90="",I90&lt;8,O90=""),"",O90+210)</f>
        <v/>
      </c>
      <c r="Y90" s="11" t="str">
        <f aca="false">IF(OR(I90="",I90&lt;9,O90=""),"",O90+240)</f>
        <v/>
      </c>
      <c r="Z90" s="11" t="str">
        <f aca="false">IF(OR(I90="",I90&lt;10,O90=""),"",O90+270)</f>
        <v/>
      </c>
      <c r="AA90" s="11" t="str">
        <f aca="false">IF(OR(I90="",I90&lt;11,O90=""),"",O90+300)</f>
        <v/>
      </c>
      <c r="AB90" s="11" t="str">
        <f aca="false">IF(OR(I90="",I90&lt;12,O90=""),"",O90+330)</f>
        <v/>
      </c>
      <c r="AC90" s="11" t="str">
        <f aca="false">IF(OR(I90="",I90&lt;13,O90=""),"",O90+360)</f>
        <v/>
      </c>
      <c r="AD90" s="11" t="str">
        <f aca="false">IF(OR(I90="",I90&lt;14,O90=""),"",O90+390)</f>
        <v/>
      </c>
      <c r="AE90" s="11" t="str">
        <f aca="false">IF(OR(I90="",I90&lt;15,O90=""),"",O90+420)</f>
        <v/>
      </c>
      <c r="AF90" s="11" t="str">
        <f aca="false">IF(OR(I90="",I90&lt;16,O90=""),"",O90+450)</f>
        <v/>
      </c>
      <c r="AG90" s="11" t="str">
        <f aca="false">IF(OR(I90="",I90&lt;17,O90=""),"",O90+480)</f>
        <v/>
      </c>
      <c r="AH90" s="11" t="str">
        <f aca="false">IF(OR(I90="",I90&lt;18,O90=""),"",O90+510)</f>
        <v/>
      </c>
      <c r="AI90" s="11" t="str">
        <f aca="false">IF(OR(I90="",I90&lt;19,O90=""),"",O90+540)</f>
        <v/>
      </c>
      <c r="AJ90" s="11" t="str">
        <f aca="false">IF(OR(I90="",I90&lt;20,O90=""),"",O90+570)</f>
        <v/>
      </c>
      <c r="AK90" s="11" t="str">
        <f aca="false">IF(OR(I90="",I90&lt;21,O90=""),"",O90+600)</f>
        <v/>
      </c>
      <c r="AL90" s="11" t="str">
        <f aca="false">IF(OR(I90="",I90&lt;22,O90=""),"",O90+630)</f>
        <v/>
      </c>
      <c r="AM90" s="11" t="str">
        <f aca="false">IF(OR(I90="",I90&lt;23,O90=""),"",O90+660)</f>
        <v/>
      </c>
      <c r="AN90" s="11" t="str">
        <f aca="false">IF(OR(I90="",I90&lt;24,O90=""),"",O90+690)</f>
        <v/>
      </c>
      <c r="AO90" s="7" t="str">
        <f aca="false">IF(J90="","",COUNTIF(Q90:AN90,TRUE())*J90)</f>
        <v/>
      </c>
      <c r="AP90" s="7" t="str">
        <f aca="false">IF(K90="","",K90-AO90)</f>
        <v/>
      </c>
      <c r="AQ90" s="7" t="str">
        <f aca="false">IF(K90="","",K90-F90-IF(N90="",0,N90))</f>
        <v/>
      </c>
    </row>
    <row r="91" customFormat="false" ht="15" hidden="false" customHeight="false" outlineLevel="0" collapsed="false">
      <c r="A91" s="12"/>
      <c r="B91" s="12"/>
      <c r="C91" s="12"/>
      <c r="D91" s="13"/>
      <c r="E91" s="13"/>
      <c r="F91" s="14"/>
      <c r="G91" s="12"/>
      <c r="H91" s="12"/>
      <c r="I91" s="12"/>
      <c r="J91" s="14"/>
      <c r="K91" s="15" t="str">
        <f aca="false">IF(OR(I91="",J91=""),"",I91*J91)</f>
        <v/>
      </c>
      <c r="L91" s="12"/>
      <c r="M91" s="16"/>
      <c r="N91" s="15" t="str">
        <f aca="false">IF(OR(L91="",M91="",K91=""),"",IF(L91="GANANCIA",(K91-F91)*M91,IF(L91="BRUTO",K91*M91,"")))</f>
        <v/>
      </c>
      <c r="O91" s="17" t="str">
        <f aca="false">IF(D91="","",D91+30)</f>
        <v/>
      </c>
      <c r="P91" s="18" t="str">
        <f aca="false">IF(I91="","",IF(COUNTIF(Q91:AN91,TRUE())&gt;=I91,"PAGADO",IF(COUNTIF(Q91:AN91,TRUE())&gt;0,"PARCIAL","VIGENTE")))</f>
        <v/>
      </c>
      <c r="Q91" s="19" t="str">
        <f aca="false">IF(OR(I91="",I91&lt;1,O91=""),"",O91+0)</f>
        <v/>
      </c>
      <c r="R91" s="19" t="str">
        <f aca="false">IF(OR(I91="",I91&lt;2,O91=""),"",O91+30)</f>
        <v/>
      </c>
      <c r="S91" s="19" t="str">
        <f aca="false">IF(OR(I91="",I91&lt;3,O91=""),"",O91+60)</f>
        <v/>
      </c>
      <c r="T91" s="19" t="str">
        <f aca="false">IF(OR(I91="",I91&lt;4,O91=""),"",O91+90)</f>
        <v/>
      </c>
      <c r="U91" s="19" t="str">
        <f aca="false">IF(OR(I91="",I91&lt;5,O91=""),"",O91+120)</f>
        <v/>
      </c>
      <c r="V91" s="19" t="str">
        <f aca="false">IF(OR(I91="",I91&lt;6,O91=""),"",O91+150)</f>
        <v/>
      </c>
      <c r="W91" s="19" t="str">
        <f aca="false">IF(OR(I91="",I91&lt;7,O91=""),"",O91+180)</f>
        <v/>
      </c>
      <c r="X91" s="19" t="str">
        <f aca="false">IF(OR(I91="",I91&lt;8,O91=""),"",O91+210)</f>
        <v/>
      </c>
      <c r="Y91" s="19" t="str">
        <f aca="false">IF(OR(I91="",I91&lt;9,O91=""),"",O91+240)</f>
        <v/>
      </c>
      <c r="Z91" s="19" t="str">
        <f aca="false">IF(OR(I91="",I91&lt;10,O91=""),"",O91+270)</f>
        <v/>
      </c>
      <c r="AA91" s="19" t="str">
        <f aca="false">IF(OR(I91="",I91&lt;11,O91=""),"",O91+300)</f>
        <v/>
      </c>
      <c r="AB91" s="19" t="str">
        <f aca="false">IF(OR(I91="",I91&lt;12,O91=""),"",O91+330)</f>
        <v/>
      </c>
      <c r="AC91" s="19" t="str">
        <f aca="false">IF(OR(I91="",I91&lt;13,O91=""),"",O91+360)</f>
        <v/>
      </c>
      <c r="AD91" s="19" t="str">
        <f aca="false">IF(OR(I91="",I91&lt;14,O91=""),"",O91+390)</f>
        <v/>
      </c>
      <c r="AE91" s="19" t="str">
        <f aca="false">IF(OR(I91="",I91&lt;15,O91=""),"",O91+420)</f>
        <v/>
      </c>
      <c r="AF91" s="19" t="str">
        <f aca="false">IF(OR(I91="",I91&lt;16,O91=""),"",O91+450)</f>
        <v/>
      </c>
      <c r="AG91" s="19" t="str">
        <f aca="false">IF(OR(I91="",I91&lt;17,O91=""),"",O91+480)</f>
        <v/>
      </c>
      <c r="AH91" s="19" t="str">
        <f aca="false">IF(OR(I91="",I91&lt;18,O91=""),"",O91+510)</f>
        <v/>
      </c>
      <c r="AI91" s="19" t="str">
        <f aca="false">IF(OR(I91="",I91&lt;19,O91=""),"",O91+540)</f>
        <v/>
      </c>
      <c r="AJ91" s="19" t="str">
        <f aca="false">IF(OR(I91="",I91&lt;20,O91=""),"",O91+570)</f>
        <v/>
      </c>
      <c r="AK91" s="19" t="str">
        <f aca="false">IF(OR(I91="",I91&lt;21,O91=""),"",O91+600)</f>
        <v/>
      </c>
      <c r="AL91" s="19" t="str">
        <f aca="false">IF(OR(I91="",I91&lt;22,O91=""),"",O91+630)</f>
        <v/>
      </c>
      <c r="AM91" s="19" t="str">
        <f aca="false">IF(OR(I91="",I91&lt;23,O91=""),"",O91+660)</f>
        <v/>
      </c>
      <c r="AN91" s="19" t="str">
        <f aca="false">IF(OR(I91="",I91&lt;24,O91=""),"",O91+690)</f>
        <v/>
      </c>
      <c r="AO91" s="15" t="str">
        <f aca="false">IF(J91="","",COUNTIF(Q91:AN91,TRUE())*J91)</f>
        <v/>
      </c>
      <c r="AP91" s="15" t="str">
        <f aca="false">IF(K91="","",K91-AO91)</f>
        <v/>
      </c>
      <c r="AQ91" s="15" t="str">
        <f aca="false">IF(K91="","",K91-F91-IF(N91="",0,N91))</f>
        <v/>
      </c>
    </row>
    <row r="92" customFormat="false" ht="15" hidden="false" customHeight="false" outlineLevel="0" collapsed="false">
      <c r="A92" s="4"/>
      <c r="B92" s="4"/>
      <c r="C92" s="4"/>
      <c r="D92" s="5"/>
      <c r="E92" s="5"/>
      <c r="F92" s="6"/>
      <c r="G92" s="4"/>
      <c r="H92" s="4"/>
      <c r="I92" s="4"/>
      <c r="J92" s="6"/>
      <c r="K92" s="7" t="str">
        <f aca="false">IF(OR(I92="",J92=""),"",I92*J92)</f>
        <v/>
      </c>
      <c r="L92" s="4"/>
      <c r="M92" s="8"/>
      <c r="N92" s="7" t="str">
        <f aca="false">IF(OR(L92="",M92="",K92=""),"",IF(L92="GANANCIA",(K92-F92)*M92,IF(L92="BRUTO",K92*M92,"")))</f>
        <v/>
      </c>
      <c r="O92" s="9" t="str">
        <f aca="false">IF(D92="","",D92+30)</f>
        <v/>
      </c>
      <c r="P92" s="10" t="str">
        <f aca="false">IF(I92="","",IF(COUNTIF(Q92:AN92,TRUE())&gt;=I92,"PAGADO",IF(COUNTIF(Q92:AN92,TRUE())&gt;0,"PARCIAL","VIGENTE")))</f>
        <v/>
      </c>
      <c r="Q92" s="11" t="str">
        <f aca="false">IF(OR(I92="",I92&lt;1,O92=""),"",O92+0)</f>
        <v/>
      </c>
      <c r="R92" s="11" t="str">
        <f aca="false">IF(OR(I92="",I92&lt;2,O92=""),"",O92+30)</f>
        <v/>
      </c>
      <c r="S92" s="11" t="str">
        <f aca="false">IF(OR(I92="",I92&lt;3,O92=""),"",O92+60)</f>
        <v/>
      </c>
      <c r="T92" s="11" t="str">
        <f aca="false">IF(OR(I92="",I92&lt;4,O92=""),"",O92+90)</f>
        <v/>
      </c>
      <c r="U92" s="11" t="str">
        <f aca="false">IF(OR(I92="",I92&lt;5,O92=""),"",O92+120)</f>
        <v/>
      </c>
      <c r="V92" s="11" t="str">
        <f aca="false">IF(OR(I92="",I92&lt;6,O92=""),"",O92+150)</f>
        <v/>
      </c>
      <c r="W92" s="11" t="str">
        <f aca="false">IF(OR(I92="",I92&lt;7,O92=""),"",O92+180)</f>
        <v/>
      </c>
      <c r="X92" s="11" t="str">
        <f aca="false">IF(OR(I92="",I92&lt;8,O92=""),"",O92+210)</f>
        <v/>
      </c>
      <c r="Y92" s="11" t="str">
        <f aca="false">IF(OR(I92="",I92&lt;9,O92=""),"",O92+240)</f>
        <v/>
      </c>
      <c r="Z92" s="11" t="str">
        <f aca="false">IF(OR(I92="",I92&lt;10,O92=""),"",O92+270)</f>
        <v/>
      </c>
      <c r="AA92" s="11" t="str">
        <f aca="false">IF(OR(I92="",I92&lt;11,O92=""),"",O92+300)</f>
        <v/>
      </c>
      <c r="AB92" s="11" t="str">
        <f aca="false">IF(OR(I92="",I92&lt;12,O92=""),"",O92+330)</f>
        <v/>
      </c>
      <c r="AC92" s="11" t="str">
        <f aca="false">IF(OR(I92="",I92&lt;13,O92=""),"",O92+360)</f>
        <v/>
      </c>
      <c r="AD92" s="11" t="str">
        <f aca="false">IF(OR(I92="",I92&lt;14,O92=""),"",O92+390)</f>
        <v/>
      </c>
      <c r="AE92" s="11" t="str">
        <f aca="false">IF(OR(I92="",I92&lt;15,O92=""),"",O92+420)</f>
        <v/>
      </c>
      <c r="AF92" s="11" t="str">
        <f aca="false">IF(OR(I92="",I92&lt;16,O92=""),"",O92+450)</f>
        <v/>
      </c>
      <c r="AG92" s="11" t="str">
        <f aca="false">IF(OR(I92="",I92&lt;17,O92=""),"",O92+480)</f>
        <v/>
      </c>
      <c r="AH92" s="11" t="str">
        <f aca="false">IF(OR(I92="",I92&lt;18,O92=""),"",O92+510)</f>
        <v/>
      </c>
      <c r="AI92" s="11" t="str">
        <f aca="false">IF(OR(I92="",I92&lt;19,O92=""),"",O92+540)</f>
        <v/>
      </c>
      <c r="AJ92" s="11" t="str">
        <f aca="false">IF(OR(I92="",I92&lt;20,O92=""),"",O92+570)</f>
        <v/>
      </c>
      <c r="AK92" s="11" t="str">
        <f aca="false">IF(OR(I92="",I92&lt;21,O92=""),"",O92+600)</f>
        <v/>
      </c>
      <c r="AL92" s="11" t="str">
        <f aca="false">IF(OR(I92="",I92&lt;22,O92=""),"",O92+630)</f>
        <v/>
      </c>
      <c r="AM92" s="11" t="str">
        <f aca="false">IF(OR(I92="",I92&lt;23,O92=""),"",O92+660)</f>
        <v/>
      </c>
      <c r="AN92" s="11" t="str">
        <f aca="false">IF(OR(I92="",I92&lt;24,O92=""),"",O92+690)</f>
        <v/>
      </c>
      <c r="AO92" s="7" t="str">
        <f aca="false">IF(J92="","",COUNTIF(Q92:AN92,TRUE())*J92)</f>
        <v/>
      </c>
      <c r="AP92" s="7" t="str">
        <f aca="false">IF(K92="","",K92-AO92)</f>
        <v/>
      </c>
      <c r="AQ92" s="7" t="str">
        <f aca="false">IF(K92="","",K92-F92-IF(N92="",0,N92))</f>
        <v/>
      </c>
    </row>
    <row r="93" customFormat="false" ht="15" hidden="false" customHeight="false" outlineLevel="0" collapsed="false">
      <c r="A93" s="12"/>
      <c r="B93" s="12"/>
      <c r="C93" s="12"/>
      <c r="D93" s="13"/>
      <c r="E93" s="13"/>
      <c r="F93" s="14"/>
      <c r="G93" s="12"/>
      <c r="H93" s="12"/>
      <c r="I93" s="12"/>
      <c r="J93" s="14"/>
      <c r="K93" s="15" t="str">
        <f aca="false">IF(OR(I93="",J93=""),"",I93*J93)</f>
        <v/>
      </c>
      <c r="L93" s="12"/>
      <c r="M93" s="16"/>
      <c r="N93" s="15" t="str">
        <f aca="false">IF(OR(L93="",M93="",K93=""),"",IF(L93="GANANCIA",(K93-F93)*M93,IF(L93="BRUTO",K93*M93,"")))</f>
        <v/>
      </c>
      <c r="O93" s="17" t="str">
        <f aca="false">IF(D93="","",D93+30)</f>
        <v/>
      </c>
      <c r="P93" s="18" t="str">
        <f aca="false">IF(I93="","",IF(COUNTIF(Q93:AN93,TRUE())&gt;=I93,"PAGADO",IF(COUNTIF(Q93:AN93,TRUE())&gt;0,"PARCIAL","VIGENTE")))</f>
        <v/>
      </c>
      <c r="Q93" s="19" t="str">
        <f aca="false">IF(OR(I93="",I93&lt;1,O93=""),"",O93+0)</f>
        <v/>
      </c>
      <c r="R93" s="19" t="str">
        <f aca="false">IF(OR(I93="",I93&lt;2,O93=""),"",O93+30)</f>
        <v/>
      </c>
      <c r="S93" s="19" t="str">
        <f aca="false">IF(OR(I93="",I93&lt;3,O93=""),"",O93+60)</f>
        <v/>
      </c>
      <c r="T93" s="19" t="str">
        <f aca="false">IF(OR(I93="",I93&lt;4,O93=""),"",O93+90)</f>
        <v/>
      </c>
      <c r="U93" s="19" t="str">
        <f aca="false">IF(OR(I93="",I93&lt;5,O93=""),"",O93+120)</f>
        <v/>
      </c>
      <c r="V93" s="19" t="str">
        <f aca="false">IF(OR(I93="",I93&lt;6,O93=""),"",O93+150)</f>
        <v/>
      </c>
      <c r="W93" s="19" t="str">
        <f aca="false">IF(OR(I93="",I93&lt;7,O93=""),"",O93+180)</f>
        <v/>
      </c>
      <c r="X93" s="19" t="str">
        <f aca="false">IF(OR(I93="",I93&lt;8,O93=""),"",O93+210)</f>
        <v/>
      </c>
      <c r="Y93" s="19" t="str">
        <f aca="false">IF(OR(I93="",I93&lt;9,O93=""),"",O93+240)</f>
        <v/>
      </c>
      <c r="Z93" s="19" t="str">
        <f aca="false">IF(OR(I93="",I93&lt;10,O93=""),"",O93+270)</f>
        <v/>
      </c>
      <c r="AA93" s="19" t="str">
        <f aca="false">IF(OR(I93="",I93&lt;11,O93=""),"",O93+300)</f>
        <v/>
      </c>
      <c r="AB93" s="19" t="str">
        <f aca="false">IF(OR(I93="",I93&lt;12,O93=""),"",O93+330)</f>
        <v/>
      </c>
      <c r="AC93" s="19" t="str">
        <f aca="false">IF(OR(I93="",I93&lt;13,O93=""),"",O93+360)</f>
        <v/>
      </c>
      <c r="AD93" s="19" t="str">
        <f aca="false">IF(OR(I93="",I93&lt;14,O93=""),"",O93+390)</f>
        <v/>
      </c>
      <c r="AE93" s="19" t="str">
        <f aca="false">IF(OR(I93="",I93&lt;15,O93=""),"",O93+420)</f>
        <v/>
      </c>
      <c r="AF93" s="19" t="str">
        <f aca="false">IF(OR(I93="",I93&lt;16,O93=""),"",O93+450)</f>
        <v/>
      </c>
      <c r="AG93" s="19" t="str">
        <f aca="false">IF(OR(I93="",I93&lt;17,O93=""),"",O93+480)</f>
        <v/>
      </c>
      <c r="AH93" s="19" t="str">
        <f aca="false">IF(OR(I93="",I93&lt;18,O93=""),"",O93+510)</f>
        <v/>
      </c>
      <c r="AI93" s="19" t="str">
        <f aca="false">IF(OR(I93="",I93&lt;19,O93=""),"",O93+540)</f>
        <v/>
      </c>
      <c r="AJ93" s="19" t="str">
        <f aca="false">IF(OR(I93="",I93&lt;20,O93=""),"",O93+570)</f>
        <v/>
      </c>
      <c r="AK93" s="19" t="str">
        <f aca="false">IF(OR(I93="",I93&lt;21,O93=""),"",O93+600)</f>
        <v/>
      </c>
      <c r="AL93" s="19" t="str">
        <f aca="false">IF(OR(I93="",I93&lt;22,O93=""),"",O93+630)</f>
        <v/>
      </c>
      <c r="AM93" s="19" t="str">
        <f aca="false">IF(OR(I93="",I93&lt;23,O93=""),"",O93+660)</f>
        <v/>
      </c>
      <c r="AN93" s="19" t="str">
        <f aca="false">IF(OR(I93="",I93&lt;24,O93=""),"",O93+690)</f>
        <v/>
      </c>
      <c r="AO93" s="15" t="str">
        <f aca="false">IF(J93="","",COUNTIF(Q93:AN93,TRUE())*J93)</f>
        <v/>
      </c>
      <c r="AP93" s="15" t="str">
        <f aca="false">IF(K93="","",K93-AO93)</f>
        <v/>
      </c>
      <c r="AQ93" s="15" t="str">
        <f aca="false">IF(K93="","",K93-F93-IF(N93="",0,N93))</f>
        <v/>
      </c>
    </row>
    <row r="94" customFormat="false" ht="15" hidden="false" customHeight="false" outlineLevel="0" collapsed="false">
      <c r="A94" s="4"/>
      <c r="B94" s="4"/>
      <c r="C94" s="4"/>
      <c r="D94" s="5"/>
      <c r="E94" s="5"/>
      <c r="F94" s="6"/>
      <c r="G94" s="4"/>
      <c r="H94" s="4"/>
      <c r="I94" s="4"/>
      <c r="J94" s="6"/>
      <c r="K94" s="7" t="str">
        <f aca="false">IF(OR(I94="",J94=""),"",I94*J94)</f>
        <v/>
      </c>
      <c r="L94" s="4"/>
      <c r="M94" s="8"/>
      <c r="N94" s="7" t="str">
        <f aca="false">IF(OR(L94="",M94="",K94=""),"",IF(L94="GANANCIA",(K94-F94)*M94,IF(L94="BRUTO",K94*M94,"")))</f>
        <v/>
      </c>
      <c r="O94" s="9" t="str">
        <f aca="false">IF(D94="","",D94+30)</f>
        <v/>
      </c>
      <c r="P94" s="10" t="str">
        <f aca="false">IF(I94="","",IF(COUNTIF(Q94:AN94,TRUE())&gt;=I94,"PAGADO",IF(COUNTIF(Q94:AN94,TRUE())&gt;0,"PARCIAL","VIGENTE")))</f>
        <v/>
      </c>
      <c r="Q94" s="11" t="str">
        <f aca="false">IF(OR(I94="",I94&lt;1,O94=""),"",O94+0)</f>
        <v/>
      </c>
      <c r="R94" s="11" t="str">
        <f aca="false">IF(OR(I94="",I94&lt;2,O94=""),"",O94+30)</f>
        <v/>
      </c>
      <c r="S94" s="11" t="str">
        <f aca="false">IF(OR(I94="",I94&lt;3,O94=""),"",O94+60)</f>
        <v/>
      </c>
      <c r="T94" s="11" t="str">
        <f aca="false">IF(OR(I94="",I94&lt;4,O94=""),"",O94+90)</f>
        <v/>
      </c>
      <c r="U94" s="11" t="str">
        <f aca="false">IF(OR(I94="",I94&lt;5,O94=""),"",O94+120)</f>
        <v/>
      </c>
      <c r="V94" s="11" t="str">
        <f aca="false">IF(OR(I94="",I94&lt;6,O94=""),"",O94+150)</f>
        <v/>
      </c>
      <c r="W94" s="11" t="str">
        <f aca="false">IF(OR(I94="",I94&lt;7,O94=""),"",O94+180)</f>
        <v/>
      </c>
      <c r="X94" s="11" t="str">
        <f aca="false">IF(OR(I94="",I94&lt;8,O94=""),"",O94+210)</f>
        <v/>
      </c>
      <c r="Y94" s="11" t="str">
        <f aca="false">IF(OR(I94="",I94&lt;9,O94=""),"",O94+240)</f>
        <v/>
      </c>
      <c r="Z94" s="11" t="str">
        <f aca="false">IF(OR(I94="",I94&lt;10,O94=""),"",O94+270)</f>
        <v/>
      </c>
      <c r="AA94" s="11" t="str">
        <f aca="false">IF(OR(I94="",I94&lt;11,O94=""),"",O94+300)</f>
        <v/>
      </c>
      <c r="AB94" s="11" t="str">
        <f aca="false">IF(OR(I94="",I94&lt;12,O94=""),"",O94+330)</f>
        <v/>
      </c>
      <c r="AC94" s="11" t="str">
        <f aca="false">IF(OR(I94="",I94&lt;13,O94=""),"",O94+360)</f>
        <v/>
      </c>
      <c r="AD94" s="11" t="str">
        <f aca="false">IF(OR(I94="",I94&lt;14,O94=""),"",O94+390)</f>
        <v/>
      </c>
      <c r="AE94" s="11" t="str">
        <f aca="false">IF(OR(I94="",I94&lt;15,O94=""),"",O94+420)</f>
        <v/>
      </c>
      <c r="AF94" s="11" t="str">
        <f aca="false">IF(OR(I94="",I94&lt;16,O94=""),"",O94+450)</f>
        <v/>
      </c>
      <c r="AG94" s="11" t="str">
        <f aca="false">IF(OR(I94="",I94&lt;17,O94=""),"",O94+480)</f>
        <v/>
      </c>
      <c r="AH94" s="11" t="str">
        <f aca="false">IF(OR(I94="",I94&lt;18,O94=""),"",O94+510)</f>
        <v/>
      </c>
      <c r="AI94" s="11" t="str">
        <f aca="false">IF(OR(I94="",I94&lt;19,O94=""),"",O94+540)</f>
        <v/>
      </c>
      <c r="AJ94" s="11" t="str">
        <f aca="false">IF(OR(I94="",I94&lt;20,O94=""),"",O94+570)</f>
        <v/>
      </c>
      <c r="AK94" s="11" t="str">
        <f aca="false">IF(OR(I94="",I94&lt;21,O94=""),"",O94+600)</f>
        <v/>
      </c>
      <c r="AL94" s="11" t="str">
        <f aca="false">IF(OR(I94="",I94&lt;22,O94=""),"",O94+630)</f>
        <v/>
      </c>
      <c r="AM94" s="11" t="str">
        <f aca="false">IF(OR(I94="",I94&lt;23,O94=""),"",O94+660)</f>
        <v/>
      </c>
      <c r="AN94" s="11" t="str">
        <f aca="false">IF(OR(I94="",I94&lt;24,O94=""),"",O94+690)</f>
        <v/>
      </c>
      <c r="AO94" s="7" t="str">
        <f aca="false">IF(J94="","",COUNTIF(Q94:AN94,TRUE())*J94)</f>
        <v/>
      </c>
      <c r="AP94" s="7" t="str">
        <f aca="false">IF(K94="","",K94-AO94)</f>
        <v/>
      </c>
      <c r="AQ94" s="7" t="str">
        <f aca="false">IF(K94="","",K94-F94-IF(N94="",0,N94))</f>
        <v/>
      </c>
    </row>
    <row r="95" customFormat="false" ht="15" hidden="false" customHeight="false" outlineLevel="0" collapsed="false">
      <c r="A95" s="12"/>
      <c r="B95" s="12"/>
      <c r="C95" s="12"/>
      <c r="D95" s="13"/>
      <c r="E95" s="13"/>
      <c r="F95" s="14"/>
      <c r="G95" s="12"/>
      <c r="H95" s="12"/>
      <c r="I95" s="12"/>
      <c r="J95" s="14"/>
      <c r="K95" s="15" t="str">
        <f aca="false">IF(OR(I95="",J95=""),"",I95*J95)</f>
        <v/>
      </c>
      <c r="L95" s="12"/>
      <c r="M95" s="16"/>
      <c r="N95" s="15" t="str">
        <f aca="false">IF(OR(L95="",M95="",K95=""),"",IF(L95="GANANCIA",(K95-F95)*M95,IF(L95="BRUTO",K95*M95,"")))</f>
        <v/>
      </c>
      <c r="O95" s="17" t="str">
        <f aca="false">IF(D95="","",D95+30)</f>
        <v/>
      </c>
      <c r="P95" s="18" t="str">
        <f aca="false">IF(I95="","",IF(COUNTIF(Q95:AN95,TRUE())&gt;=I95,"PAGADO",IF(COUNTIF(Q95:AN95,TRUE())&gt;0,"PARCIAL","VIGENTE")))</f>
        <v/>
      </c>
      <c r="Q95" s="19" t="str">
        <f aca="false">IF(OR(I95="",I95&lt;1,O95=""),"",O95+0)</f>
        <v/>
      </c>
      <c r="R95" s="19" t="str">
        <f aca="false">IF(OR(I95="",I95&lt;2,O95=""),"",O95+30)</f>
        <v/>
      </c>
      <c r="S95" s="19" t="str">
        <f aca="false">IF(OR(I95="",I95&lt;3,O95=""),"",O95+60)</f>
        <v/>
      </c>
      <c r="T95" s="19" t="str">
        <f aca="false">IF(OR(I95="",I95&lt;4,O95=""),"",O95+90)</f>
        <v/>
      </c>
      <c r="U95" s="19" t="str">
        <f aca="false">IF(OR(I95="",I95&lt;5,O95=""),"",O95+120)</f>
        <v/>
      </c>
      <c r="V95" s="19" t="str">
        <f aca="false">IF(OR(I95="",I95&lt;6,O95=""),"",O95+150)</f>
        <v/>
      </c>
      <c r="W95" s="19" t="str">
        <f aca="false">IF(OR(I95="",I95&lt;7,O95=""),"",O95+180)</f>
        <v/>
      </c>
      <c r="X95" s="19" t="str">
        <f aca="false">IF(OR(I95="",I95&lt;8,O95=""),"",O95+210)</f>
        <v/>
      </c>
      <c r="Y95" s="19" t="str">
        <f aca="false">IF(OR(I95="",I95&lt;9,O95=""),"",O95+240)</f>
        <v/>
      </c>
      <c r="Z95" s="19" t="str">
        <f aca="false">IF(OR(I95="",I95&lt;10,O95=""),"",O95+270)</f>
        <v/>
      </c>
      <c r="AA95" s="19" t="str">
        <f aca="false">IF(OR(I95="",I95&lt;11,O95=""),"",O95+300)</f>
        <v/>
      </c>
      <c r="AB95" s="19" t="str">
        <f aca="false">IF(OR(I95="",I95&lt;12,O95=""),"",O95+330)</f>
        <v/>
      </c>
      <c r="AC95" s="19" t="str">
        <f aca="false">IF(OR(I95="",I95&lt;13,O95=""),"",O95+360)</f>
        <v/>
      </c>
      <c r="AD95" s="19" t="str">
        <f aca="false">IF(OR(I95="",I95&lt;14,O95=""),"",O95+390)</f>
        <v/>
      </c>
      <c r="AE95" s="19" t="str">
        <f aca="false">IF(OR(I95="",I95&lt;15,O95=""),"",O95+420)</f>
        <v/>
      </c>
      <c r="AF95" s="19" t="str">
        <f aca="false">IF(OR(I95="",I95&lt;16,O95=""),"",O95+450)</f>
        <v/>
      </c>
      <c r="AG95" s="19" t="str">
        <f aca="false">IF(OR(I95="",I95&lt;17,O95=""),"",O95+480)</f>
        <v/>
      </c>
      <c r="AH95" s="19" t="str">
        <f aca="false">IF(OR(I95="",I95&lt;18,O95=""),"",O95+510)</f>
        <v/>
      </c>
      <c r="AI95" s="19" t="str">
        <f aca="false">IF(OR(I95="",I95&lt;19,O95=""),"",O95+540)</f>
        <v/>
      </c>
      <c r="AJ95" s="19" t="str">
        <f aca="false">IF(OR(I95="",I95&lt;20,O95=""),"",O95+570)</f>
        <v/>
      </c>
      <c r="AK95" s="19" t="str">
        <f aca="false">IF(OR(I95="",I95&lt;21,O95=""),"",O95+600)</f>
        <v/>
      </c>
      <c r="AL95" s="19" t="str">
        <f aca="false">IF(OR(I95="",I95&lt;22,O95=""),"",O95+630)</f>
        <v/>
      </c>
      <c r="AM95" s="19" t="str">
        <f aca="false">IF(OR(I95="",I95&lt;23,O95=""),"",O95+660)</f>
        <v/>
      </c>
      <c r="AN95" s="19" t="str">
        <f aca="false">IF(OR(I95="",I95&lt;24,O95=""),"",O95+690)</f>
        <v/>
      </c>
      <c r="AO95" s="15" t="str">
        <f aca="false">IF(J95="","",COUNTIF(Q95:AN95,TRUE())*J95)</f>
        <v/>
      </c>
      <c r="AP95" s="15" t="str">
        <f aca="false">IF(K95="","",K95-AO95)</f>
        <v/>
      </c>
      <c r="AQ95" s="15" t="str">
        <f aca="false">IF(K95="","",K95-F95-IF(N95="",0,N95))</f>
        <v/>
      </c>
    </row>
    <row r="96" customFormat="false" ht="15" hidden="false" customHeight="false" outlineLevel="0" collapsed="false">
      <c r="A96" s="4"/>
      <c r="B96" s="4"/>
      <c r="C96" s="4"/>
      <c r="D96" s="5"/>
      <c r="E96" s="5"/>
      <c r="F96" s="6"/>
      <c r="G96" s="4"/>
      <c r="H96" s="4"/>
      <c r="I96" s="4"/>
      <c r="J96" s="6"/>
      <c r="K96" s="7" t="str">
        <f aca="false">IF(OR(I96="",J96=""),"",I96*J96)</f>
        <v/>
      </c>
      <c r="L96" s="4"/>
      <c r="M96" s="8"/>
      <c r="N96" s="7" t="str">
        <f aca="false">IF(OR(L96="",M96="",K96=""),"",IF(L96="GANANCIA",(K96-F96)*M96,IF(L96="BRUTO",K96*M96,"")))</f>
        <v/>
      </c>
      <c r="O96" s="9" t="str">
        <f aca="false">IF(D96="","",D96+30)</f>
        <v/>
      </c>
      <c r="P96" s="10" t="str">
        <f aca="false">IF(I96="","",IF(COUNTIF(Q96:AN96,TRUE())&gt;=I96,"PAGADO",IF(COUNTIF(Q96:AN96,TRUE())&gt;0,"PARCIAL","VIGENTE")))</f>
        <v/>
      </c>
      <c r="Q96" s="11" t="str">
        <f aca="false">IF(OR(I96="",I96&lt;1,O96=""),"",O96+0)</f>
        <v/>
      </c>
      <c r="R96" s="11" t="str">
        <f aca="false">IF(OR(I96="",I96&lt;2,O96=""),"",O96+30)</f>
        <v/>
      </c>
      <c r="S96" s="11" t="str">
        <f aca="false">IF(OR(I96="",I96&lt;3,O96=""),"",O96+60)</f>
        <v/>
      </c>
      <c r="T96" s="11" t="str">
        <f aca="false">IF(OR(I96="",I96&lt;4,O96=""),"",O96+90)</f>
        <v/>
      </c>
      <c r="U96" s="11" t="str">
        <f aca="false">IF(OR(I96="",I96&lt;5,O96=""),"",O96+120)</f>
        <v/>
      </c>
      <c r="V96" s="11" t="str">
        <f aca="false">IF(OR(I96="",I96&lt;6,O96=""),"",O96+150)</f>
        <v/>
      </c>
      <c r="W96" s="11" t="str">
        <f aca="false">IF(OR(I96="",I96&lt;7,O96=""),"",O96+180)</f>
        <v/>
      </c>
      <c r="X96" s="11" t="str">
        <f aca="false">IF(OR(I96="",I96&lt;8,O96=""),"",O96+210)</f>
        <v/>
      </c>
      <c r="Y96" s="11" t="str">
        <f aca="false">IF(OR(I96="",I96&lt;9,O96=""),"",O96+240)</f>
        <v/>
      </c>
      <c r="Z96" s="11" t="str">
        <f aca="false">IF(OR(I96="",I96&lt;10,O96=""),"",O96+270)</f>
        <v/>
      </c>
      <c r="AA96" s="11" t="str">
        <f aca="false">IF(OR(I96="",I96&lt;11,O96=""),"",O96+300)</f>
        <v/>
      </c>
      <c r="AB96" s="11" t="str">
        <f aca="false">IF(OR(I96="",I96&lt;12,O96=""),"",O96+330)</f>
        <v/>
      </c>
      <c r="AC96" s="11" t="str">
        <f aca="false">IF(OR(I96="",I96&lt;13,O96=""),"",O96+360)</f>
        <v/>
      </c>
      <c r="AD96" s="11" t="str">
        <f aca="false">IF(OR(I96="",I96&lt;14,O96=""),"",O96+390)</f>
        <v/>
      </c>
      <c r="AE96" s="11" t="str">
        <f aca="false">IF(OR(I96="",I96&lt;15,O96=""),"",O96+420)</f>
        <v/>
      </c>
      <c r="AF96" s="11" t="str">
        <f aca="false">IF(OR(I96="",I96&lt;16,O96=""),"",O96+450)</f>
        <v/>
      </c>
      <c r="AG96" s="11" t="str">
        <f aca="false">IF(OR(I96="",I96&lt;17,O96=""),"",O96+480)</f>
        <v/>
      </c>
      <c r="AH96" s="11" t="str">
        <f aca="false">IF(OR(I96="",I96&lt;18,O96=""),"",O96+510)</f>
        <v/>
      </c>
      <c r="AI96" s="11" t="str">
        <f aca="false">IF(OR(I96="",I96&lt;19,O96=""),"",O96+540)</f>
        <v/>
      </c>
      <c r="AJ96" s="11" t="str">
        <f aca="false">IF(OR(I96="",I96&lt;20,O96=""),"",O96+570)</f>
        <v/>
      </c>
      <c r="AK96" s="11" t="str">
        <f aca="false">IF(OR(I96="",I96&lt;21,O96=""),"",O96+600)</f>
        <v/>
      </c>
      <c r="AL96" s="11" t="str">
        <f aca="false">IF(OR(I96="",I96&lt;22,O96=""),"",O96+630)</f>
        <v/>
      </c>
      <c r="AM96" s="11" t="str">
        <f aca="false">IF(OR(I96="",I96&lt;23,O96=""),"",O96+660)</f>
        <v/>
      </c>
      <c r="AN96" s="11" t="str">
        <f aca="false">IF(OR(I96="",I96&lt;24,O96=""),"",O96+690)</f>
        <v/>
      </c>
      <c r="AO96" s="7" t="str">
        <f aca="false">IF(J96="","",COUNTIF(Q96:AN96,TRUE())*J96)</f>
        <v/>
      </c>
      <c r="AP96" s="7" t="str">
        <f aca="false">IF(K96="","",K96-AO96)</f>
        <v/>
      </c>
      <c r="AQ96" s="7" t="str">
        <f aca="false">IF(K96="","",K96-F96-IF(N96="",0,N96))</f>
        <v/>
      </c>
    </row>
    <row r="97" customFormat="false" ht="15" hidden="false" customHeight="false" outlineLevel="0" collapsed="false">
      <c r="A97" s="12"/>
      <c r="B97" s="12"/>
      <c r="C97" s="12"/>
      <c r="D97" s="13"/>
      <c r="E97" s="13"/>
      <c r="F97" s="14"/>
      <c r="G97" s="12"/>
      <c r="H97" s="12"/>
      <c r="I97" s="12"/>
      <c r="J97" s="14"/>
      <c r="K97" s="15" t="str">
        <f aca="false">IF(OR(I97="",J97=""),"",I97*J97)</f>
        <v/>
      </c>
      <c r="L97" s="12"/>
      <c r="M97" s="16"/>
      <c r="N97" s="15" t="str">
        <f aca="false">IF(OR(L97="",M97="",K97=""),"",IF(L97="GANANCIA",(K97-F97)*M97,IF(L97="BRUTO",K97*M97,"")))</f>
        <v/>
      </c>
      <c r="O97" s="17" t="str">
        <f aca="false">IF(D97="","",D97+30)</f>
        <v/>
      </c>
      <c r="P97" s="18" t="str">
        <f aca="false">IF(I97="","",IF(COUNTIF(Q97:AN97,TRUE())&gt;=I97,"PAGADO",IF(COUNTIF(Q97:AN97,TRUE())&gt;0,"PARCIAL","VIGENTE")))</f>
        <v/>
      </c>
      <c r="Q97" s="19" t="str">
        <f aca="false">IF(OR(I97="",I97&lt;1,O97=""),"",O97+0)</f>
        <v/>
      </c>
      <c r="R97" s="19" t="str">
        <f aca="false">IF(OR(I97="",I97&lt;2,O97=""),"",O97+30)</f>
        <v/>
      </c>
      <c r="S97" s="19" t="str">
        <f aca="false">IF(OR(I97="",I97&lt;3,O97=""),"",O97+60)</f>
        <v/>
      </c>
      <c r="T97" s="19" t="str">
        <f aca="false">IF(OR(I97="",I97&lt;4,O97=""),"",O97+90)</f>
        <v/>
      </c>
      <c r="U97" s="19" t="str">
        <f aca="false">IF(OR(I97="",I97&lt;5,O97=""),"",O97+120)</f>
        <v/>
      </c>
      <c r="V97" s="19" t="str">
        <f aca="false">IF(OR(I97="",I97&lt;6,O97=""),"",O97+150)</f>
        <v/>
      </c>
      <c r="W97" s="19" t="str">
        <f aca="false">IF(OR(I97="",I97&lt;7,O97=""),"",O97+180)</f>
        <v/>
      </c>
      <c r="X97" s="19" t="str">
        <f aca="false">IF(OR(I97="",I97&lt;8,O97=""),"",O97+210)</f>
        <v/>
      </c>
      <c r="Y97" s="19" t="str">
        <f aca="false">IF(OR(I97="",I97&lt;9,O97=""),"",O97+240)</f>
        <v/>
      </c>
      <c r="Z97" s="19" t="str">
        <f aca="false">IF(OR(I97="",I97&lt;10,O97=""),"",O97+270)</f>
        <v/>
      </c>
      <c r="AA97" s="19" t="str">
        <f aca="false">IF(OR(I97="",I97&lt;11,O97=""),"",O97+300)</f>
        <v/>
      </c>
      <c r="AB97" s="19" t="str">
        <f aca="false">IF(OR(I97="",I97&lt;12,O97=""),"",O97+330)</f>
        <v/>
      </c>
      <c r="AC97" s="19" t="str">
        <f aca="false">IF(OR(I97="",I97&lt;13,O97=""),"",O97+360)</f>
        <v/>
      </c>
      <c r="AD97" s="19" t="str">
        <f aca="false">IF(OR(I97="",I97&lt;14,O97=""),"",O97+390)</f>
        <v/>
      </c>
      <c r="AE97" s="19" t="str">
        <f aca="false">IF(OR(I97="",I97&lt;15,O97=""),"",O97+420)</f>
        <v/>
      </c>
      <c r="AF97" s="19" t="str">
        <f aca="false">IF(OR(I97="",I97&lt;16,O97=""),"",O97+450)</f>
        <v/>
      </c>
      <c r="AG97" s="19" t="str">
        <f aca="false">IF(OR(I97="",I97&lt;17,O97=""),"",O97+480)</f>
        <v/>
      </c>
      <c r="AH97" s="19" t="str">
        <f aca="false">IF(OR(I97="",I97&lt;18,O97=""),"",O97+510)</f>
        <v/>
      </c>
      <c r="AI97" s="19" t="str">
        <f aca="false">IF(OR(I97="",I97&lt;19,O97=""),"",O97+540)</f>
        <v/>
      </c>
      <c r="AJ97" s="19" t="str">
        <f aca="false">IF(OR(I97="",I97&lt;20,O97=""),"",O97+570)</f>
        <v/>
      </c>
      <c r="AK97" s="19" t="str">
        <f aca="false">IF(OR(I97="",I97&lt;21,O97=""),"",O97+600)</f>
        <v/>
      </c>
      <c r="AL97" s="19" t="str">
        <f aca="false">IF(OR(I97="",I97&lt;22,O97=""),"",O97+630)</f>
        <v/>
      </c>
      <c r="AM97" s="19" t="str">
        <f aca="false">IF(OR(I97="",I97&lt;23,O97=""),"",O97+660)</f>
        <v/>
      </c>
      <c r="AN97" s="19" t="str">
        <f aca="false">IF(OR(I97="",I97&lt;24,O97=""),"",O97+690)</f>
        <v/>
      </c>
      <c r="AO97" s="15" t="str">
        <f aca="false">IF(J97="","",COUNTIF(Q97:AN97,TRUE())*J97)</f>
        <v/>
      </c>
      <c r="AP97" s="15" t="str">
        <f aca="false">IF(K97="","",K97-AO97)</f>
        <v/>
      </c>
      <c r="AQ97" s="15" t="str">
        <f aca="false">IF(K97="","",K97-F97-IF(N97="",0,N97))</f>
        <v/>
      </c>
    </row>
    <row r="98" customFormat="false" ht="15" hidden="false" customHeight="false" outlineLevel="0" collapsed="false">
      <c r="A98" s="4"/>
      <c r="B98" s="4"/>
      <c r="C98" s="4"/>
      <c r="D98" s="5"/>
      <c r="E98" s="5"/>
      <c r="F98" s="6"/>
      <c r="G98" s="4"/>
      <c r="H98" s="4"/>
      <c r="I98" s="4"/>
      <c r="J98" s="6"/>
      <c r="K98" s="7" t="str">
        <f aca="false">IF(OR(I98="",J98=""),"",I98*J98)</f>
        <v/>
      </c>
      <c r="L98" s="4"/>
      <c r="M98" s="8"/>
      <c r="N98" s="7" t="str">
        <f aca="false">IF(OR(L98="",M98="",K98=""),"",IF(L98="GANANCIA",(K98-F98)*M98,IF(L98="BRUTO",K98*M98,"")))</f>
        <v/>
      </c>
      <c r="O98" s="9" t="str">
        <f aca="false">IF(D98="","",D98+30)</f>
        <v/>
      </c>
      <c r="P98" s="10" t="str">
        <f aca="false">IF(I98="","",IF(COUNTIF(Q98:AN98,TRUE())&gt;=I98,"PAGADO",IF(COUNTIF(Q98:AN98,TRUE())&gt;0,"PARCIAL","VIGENTE")))</f>
        <v/>
      </c>
      <c r="Q98" s="11" t="str">
        <f aca="false">IF(OR(I98="",I98&lt;1,O98=""),"",O98+0)</f>
        <v/>
      </c>
      <c r="R98" s="11" t="str">
        <f aca="false">IF(OR(I98="",I98&lt;2,O98=""),"",O98+30)</f>
        <v/>
      </c>
      <c r="S98" s="11" t="str">
        <f aca="false">IF(OR(I98="",I98&lt;3,O98=""),"",O98+60)</f>
        <v/>
      </c>
      <c r="T98" s="11" t="str">
        <f aca="false">IF(OR(I98="",I98&lt;4,O98=""),"",O98+90)</f>
        <v/>
      </c>
      <c r="U98" s="11" t="str">
        <f aca="false">IF(OR(I98="",I98&lt;5,O98=""),"",O98+120)</f>
        <v/>
      </c>
      <c r="V98" s="11" t="str">
        <f aca="false">IF(OR(I98="",I98&lt;6,O98=""),"",O98+150)</f>
        <v/>
      </c>
      <c r="W98" s="11" t="str">
        <f aca="false">IF(OR(I98="",I98&lt;7,O98=""),"",O98+180)</f>
        <v/>
      </c>
      <c r="X98" s="11" t="str">
        <f aca="false">IF(OR(I98="",I98&lt;8,O98=""),"",O98+210)</f>
        <v/>
      </c>
      <c r="Y98" s="11" t="str">
        <f aca="false">IF(OR(I98="",I98&lt;9,O98=""),"",O98+240)</f>
        <v/>
      </c>
      <c r="Z98" s="11" t="str">
        <f aca="false">IF(OR(I98="",I98&lt;10,O98=""),"",O98+270)</f>
        <v/>
      </c>
      <c r="AA98" s="11" t="str">
        <f aca="false">IF(OR(I98="",I98&lt;11,O98=""),"",O98+300)</f>
        <v/>
      </c>
      <c r="AB98" s="11" t="str">
        <f aca="false">IF(OR(I98="",I98&lt;12,O98=""),"",O98+330)</f>
        <v/>
      </c>
      <c r="AC98" s="11" t="str">
        <f aca="false">IF(OR(I98="",I98&lt;13,O98=""),"",O98+360)</f>
        <v/>
      </c>
      <c r="AD98" s="11" t="str">
        <f aca="false">IF(OR(I98="",I98&lt;14,O98=""),"",O98+390)</f>
        <v/>
      </c>
      <c r="AE98" s="11" t="str">
        <f aca="false">IF(OR(I98="",I98&lt;15,O98=""),"",O98+420)</f>
        <v/>
      </c>
      <c r="AF98" s="11" t="str">
        <f aca="false">IF(OR(I98="",I98&lt;16,O98=""),"",O98+450)</f>
        <v/>
      </c>
      <c r="AG98" s="11" t="str">
        <f aca="false">IF(OR(I98="",I98&lt;17,O98=""),"",O98+480)</f>
        <v/>
      </c>
      <c r="AH98" s="11" t="str">
        <f aca="false">IF(OR(I98="",I98&lt;18,O98=""),"",O98+510)</f>
        <v/>
      </c>
      <c r="AI98" s="11" t="str">
        <f aca="false">IF(OR(I98="",I98&lt;19,O98=""),"",O98+540)</f>
        <v/>
      </c>
      <c r="AJ98" s="11" t="str">
        <f aca="false">IF(OR(I98="",I98&lt;20,O98=""),"",O98+570)</f>
        <v/>
      </c>
      <c r="AK98" s="11" t="str">
        <f aca="false">IF(OR(I98="",I98&lt;21,O98=""),"",O98+600)</f>
        <v/>
      </c>
      <c r="AL98" s="11" t="str">
        <f aca="false">IF(OR(I98="",I98&lt;22,O98=""),"",O98+630)</f>
        <v/>
      </c>
      <c r="AM98" s="11" t="str">
        <f aca="false">IF(OR(I98="",I98&lt;23,O98=""),"",O98+660)</f>
        <v/>
      </c>
      <c r="AN98" s="11" t="str">
        <f aca="false">IF(OR(I98="",I98&lt;24,O98=""),"",O98+690)</f>
        <v/>
      </c>
      <c r="AO98" s="7" t="str">
        <f aca="false">IF(J98="","",COUNTIF(Q98:AN98,TRUE())*J98)</f>
        <v/>
      </c>
      <c r="AP98" s="7" t="str">
        <f aca="false">IF(K98="","",K98-AO98)</f>
        <v/>
      </c>
      <c r="AQ98" s="7" t="str">
        <f aca="false">IF(K98="","",K98-F98-IF(N98="",0,N98))</f>
        <v/>
      </c>
    </row>
    <row r="99" customFormat="false" ht="15" hidden="false" customHeight="false" outlineLevel="0" collapsed="false">
      <c r="A99" s="12"/>
      <c r="B99" s="12"/>
      <c r="C99" s="12"/>
      <c r="D99" s="13"/>
      <c r="E99" s="13"/>
      <c r="F99" s="14"/>
      <c r="G99" s="12"/>
      <c r="H99" s="12"/>
      <c r="I99" s="12"/>
      <c r="J99" s="14"/>
      <c r="K99" s="15" t="str">
        <f aca="false">IF(OR(I99="",J99=""),"",I99*J99)</f>
        <v/>
      </c>
      <c r="L99" s="12"/>
      <c r="M99" s="16"/>
      <c r="N99" s="15" t="str">
        <f aca="false">IF(OR(L99="",M99="",K99=""),"",IF(L99="GANANCIA",(K99-F99)*M99,IF(L99="BRUTO",K99*M99,"")))</f>
        <v/>
      </c>
      <c r="O99" s="17" t="str">
        <f aca="false">IF(D99="","",D99+30)</f>
        <v/>
      </c>
      <c r="P99" s="18" t="str">
        <f aca="false">IF(I99="","",IF(COUNTIF(Q99:AN99,TRUE())&gt;=I99,"PAGADO",IF(COUNTIF(Q99:AN99,TRUE())&gt;0,"PARCIAL","VIGENTE")))</f>
        <v/>
      </c>
      <c r="Q99" s="19" t="str">
        <f aca="false">IF(OR(I99="",I99&lt;1,O99=""),"",O99+0)</f>
        <v/>
      </c>
      <c r="R99" s="19" t="str">
        <f aca="false">IF(OR(I99="",I99&lt;2,O99=""),"",O99+30)</f>
        <v/>
      </c>
      <c r="S99" s="19" t="str">
        <f aca="false">IF(OR(I99="",I99&lt;3,O99=""),"",O99+60)</f>
        <v/>
      </c>
      <c r="T99" s="19" t="str">
        <f aca="false">IF(OR(I99="",I99&lt;4,O99=""),"",O99+90)</f>
        <v/>
      </c>
      <c r="U99" s="19" t="str">
        <f aca="false">IF(OR(I99="",I99&lt;5,O99=""),"",O99+120)</f>
        <v/>
      </c>
      <c r="V99" s="19" t="str">
        <f aca="false">IF(OR(I99="",I99&lt;6,O99=""),"",O99+150)</f>
        <v/>
      </c>
      <c r="W99" s="19" t="str">
        <f aca="false">IF(OR(I99="",I99&lt;7,O99=""),"",O99+180)</f>
        <v/>
      </c>
      <c r="X99" s="19" t="str">
        <f aca="false">IF(OR(I99="",I99&lt;8,O99=""),"",O99+210)</f>
        <v/>
      </c>
      <c r="Y99" s="19" t="str">
        <f aca="false">IF(OR(I99="",I99&lt;9,O99=""),"",O99+240)</f>
        <v/>
      </c>
      <c r="Z99" s="19" t="str">
        <f aca="false">IF(OR(I99="",I99&lt;10,O99=""),"",O99+270)</f>
        <v/>
      </c>
      <c r="AA99" s="19" t="str">
        <f aca="false">IF(OR(I99="",I99&lt;11,O99=""),"",O99+300)</f>
        <v/>
      </c>
      <c r="AB99" s="19" t="str">
        <f aca="false">IF(OR(I99="",I99&lt;12,O99=""),"",O99+330)</f>
        <v/>
      </c>
      <c r="AC99" s="19" t="str">
        <f aca="false">IF(OR(I99="",I99&lt;13,O99=""),"",O99+360)</f>
        <v/>
      </c>
      <c r="AD99" s="19" t="str">
        <f aca="false">IF(OR(I99="",I99&lt;14,O99=""),"",O99+390)</f>
        <v/>
      </c>
      <c r="AE99" s="19" t="str">
        <f aca="false">IF(OR(I99="",I99&lt;15,O99=""),"",O99+420)</f>
        <v/>
      </c>
      <c r="AF99" s="19" t="str">
        <f aca="false">IF(OR(I99="",I99&lt;16,O99=""),"",O99+450)</f>
        <v/>
      </c>
      <c r="AG99" s="19" t="str">
        <f aca="false">IF(OR(I99="",I99&lt;17,O99=""),"",O99+480)</f>
        <v/>
      </c>
      <c r="AH99" s="19" t="str">
        <f aca="false">IF(OR(I99="",I99&lt;18,O99=""),"",O99+510)</f>
        <v/>
      </c>
      <c r="AI99" s="19" t="str">
        <f aca="false">IF(OR(I99="",I99&lt;19,O99=""),"",O99+540)</f>
        <v/>
      </c>
      <c r="AJ99" s="19" t="str">
        <f aca="false">IF(OR(I99="",I99&lt;20,O99=""),"",O99+570)</f>
        <v/>
      </c>
      <c r="AK99" s="19" t="str">
        <f aca="false">IF(OR(I99="",I99&lt;21,O99=""),"",O99+600)</f>
        <v/>
      </c>
      <c r="AL99" s="19" t="str">
        <f aca="false">IF(OR(I99="",I99&lt;22,O99=""),"",O99+630)</f>
        <v/>
      </c>
      <c r="AM99" s="19" t="str">
        <f aca="false">IF(OR(I99="",I99&lt;23,O99=""),"",O99+660)</f>
        <v/>
      </c>
      <c r="AN99" s="19" t="str">
        <f aca="false">IF(OR(I99="",I99&lt;24,O99=""),"",O99+690)</f>
        <v/>
      </c>
      <c r="AO99" s="15" t="str">
        <f aca="false">IF(J99="","",COUNTIF(Q99:AN99,TRUE())*J99)</f>
        <v/>
      </c>
      <c r="AP99" s="15" t="str">
        <f aca="false">IF(K99="","",K99-AO99)</f>
        <v/>
      </c>
      <c r="AQ99" s="15" t="str">
        <f aca="false">IF(K99="","",K99-F99-IF(N99="",0,N99))</f>
        <v/>
      </c>
    </row>
    <row r="100" customFormat="false" ht="15" hidden="false" customHeight="false" outlineLevel="0" collapsed="false">
      <c r="A100" s="4"/>
      <c r="B100" s="4"/>
      <c r="C100" s="4"/>
      <c r="D100" s="5"/>
      <c r="E100" s="5"/>
      <c r="F100" s="6"/>
      <c r="G100" s="4"/>
      <c r="H100" s="4"/>
      <c r="I100" s="4"/>
      <c r="J100" s="6"/>
      <c r="K100" s="7" t="str">
        <f aca="false">IF(OR(I100="",J100=""),"",I100*J100)</f>
        <v/>
      </c>
      <c r="L100" s="4"/>
      <c r="M100" s="8"/>
      <c r="N100" s="7" t="str">
        <f aca="false">IF(OR(L100="",M100="",K100=""),"",IF(L100="GANANCIA",(K100-F100)*M100,IF(L100="BRUTO",K100*M100,"")))</f>
        <v/>
      </c>
      <c r="O100" s="9" t="str">
        <f aca="false">IF(D100="","",D100+30)</f>
        <v/>
      </c>
      <c r="P100" s="10" t="str">
        <f aca="false">IF(I100="","",IF(COUNTIF(Q100:AN100,TRUE())&gt;=I100,"PAGADO",IF(COUNTIF(Q100:AN100,TRUE())&gt;0,"PARCIAL","VIGENTE")))</f>
        <v/>
      </c>
      <c r="Q100" s="11" t="str">
        <f aca="false">IF(OR(I100="",I100&lt;1,O100=""),"",O100+0)</f>
        <v/>
      </c>
      <c r="R100" s="11" t="str">
        <f aca="false">IF(OR(I100="",I100&lt;2,O100=""),"",O100+30)</f>
        <v/>
      </c>
      <c r="S100" s="11" t="str">
        <f aca="false">IF(OR(I100="",I100&lt;3,O100=""),"",O100+60)</f>
        <v/>
      </c>
      <c r="T100" s="11" t="str">
        <f aca="false">IF(OR(I100="",I100&lt;4,O100=""),"",O100+90)</f>
        <v/>
      </c>
      <c r="U100" s="11" t="str">
        <f aca="false">IF(OR(I100="",I100&lt;5,O100=""),"",O100+120)</f>
        <v/>
      </c>
      <c r="V100" s="11" t="str">
        <f aca="false">IF(OR(I100="",I100&lt;6,O100=""),"",O100+150)</f>
        <v/>
      </c>
      <c r="W100" s="11" t="str">
        <f aca="false">IF(OR(I100="",I100&lt;7,O100=""),"",O100+180)</f>
        <v/>
      </c>
      <c r="X100" s="11" t="str">
        <f aca="false">IF(OR(I100="",I100&lt;8,O100=""),"",O100+210)</f>
        <v/>
      </c>
      <c r="Y100" s="11" t="str">
        <f aca="false">IF(OR(I100="",I100&lt;9,O100=""),"",O100+240)</f>
        <v/>
      </c>
      <c r="Z100" s="11" t="str">
        <f aca="false">IF(OR(I100="",I100&lt;10,O100=""),"",O100+270)</f>
        <v/>
      </c>
      <c r="AA100" s="11" t="str">
        <f aca="false">IF(OR(I100="",I100&lt;11,O100=""),"",O100+300)</f>
        <v/>
      </c>
      <c r="AB100" s="11" t="str">
        <f aca="false">IF(OR(I100="",I100&lt;12,O100=""),"",O100+330)</f>
        <v/>
      </c>
      <c r="AC100" s="11" t="str">
        <f aca="false">IF(OR(I100="",I100&lt;13,O100=""),"",O100+360)</f>
        <v/>
      </c>
      <c r="AD100" s="11" t="str">
        <f aca="false">IF(OR(I100="",I100&lt;14,O100=""),"",O100+390)</f>
        <v/>
      </c>
      <c r="AE100" s="11" t="str">
        <f aca="false">IF(OR(I100="",I100&lt;15,O100=""),"",O100+420)</f>
        <v/>
      </c>
      <c r="AF100" s="11" t="str">
        <f aca="false">IF(OR(I100="",I100&lt;16,O100=""),"",O100+450)</f>
        <v/>
      </c>
      <c r="AG100" s="11" t="str">
        <f aca="false">IF(OR(I100="",I100&lt;17,O100=""),"",O100+480)</f>
        <v/>
      </c>
      <c r="AH100" s="11" t="str">
        <f aca="false">IF(OR(I100="",I100&lt;18,O100=""),"",O100+510)</f>
        <v/>
      </c>
      <c r="AI100" s="11" t="str">
        <f aca="false">IF(OR(I100="",I100&lt;19,O100=""),"",O100+540)</f>
        <v/>
      </c>
      <c r="AJ100" s="11" t="str">
        <f aca="false">IF(OR(I100="",I100&lt;20,O100=""),"",O100+570)</f>
        <v/>
      </c>
      <c r="AK100" s="11" t="str">
        <f aca="false">IF(OR(I100="",I100&lt;21,O100=""),"",O100+600)</f>
        <v/>
      </c>
      <c r="AL100" s="11" t="str">
        <f aca="false">IF(OR(I100="",I100&lt;22,O100=""),"",O100+630)</f>
        <v/>
      </c>
      <c r="AM100" s="11" t="str">
        <f aca="false">IF(OR(I100="",I100&lt;23,O100=""),"",O100+660)</f>
        <v/>
      </c>
      <c r="AN100" s="11" t="str">
        <f aca="false">IF(OR(I100="",I100&lt;24,O100=""),"",O100+690)</f>
        <v/>
      </c>
      <c r="AO100" s="7" t="str">
        <f aca="false">IF(J100="","",COUNTIF(Q100:AN100,TRUE())*J100)</f>
        <v/>
      </c>
      <c r="AP100" s="7" t="str">
        <f aca="false">IF(K100="","",K100-AO100)</f>
        <v/>
      </c>
      <c r="AQ100" s="7" t="str">
        <f aca="false">IF(K100="","",K100-F100-IF(N100="",0,N100))</f>
        <v/>
      </c>
    </row>
    <row r="101" customFormat="false" ht="15" hidden="false" customHeight="false" outlineLevel="0" collapsed="false">
      <c r="A101" s="12"/>
      <c r="B101" s="12"/>
      <c r="C101" s="12"/>
      <c r="D101" s="13"/>
      <c r="E101" s="13"/>
      <c r="F101" s="14"/>
      <c r="G101" s="12"/>
      <c r="H101" s="12"/>
      <c r="I101" s="12"/>
      <c r="J101" s="14"/>
      <c r="K101" s="15" t="str">
        <f aca="false">IF(OR(I101="",J101=""),"",I101*J101)</f>
        <v/>
      </c>
      <c r="L101" s="12"/>
      <c r="M101" s="16"/>
      <c r="N101" s="15" t="str">
        <f aca="false">IF(OR(L101="",M101="",K101=""),"",IF(L101="GANANCIA",(K101-F101)*M101,IF(L101="BRUTO",K101*M101,"")))</f>
        <v/>
      </c>
      <c r="O101" s="17" t="str">
        <f aca="false">IF(D101="","",D101+30)</f>
        <v/>
      </c>
      <c r="P101" s="18" t="str">
        <f aca="false">IF(I101="","",IF(COUNTIF(Q101:AN101,TRUE())&gt;=I101,"PAGADO",IF(COUNTIF(Q101:AN101,TRUE())&gt;0,"PARCIAL","VIGENTE")))</f>
        <v/>
      </c>
      <c r="Q101" s="19" t="str">
        <f aca="false">IF(OR(I101="",I101&lt;1,O101=""),"",O101+0)</f>
        <v/>
      </c>
      <c r="R101" s="19" t="str">
        <f aca="false">IF(OR(I101="",I101&lt;2,O101=""),"",O101+30)</f>
        <v/>
      </c>
      <c r="S101" s="19" t="str">
        <f aca="false">IF(OR(I101="",I101&lt;3,O101=""),"",O101+60)</f>
        <v/>
      </c>
      <c r="T101" s="19" t="str">
        <f aca="false">IF(OR(I101="",I101&lt;4,O101=""),"",O101+90)</f>
        <v/>
      </c>
      <c r="U101" s="19" t="str">
        <f aca="false">IF(OR(I101="",I101&lt;5,O101=""),"",O101+120)</f>
        <v/>
      </c>
      <c r="V101" s="19" t="str">
        <f aca="false">IF(OR(I101="",I101&lt;6,O101=""),"",O101+150)</f>
        <v/>
      </c>
      <c r="W101" s="19" t="str">
        <f aca="false">IF(OR(I101="",I101&lt;7,O101=""),"",O101+180)</f>
        <v/>
      </c>
      <c r="X101" s="19" t="str">
        <f aca="false">IF(OR(I101="",I101&lt;8,O101=""),"",O101+210)</f>
        <v/>
      </c>
      <c r="Y101" s="19" t="str">
        <f aca="false">IF(OR(I101="",I101&lt;9,O101=""),"",O101+240)</f>
        <v/>
      </c>
      <c r="Z101" s="19" t="str">
        <f aca="false">IF(OR(I101="",I101&lt;10,O101=""),"",O101+270)</f>
        <v/>
      </c>
      <c r="AA101" s="19" t="str">
        <f aca="false">IF(OR(I101="",I101&lt;11,O101=""),"",O101+300)</f>
        <v/>
      </c>
      <c r="AB101" s="19" t="str">
        <f aca="false">IF(OR(I101="",I101&lt;12,O101=""),"",O101+330)</f>
        <v/>
      </c>
      <c r="AC101" s="19" t="str">
        <f aca="false">IF(OR(I101="",I101&lt;13,O101=""),"",O101+360)</f>
        <v/>
      </c>
      <c r="AD101" s="19" t="str">
        <f aca="false">IF(OR(I101="",I101&lt;14,O101=""),"",O101+390)</f>
        <v/>
      </c>
      <c r="AE101" s="19" t="str">
        <f aca="false">IF(OR(I101="",I101&lt;15,O101=""),"",O101+420)</f>
        <v/>
      </c>
      <c r="AF101" s="19" t="str">
        <f aca="false">IF(OR(I101="",I101&lt;16,O101=""),"",O101+450)</f>
        <v/>
      </c>
      <c r="AG101" s="19" t="str">
        <f aca="false">IF(OR(I101="",I101&lt;17,O101=""),"",O101+480)</f>
        <v/>
      </c>
      <c r="AH101" s="19" t="str">
        <f aca="false">IF(OR(I101="",I101&lt;18,O101=""),"",O101+510)</f>
        <v/>
      </c>
      <c r="AI101" s="19" t="str">
        <f aca="false">IF(OR(I101="",I101&lt;19,O101=""),"",O101+540)</f>
        <v/>
      </c>
      <c r="AJ101" s="19" t="str">
        <f aca="false">IF(OR(I101="",I101&lt;20,O101=""),"",O101+570)</f>
        <v/>
      </c>
      <c r="AK101" s="19" t="str">
        <f aca="false">IF(OR(I101="",I101&lt;21,O101=""),"",O101+600)</f>
        <v/>
      </c>
      <c r="AL101" s="19" t="str">
        <f aca="false">IF(OR(I101="",I101&lt;22,O101=""),"",O101+630)</f>
        <v/>
      </c>
      <c r="AM101" s="19" t="str">
        <f aca="false">IF(OR(I101="",I101&lt;23,O101=""),"",O101+660)</f>
        <v/>
      </c>
      <c r="AN101" s="19" t="str">
        <f aca="false">IF(OR(I101="",I101&lt;24,O101=""),"",O101+690)</f>
        <v/>
      </c>
      <c r="AO101" s="15" t="str">
        <f aca="false">IF(J101="","",COUNTIF(Q101:AN101,TRUE())*J101)</f>
        <v/>
      </c>
      <c r="AP101" s="15" t="str">
        <f aca="false">IF(K101="","",K101-AO101)</f>
        <v/>
      </c>
      <c r="AQ101" s="15" t="str">
        <f aca="false">IF(K101="","",K101-F101-IF(N101="",0,N101))</f>
        <v/>
      </c>
    </row>
    <row r="102" customFormat="false" ht="15" hidden="false" customHeight="false" outlineLevel="0" collapsed="false">
      <c r="A102" s="4"/>
      <c r="B102" s="4"/>
      <c r="C102" s="4"/>
      <c r="D102" s="5"/>
      <c r="E102" s="5"/>
      <c r="F102" s="6"/>
      <c r="G102" s="4"/>
      <c r="H102" s="4"/>
      <c r="I102" s="4"/>
      <c r="J102" s="6"/>
      <c r="K102" s="7" t="str">
        <f aca="false">IF(OR(I102="",J102=""),"",I102*J102)</f>
        <v/>
      </c>
      <c r="L102" s="4"/>
      <c r="M102" s="8"/>
      <c r="N102" s="7" t="str">
        <f aca="false">IF(OR(L102="",M102="",K102=""),"",IF(L102="GANANCIA",(K102-F102)*M102,IF(L102="BRUTO",K102*M102,"")))</f>
        <v/>
      </c>
      <c r="O102" s="9" t="str">
        <f aca="false">IF(D102="","",D102+30)</f>
        <v/>
      </c>
      <c r="P102" s="10" t="str">
        <f aca="false">IF(I102="","",IF(COUNTIF(Q102:AN102,TRUE())&gt;=I102,"PAGADO",IF(COUNTIF(Q102:AN102,TRUE())&gt;0,"PARCIAL","VIGENTE")))</f>
        <v/>
      </c>
      <c r="Q102" s="11" t="str">
        <f aca="false">IF(OR(I102="",I102&lt;1,O102=""),"",O102+0)</f>
        <v/>
      </c>
      <c r="R102" s="11" t="str">
        <f aca="false">IF(OR(I102="",I102&lt;2,O102=""),"",O102+30)</f>
        <v/>
      </c>
      <c r="S102" s="11" t="str">
        <f aca="false">IF(OR(I102="",I102&lt;3,O102=""),"",O102+60)</f>
        <v/>
      </c>
      <c r="T102" s="11" t="str">
        <f aca="false">IF(OR(I102="",I102&lt;4,O102=""),"",O102+90)</f>
        <v/>
      </c>
      <c r="U102" s="11" t="str">
        <f aca="false">IF(OR(I102="",I102&lt;5,O102=""),"",O102+120)</f>
        <v/>
      </c>
      <c r="V102" s="11" t="str">
        <f aca="false">IF(OR(I102="",I102&lt;6,O102=""),"",O102+150)</f>
        <v/>
      </c>
      <c r="W102" s="11" t="str">
        <f aca="false">IF(OR(I102="",I102&lt;7,O102=""),"",O102+180)</f>
        <v/>
      </c>
      <c r="X102" s="11" t="str">
        <f aca="false">IF(OR(I102="",I102&lt;8,O102=""),"",O102+210)</f>
        <v/>
      </c>
      <c r="Y102" s="11" t="str">
        <f aca="false">IF(OR(I102="",I102&lt;9,O102=""),"",O102+240)</f>
        <v/>
      </c>
      <c r="Z102" s="11" t="str">
        <f aca="false">IF(OR(I102="",I102&lt;10,O102=""),"",O102+270)</f>
        <v/>
      </c>
      <c r="AA102" s="11" t="str">
        <f aca="false">IF(OR(I102="",I102&lt;11,O102=""),"",O102+300)</f>
        <v/>
      </c>
      <c r="AB102" s="11" t="str">
        <f aca="false">IF(OR(I102="",I102&lt;12,O102=""),"",O102+330)</f>
        <v/>
      </c>
      <c r="AC102" s="11" t="str">
        <f aca="false">IF(OR(I102="",I102&lt;13,O102=""),"",O102+360)</f>
        <v/>
      </c>
      <c r="AD102" s="11" t="str">
        <f aca="false">IF(OR(I102="",I102&lt;14,O102=""),"",O102+390)</f>
        <v/>
      </c>
      <c r="AE102" s="11" t="str">
        <f aca="false">IF(OR(I102="",I102&lt;15,O102=""),"",O102+420)</f>
        <v/>
      </c>
      <c r="AF102" s="11" t="str">
        <f aca="false">IF(OR(I102="",I102&lt;16,O102=""),"",O102+450)</f>
        <v/>
      </c>
      <c r="AG102" s="11" t="str">
        <f aca="false">IF(OR(I102="",I102&lt;17,O102=""),"",O102+480)</f>
        <v/>
      </c>
      <c r="AH102" s="11" t="str">
        <f aca="false">IF(OR(I102="",I102&lt;18,O102=""),"",O102+510)</f>
        <v/>
      </c>
      <c r="AI102" s="11" t="str">
        <f aca="false">IF(OR(I102="",I102&lt;19,O102=""),"",O102+540)</f>
        <v/>
      </c>
      <c r="AJ102" s="11" t="str">
        <f aca="false">IF(OR(I102="",I102&lt;20,O102=""),"",O102+570)</f>
        <v/>
      </c>
      <c r="AK102" s="11" t="str">
        <f aca="false">IF(OR(I102="",I102&lt;21,O102=""),"",O102+600)</f>
        <v/>
      </c>
      <c r="AL102" s="11" t="str">
        <f aca="false">IF(OR(I102="",I102&lt;22,O102=""),"",O102+630)</f>
        <v/>
      </c>
      <c r="AM102" s="11" t="str">
        <f aca="false">IF(OR(I102="",I102&lt;23,O102=""),"",O102+660)</f>
        <v/>
      </c>
      <c r="AN102" s="11" t="str">
        <f aca="false">IF(OR(I102="",I102&lt;24,O102=""),"",O102+690)</f>
        <v/>
      </c>
      <c r="AO102" s="7" t="str">
        <f aca="false">IF(J102="","",COUNTIF(Q102:AN102,TRUE())*J102)</f>
        <v/>
      </c>
      <c r="AP102" s="7" t="str">
        <f aca="false">IF(K102="","",K102-AO102)</f>
        <v/>
      </c>
      <c r="AQ102" s="7" t="str">
        <f aca="false">IF(K102="","",K102-F102-IF(N102="",0,N102))</f>
        <v/>
      </c>
    </row>
    <row r="103" customFormat="false" ht="15" hidden="false" customHeight="false" outlineLevel="0" collapsed="false">
      <c r="A103" s="12"/>
      <c r="B103" s="12"/>
      <c r="C103" s="12"/>
      <c r="D103" s="13"/>
      <c r="E103" s="13"/>
      <c r="F103" s="14"/>
      <c r="G103" s="12"/>
      <c r="H103" s="12"/>
      <c r="I103" s="12"/>
      <c r="J103" s="14"/>
      <c r="K103" s="15" t="str">
        <f aca="false">IF(OR(I103="",J103=""),"",I103*J103)</f>
        <v/>
      </c>
      <c r="L103" s="12"/>
      <c r="M103" s="16"/>
      <c r="N103" s="15" t="str">
        <f aca="false">IF(OR(L103="",M103="",K103=""),"",IF(L103="GANANCIA",(K103-F103)*M103,IF(L103="BRUTO",K103*M103,"")))</f>
        <v/>
      </c>
      <c r="O103" s="17" t="str">
        <f aca="false">IF(D103="","",D103+30)</f>
        <v/>
      </c>
      <c r="P103" s="18" t="str">
        <f aca="false">IF(I103="","",IF(COUNTIF(Q103:AN103,TRUE())&gt;=I103,"PAGADO",IF(COUNTIF(Q103:AN103,TRUE())&gt;0,"PARCIAL","VIGENTE")))</f>
        <v/>
      </c>
      <c r="Q103" s="19" t="str">
        <f aca="false">IF(OR(I103="",I103&lt;1,O103=""),"",O103+0)</f>
        <v/>
      </c>
      <c r="R103" s="19" t="str">
        <f aca="false">IF(OR(I103="",I103&lt;2,O103=""),"",O103+30)</f>
        <v/>
      </c>
      <c r="S103" s="19" t="str">
        <f aca="false">IF(OR(I103="",I103&lt;3,O103=""),"",O103+60)</f>
        <v/>
      </c>
      <c r="T103" s="19" t="str">
        <f aca="false">IF(OR(I103="",I103&lt;4,O103=""),"",O103+90)</f>
        <v/>
      </c>
      <c r="U103" s="19" t="str">
        <f aca="false">IF(OR(I103="",I103&lt;5,O103=""),"",O103+120)</f>
        <v/>
      </c>
      <c r="V103" s="19" t="str">
        <f aca="false">IF(OR(I103="",I103&lt;6,O103=""),"",O103+150)</f>
        <v/>
      </c>
      <c r="W103" s="19" t="str">
        <f aca="false">IF(OR(I103="",I103&lt;7,O103=""),"",O103+180)</f>
        <v/>
      </c>
      <c r="X103" s="19" t="str">
        <f aca="false">IF(OR(I103="",I103&lt;8,O103=""),"",O103+210)</f>
        <v/>
      </c>
      <c r="Y103" s="19" t="str">
        <f aca="false">IF(OR(I103="",I103&lt;9,O103=""),"",O103+240)</f>
        <v/>
      </c>
      <c r="Z103" s="19" t="str">
        <f aca="false">IF(OR(I103="",I103&lt;10,O103=""),"",O103+270)</f>
        <v/>
      </c>
      <c r="AA103" s="19" t="str">
        <f aca="false">IF(OR(I103="",I103&lt;11,O103=""),"",O103+300)</f>
        <v/>
      </c>
      <c r="AB103" s="19" t="str">
        <f aca="false">IF(OR(I103="",I103&lt;12,O103=""),"",O103+330)</f>
        <v/>
      </c>
      <c r="AC103" s="19" t="str">
        <f aca="false">IF(OR(I103="",I103&lt;13,O103=""),"",O103+360)</f>
        <v/>
      </c>
      <c r="AD103" s="19" t="str">
        <f aca="false">IF(OR(I103="",I103&lt;14,O103=""),"",O103+390)</f>
        <v/>
      </c>
      <c r="AE103" s="19" t="str">
        <f aca="false">IF(OR(I103="",I103&lt;15,O103=""),"",O103+420)</f>
        <v/>
      </c>
      <c r="AF103" s="19" t="str">
        <f aca="false">IF(OR(I103="",I103&lt;16,O103=""),"",O103+450)</f>
        <v/>
      </c>
      <c r="AG103" s="19" t="str">
        <f aca="false">IF(OR(I103="",I103&lt;17,O103=""),"",O103+480)</f>
        <v/>
      </c>
      <c r="AH103" s="19" t="str">
        <f aca="false">IF(OR(I103="",I103&lt;18,O103=""),"",O103+510)</f>
        <v/>
      </c>
      <c r="AI103" s="19" t="str">
        <f aca="false">IF(OR(I103="",I103&lt;19,O103=""),"",O103+540)</f>
        <v/>
      </c>
      <c r="AJ103" s="19" t="str">
        <f aca="false">IF(OR(I103="",I103&lt;20,O103=""),"",O103+570)</f>
        <v/>
      </c>
      <c r="AK103" s="19" t="str">
        <f aca="false">IF(OR(I103="",I103&lt;21,O103=""),"",O103+600)</f>
        <v/>
      </c>
      <c r="AL103" s="19" t="str">
        <f aca="false">IF(OR(I103="",I103&lt;22,O103=""),"",O103+630)</f>
        <v/>
      </c>
      <c r="AM103" s="19" t="str">
        <f aca="false">IF(OR(I103="",I103&lt;23,O103=""),"",O103+660)</f>
        <v/>
      </c>
      <c r="AN103" s="19" t="str">
        <f aca="false">IF(OR(I103="",I103&lt;24,O103=""),"",O103+690)</f>
        <v/>
      </c>
      <c r="AO103" s="15" t="str">
        <f aca="false">IF(J103="","",COUNTIF(Q103:AN103,TRUE())*J103)</f>
        <v/>
      </c>
      <c r="AP103" s="15" t="str">
        <f aca="false">IF(K103="","",K103-AO103)</f>
        <v/>
      </c>
      <c r="AQ103" s="15" t="str">
        <f aca="false">IF(K103="","",K103-F103-IF(N103="",0,N103))</f>
        <v/>
      </c>
    </row>
    <row r="104" customFormat="false" ht="15" hidden="false" customHeight="false" outlineLevel="0" collapsed="false">
      <c r="A104" s="4"/>
      <c r="B104" s="4"/>
      <c r="C104" s="4"/>
      <c r="D104" s="5"/>
      <c r="E104" s="5"/>
      <c r="F104" s="6"/>
      <c r="G104" s="4"/>
      <c r="H104" s="4"/>
      <c r="I104" s="4"/>
      <c r="J104" s="6"/>
      <c r="K104" s="7" t="str">
        <f aca="false">IF(OR(I104="",J104=""),"",I104*J104)</f>
        <v/>
      </c>
      <c r="L104" s="4"/>
      <c r="M104" s="8"/>
      <c r="N104" s="7" t="str">
        <f aca="false">IF(OR(L104="",M104="",K104=""),"",IF(L104="GANANCIA",(K104-F104)*M104,IF(L104="BRUTO",K104*M104,"")))</f>
        <v/>
      </c>
      <c r="O104" s="9" t="str">
        <f aca="false">IF(D104="","",D104+30)</f>
        <v/>
      </c>
      <c r="P104" s="10" t="str">
        <f aca="false">IF(I104="","",IF(COUNTIF(Q104:AN104,TRUE())&gt;=I104,"PAGADO",IF(COUNTIF(Q104:AN104,TRUE())&gt;0,"PARCIAL","VIGENTE")))</f>
        <v/>
      </c>
      <c r="Q104" s="11" t="str">
        <f aca="false">IF(OR(I104="",I104&lt;1,O104=""),"",O104+0)</f>
        <v/>
      </c>
      <c r="R104" s="11" t="str">
        <f aca="false">IF(OR(I104="",I104&lt;2,O104=""),"",O104+30)</f>
        <v/>
      </c>
      <c r="S104" s="11" t="str">
        <f aca="false">IF(OR(I104="",I104&lt;3,O104=""),"",O104+60)</f>
        <v/>
      </c>
      <c r="T104" s="11" t="str">
        <f aca="false">IF(OR(I104="",I104&lt;4,O104=""),"",O104+90)</f>
        <v/>
      </c>
      <c r="U104" s="11" t="str">
        <f aca="false">IF(OR(I104="",I104&lt;5,O104=""),"",O104+120)</f>
        <v/>
      </c>
      <c r="V104" s="11" t="str">
        <f aca="false">IF(OR(I104="",I104&lt;6,O104=""),"",O104+150)</f>
        <v/>
      </c>
      <c r="W104" s="11" t="str">
        <f aca="false">IF(OR(I104="",I104&lt;7,O104=""),"",O104+180)</f>
        <v/>
      </c>
      <c r="X104" s="11" t="str">
        <f aca="false">IF(OR(I104="",I104&lt;8,O104=""),"",O104+210)</f>
        <v/>
      </c>
      <c r="Y104" s="11" t="str">
        <f aca="false">IF(OR(I104="",I104&lt;9,O104=""),"",O104+240)</f>
        <v/>
      </c>
      <c r="Z104" s="11" t="str">
        <f aca="false">IF(OR(I104="",I104&lt;10,O104=""),"",O104+270)</f>
        <v/>
      </c>
      <c r="AA104" s="11" t="str">
        <f aca="false">IF(OR(I104="",I104&lt;11,O104=""),"",O104+300)</f>
        <v/>
      </c>
      <c r="AB104" s="11" t="str">
        <f aca="false">IF(OR(I104="",I104&lt;12,O104=""),"",O104+330)</f>
        <v/>
      </c>
      <c r="AC104" s="11" t="str">
        <f aca="false">IF(OR(I104="",I104&lt;13,O104=""),"",O104+360)</f>
        <v/>
      </c>
      <c r="AD104" s="11" t="str">
        <f aca="false">IF(OR(I104="",I104&lt;14,O104=""),"",O104+390)</f>
        <v/>
      </c>
      <c r="AE104" s="11" t="str">
        <f aca="false">IF(OR(I104="",I104&lt;15,O104=""),"",O104+420)</f>
        <v/>
      </c>
      <c r="AF104" s="11" t="str">
        <f aca="false">IF(OR(I104="",I104&lt;16,O104=""),"",O104+450)</f>
        <v/>
      </c>
      <c r="AG104" s="11" t="str">
        <f aca="false">IF(OR(I104="",I104&lt;17,O104=""),"",O104+480)</f>
        <v/>
      </c>
      <c r="AH104" s="11" t="str">
        <f aca="false">IF(OR(I104="",I104&lt;18,O104=""),"",O104+510)</f>
        <v/>
      </c>
      <c r="AI104" s="11" t="str">
        <f aca="false">IF(OR(I104="",I104&lt;19,O104=""),"",O104+540)</f>
        <v/>
      </c>
      <c r="AJ104" s="11" t="str">
        <f aca="false">IF(OR(I104="",I104&lt;20,O104=""),"",O104+570)</f>
        <v/>
      </c>
      <c r="AK104" s="11" t="str">
        <f aca="false">IF(OR(I104="",I104&lt;21,O104=""),"",O104+600)</f>
        <v/>
      </c>
      <c r="AL104" s="11" t="str">
        <f aca="false">IF(OR(I104="",I104&lt;22,O104=""),"",O104+630)</f>
        <v/>
      </c>
      <c r="AM104" s="11" t="str">
        <f aca="false">IF(OR(I104="",I104&lt;23,O104=""),"",O104+660)</f>
        <v/>
      </c>
      <c r="AN104" s="11" t="str">
        <f aca="false">IF(OR(I104="",I104&lt;24,O104=""),"",O104+690)</f>
        <v/>
      </c>
      <c r="AO104" s="7" t="str">
        <f aca="false">IF(J104="","",COUNTIF(Q104:AN104,TRUE())*J104)</f>
        <v/>
      </c>
      <c r="AP104" s="7" t="str">
        <f aca="false">IF(K104="","",K104-AO104)</f>
        <v/>
      </c>
      <c r="AQ104" s="7" t="str">
        <f aca="false">IF(K104="","",K104-F104-IF(N104="",0,N104))</f>
        <v/>
      </c>
    </row>
    <row r="105" customFormat="false" ht="15" hidden="false" customHeight="false" outlineLevel="0" collapsed="false">
      <c r="A105" s="12"/>
      <c r="B105" s="12"/>
      <c r="C105" s="12"/>
      <c r="D105" s="13"/>
      <c r="E105" s="13"/>
      <c r="F105" s="14"/>
      <c r="G105" s="12"/>
      <c r="H105" s="12"/>
      <c r="I105" s="12"/>
      <c r="J105" s="14"/>
      <c r="K105" s="15" t="str">
        <f aca="false">IF(OR(I105="",J105=""),"",I105*J105)</f>
        <v/>
      </c>
      <c r="L105" s="12"/>
      <c r="M105" s="16"/>
      <c r="N105" s="15" t="str">
        <f aca="false">IF(OR(L105="",M105="",K105=""),"",IF(L105="GANANCIA",(K105-F105)*M105,IF(L105="BRUTO",K105*M105,"")))</f>
        <v/>
      </c>
      <c r="O105" s="17" t="str">
        <f aca="false">IF(D105="","",D105+30)</f>
        <v/>
      </c>
      <c r="P105" s="18" t="str">
        <f aca="false">IF(I105="","",IF(COUNTIF(Q105:AN105,TRUE())&gt;=I105,"PAGADO",IF(COUNTIF(Q105:AN105,TRUE())&gt;0,"PARCIAL","VIGENTE")))</f>
        <v/>
      </c>
      <c r="Q105" s="19" t="str">
        <f aca="false">IF(OR(I105="",I105&lt;1,O105=""),"",O105+0)</f>
        <v/>
      </c>
      <c r="R105" s="19" t="str">
        <f aca="false">IF(OR(I105="",I105&lt;2,O105=""),"",O105+30)</f>
        <v/>
      </c>
      <c r="S105" s="19" t="str">
        <f aca="false">IF(OR(I105="",I105&lt;3,O105=""),"",O105+60)</f>
        <v/>
      </c>
      <c r="T105" s="19" t="str">
        <f aca="false">IF(OR(I105="",I105&lt;4,O105=""),"",O105+90)</f>
        <v/>
      </c>
      <c r="U105" s="19" t="str">
        <f aca="false">IF(OR(I105="",I105&lt;5,O105=""),"",O105+120)</f>
        <v/>
      </c>
      <c r="V105" s="19" t="str">
        <f aca="false">IF(OR(I105="",I105&lt;6,O105=""),"",O105+150)</f>
        <v/>
      </c>
      <c r="W105" s="19" t="str">
        <f aca="false">IF(OR(I105="",I105&lt;7,O105=""),"",O105+180)</f>
        <v/>
      </c>
      <c r="X105" s="19" t="str">
        <f aca="false">IF(OR(I105="",I105&lt;8,O105=""),"",O105+210)</f>
        <v/>
      </c>
      <c r="Y105" s="19" t="str">
        <f aca="false">IF(OR(I105="",I105&lt;9,O105=""),"",O105+240)</f>
        <v/>
      </c>
      <c r="Z105" s="19" t="str">
        <f aca="false">IF(OR(I105="",I105&lt;10,O105=""),"",O105+270)</f>
        <v/>
      </c>
      <c r="AA105" s="19" t="str">
        <f aca="false">IF(OR(I105="",I105&lt;11,O105=""),"",O105+300)</f>
        <v/>
      </c>
      <c r="AB105" s="19" t="str">
        <f aca="false">IF(OR(I105="",I105&lt;12,O105=""),"",O105+330)</f>
        <v/>
      </c>
      <c r="AC105" s="19" t="str">
        <f aca="false">IF(OR(I105="",I105&lt;13,O105=""),"",O105+360)</f>
        <v/>
      </c>
      <c r="AD105" s="19" t="str">
        <f aca="false">IF(OR(I105="",I105&lt;14,O105=""),"",O105+390)</f>
        <v/>
      </c>
      <c r="AE105" s="19" t="str">
        <f aca="false">IF(OR(I105="",I105&lt;15,O105=""),"",O105+420)</f>
        <v/>
      </c>
      <c r="AF105" s="19" t="str">
        <f aca="false">IF(OR(I105="",I105&lt;16,O105=""),"",O105+450)</f>
        <v/>
      </c>
      <c r="AG105" s="19" t="str">
        <f aca="false">IF(OR(I105="",I105&lt;17,O105=""),"",O105+480)</f>
        <v/>
      </c>
      <c r="AH105" s="19" t="str">
        <f aca="false">IF(OR(I105="",I105&lt;18,O105=""),"",O105+510)</f>
        <v/>
      </c>
      <c r="AI105" s="19" t="str">
        <f aca="false">IF(OR(I105="",I105&lt;19,O105=""),"",O105+540)</f>
        <v/>
      </c>
      <c r="AJ105" s="19" t="str">
        <f aca="false">IF(OR(I105="",I105&lt;20,O105=""),"",O105+570)</f>
        <v/>
      </c>
      <c r="AK105" s="19" t="str">
        <f aca="false">IF(OR(I105="",I105&lt;21,O105=""),"",O105+600)</f>
        <v/>
      </c>
      <c r="AL105" s="19" t="str">
        <f aca="false">IF(OR(I105="",I105&lt;22,O105=""),"",O105+630)</f>
        <v/>
      </c>
      <c r="AM105" s="19" t="str">
        <f aca="false">IF(OR(I105="",I105&lt;23,O105=""),"",O105+660)</f>
        <v/>
      </c>
      <c r="AN105" s="19" t="str">
        <f aca="false">IF(OR(I105="",I105&lt;24,O105=""),"",O105+690)</f>
        <v/>
      </c>
      <c r="AO105" s="15" t="str">
        <f aca="false">IF(J105="","",COUNTIF(Q105:AN105,TRUE())*J105)</f>
        <v/>
      </c>
      <c r="AP105" s="15" t="str">
        <f aca="false">IF(K105="","",K105-AO105)</f>
        <v/>
      </c>
      <c r="AQ105" s="15" t="str">
        <f aca="false">IF(K105="","",K105-F105-IF(N105="",0,N105))</f>
        <v/>
      </c>
    </row>
    <row r="106" customFormat="false" ht="15" hidden="false" customHeight="false" outlineLevel="0" collapsed="false">
      <c r="A106" s="4"/>
      <c r="B106" s="4"/>
      <c r="C106" s="4"/>
      <c r="D106" s="5"/>
      <c r="E106" s="5"/>
      <c r="F106" s="6"/>
      <c r="G106" s="4"/>
      <c r="H106" s="4"/>
      <c r="I106" s="4"/>
      <c r="J106" s="6"/>
      <c r="K106" s="7" t="str">
        <f aca="false">IF(OR(I106="",J106=""),"",I106*J106)</f>
        <v/>
      </c>
      <c r="L106" s="4"/>
      <c r="M106" s="8"/>
      <c r="N106" s="7" t="str">
        <f aca="false">IF(OR(L106="",M106="",K106=""),"",IF(L106="GANANCIA",(K106-F106)*M106,IF(L106="BRUTO",K106*M106,"")))</f>
        <v/>
      </c>
      <c r="O106" s="9" t="str">
        <f aca="false">IF(D106="","",D106+30)</f>
        <v/>
      </c>
      <c r="P106" s="10" t="str">
        <f aca="false">IF(I106="","",IF(COUNTIF(Q106:AN106,TRUE())&gt;=I106,"PAGADO",IF(COUNTIF(Q106:AN106,TRUE())&gt;0,"PARCIAL","VIGENTE")))</f>
        <v/>
      </c>
      <c r="Q106" s="11" t="str">
        <f aca="false">IF(OR(I106="",I106&lt;1,O106=""),"",O106+0)</f>
        <v/>
      </c>
      <c r="R106" s="11" t="str">
        <f aca="false">IF(OR(I106="",I106&lt;2,O106=""),"",O106+30)</f>
        <v/>
      </c>
      <c r="S106" s="11" t="str">
        <f aca="false">IF(OR(I106="",I106&lt;3,O106=""),"",O106+60)</f>
        <v/>
      </c>
      <c r="T106" s="11" t="str">
        <f aca="false">IF(OR(I106="",I106&lt;4,O106=""),"",O106+90)</f>
        <v/>
      </c>
      <c r="U106" s="11" t="str">
        <f aca="false">IF(OR(I106="",I106&lt;5,O106=""),"",O106+120)</f>
        <v/>
      </c>
      <c r="V106" s="11" t="str">
        <f aca="false">IF(OR(I106="",I106&lt;6,O106=""),"",O106+150)</f>
        <v/>
      </c>
      <c r="W106" s="11" t="str">
        <f aca="false">IF(OR(I106="",I106&lt;7,O106=""),"",O106+180)</f>
        <v/>
      </c>
      <c r="X106" s="11" t="str">
        <f aca="false">IF(OR(I106="",I106&lt;8,O106=""),"",O106+210)</f>
        <v/>
      </c>
      <c r="Y106" s="11" t="str">
        <f aca="false">IF(OR(I106="",I106&lt;9,O106=""),"",O106+240)</f>
        <v/>
      </c>
      <c r="Z106" s="11" t="str">
        <f aca="false">IF(OR(I106="",I106&lt;10,O106=""),"",O106+270)</f>
        <v/>
      </c>
      <c r="AA106" s="11" t="str">
        <f aca="false">IF(OR(I106="",I106&lt;11,O106=""),"",O106+300)</f>
        <v/>
      </c>
      <c r="AB106" s="11" t="str">
        <f aca="false">IF(OR(I106="",I106&lt;12,O106=""),"",O106+330)</f>
        <v/>
      </c>
      <c r="AC106" s="11" t="str">
        <f aca="false">IF(OR(I106="",I106&lt;13,O106=""),"",O106+360)</f>
        <v/>
      </c>
      <c r="AD106" s="11" t="str">
        <f aca="false">IF(OR(I106="",I106&lt;14,O106=""),"",O106+390)</f>
        <v/>
      </c>
      <c r="AE106" s="11" t="str">
        <f aca="false">IF(OR(I106="",I106&lt;15,O106=""),"",O106+420)</f>
        <v/>
      </c>
      <c r="AF106" s="11" t="str">
        <f aca="false">IF(OR(I106="",I106&lt;16,O106=""),"",O106+450)</f>
        <v/>
      </c>
      <c r="AG106" s="11" t="str">
        <f aca="false">IF(OR(I106="",I106&lt;17,O106=""),"",O106+480)</f>
        <v/>
      </c>
      <c r="AH106" s="11" t="str">
        <f aca="false">IF(OR(I106="",I106&lt;18,O106=""),"",O106+510)</f>
        <v/>
      </c>
      <c r="AI106" s="11" t="str">
        <f aca="false">IF(OR(I106="",I106&lt;19,O106=""),"",O106+540)</f>
        <v/>
      </c>
      <c r="AJ106" s="11" t="str">
        <f aca="false">IF(OR(I106="",I106&lt;20,O106=""),"",O106+570)</f>
        <v/>
      </c>
      <c r="AK106" s="11" t="str">
        <f aca="false">IF(OR(I106="",I106&lt;21,O106=""),"",O106+600)</f>
        <v/>
      </c>
      <c r="AL106" s="11" t="str">
        <f aca="false">IF(OR(I106="",I106&lt;22,O106=""),"",O106+630)</f>
        <v/>
      </c>
      <c r="AM106" s="11" t="str">
        <f aca="false">IF(OR(I106="",I106&lt;23,O106=""),"",O106+660)</f>
        <v/>
      </c>
      <c r="AN106" s="11" t="str">
        <f aca="false">IF(OR(I106="",I106&lt;24,O106=""),"",O106+690)</f>
        <v/>
      </c>
      <c r="AO106" s="7" t="str">
        <f aca="false">IF(J106="","",COUNTIF(Q106:AN106,TRUE())*J106)</f>
        <v/>
      </c>
      <c r="AP106" s="7" t="str">
        <f aca="false">IF(K106="","",K106-AO106)</f>
        <v/>
      </c>
      <c r="AQ106" s="7" t="str">
        <f aca="false">IF(K106="","",K106-F106-IF(N106="",0,N106))</f>
        <v/>
      </c>
    </row>
    <row r="107" customFormat="false" ht="15" hidden="false" customHeight="false" outlineLevel="0" collapsed="false">
      <c r="A107" s="12"/>
      <c r="B107" s="12"/>
      <c r="C107" s="12"/>
      <c r="D107" s="13"/>
      <c r="E107" s="13"/>
      <c r="F107" s="14"/>
      <c r="G107" s="12"/>
      <c r="H107" s="12"/>
      <c r="I107" s="12"/>
      <c r="J107" s="14"/>
      <c r="K107" s="15" t="str">
        <f aca="false">IF(OR(I107="",J107=""),"",I107*J107)</f>
        <v/>
      </c>
      <c r="L107" s="12"/>
      <c r="M107" s="16"/>
      <c r="N107" s="15" t="str">
        <f aca="false">IF(OR(L107="",M107="",K107=""),"",IF(L107="GANANCIA",(K107-F107)*M107,IF(L107="BRUTO",K107*M107,"")))</f>
        <v/>
      </c>
      <c r="O107" s="17" t="str">
        <f aca="false">IF(D107="","",D107+30)</f>
        <v/>
      </c>
      <c r="P107" s="18" t="str">
        <f aca="false">IF(I107="","",IF(COUNTIF(Q107:AN107,TRUE())&gt;=I107,"PAGADO",IF(COUNTIF(Q107:AN107,TRUE())&gt;0,"PARCIAL","VIGENTE")))</f>
        <v/>
      </c>
      <c r="Q107" s="19" t="str">
        <f aca="false">IF(OR(I107="",I107&lt;1,O107=""),"",O107+0)</f>
        <v/>
      </c>
      <c r="R107" s="19" t="str">
        <f aca="false">IF(OR(I107="",I107&lt;2,O107=""),"",O107+30)</f>
        <v/>
      </c>
      <c r="S107" s="19" t="str">
        <f aca="false">IF(OR(I107="",I107&lt;3,O107=""),"",O107+60)</f>
        <v/>
      </c>
      <c r="T107" s="19" t="str">
        <f aca="false">IF(OR(I107="",I107&lt;4,O107=""),"",O107+90)</f>
        <v/>
      </c>
      <c r="U107" s="19" t="str">
        <f aca="false">IF(OR(I107="",I107&lt;5,O107=""),"",O107+120)</f>
        <v/>
      </c>
      <c r="V107" s="19" t="str">
        <f aca="false">IF(OR(I107="",I107&lt;6,O107=""),"",O107+150)</f>
        <v/>
      </c>
      <c r="W107" s="19" t="str">
        <f aca="false">IF(OR(I107="",I107&lt;7,O107=""),"",O107+180)</f>
        <v/>
      </c>
      <c r="X107" s="19" t="str">
        <f aca="false">IF(OR(I107="",I107&lt;8,O107=""),"",O107+210)</f>
        <v/>
      </c>
      <c r="Y107" s="19" t="str">
        <f aca="false">IF(OR(I107="",I107&lt;9,O107=""),"",O107+240)</f>
        <v/>
      </c>
      <c r="Z107" s="19" t="str">
        <f aca="false">IF(OR(I107="",I107&lt;10,O107=""),"",O107+270)</f>
        <v/>
      </c>
      <c r="AA107" s="19" t="str">
        <f aca="false">IF(OR(I107="",I107&lt;11,O107=""),"",O107+300)</f>
        <v/>
      </c>
      <c r="AB107" s="19" t="str">
        <f aca="false">IF(OR(I107="",I107&lt;12,O107=""),"",O107+330)</f>
        <v/>
      </c>
      <c r="AC107" s="19" t="str">
        <f aca="false">IF(OR(I107="",I107&lt;13,O107=""),"",O107+360)</f>
        <v/>
      </c>
      <c r="AD107" s="19" t="str">
        <f aca="false">IF(OR(I107="",I107&lt;14,O107=""),"",O107+390)</f>
        <v/>
      </c>
      <c r="AE107" s="19" t="str">
        <f aca="false">IF(OR(I107="",I107&lt;15,O107=""),"",O107+420)</f>
        <v/>
      </c>
      <c r="AF107" s="19" t="str">
        <f aca="false">IF(OR(I107="",I107&lt;16,O107=""),"",O107+450)</f>
        <v/>
      </c>
      <c r="AG107" s="19" t="str">
        <f aca="false">IF(OR(I107="",I107&lt;17,O107=""),"",O107+480)</f>
        <v/>
      </c>
      <c r="AH107" s="19" t="str">
        <f aca="false">IF(OR(I107="",I107&lt;18,O107=""),"",O107+510)</f>
        <v/>
      </c>
      <c r="AI107" s="19" t="str">
        <f aca="false">IF(OR(I107="",I107&lt;19,O107=""),"",O107+540)</f>
        <v/>
      </c>
      <c r="AJ107" s="19" t="str">
        <f aca="false">IF(OR(I107="",I107&lt;20,O107=""),"",O107+570)</f>
        <v/>
      </c>
      <c r="AK107" s="19" t="str">
        <f aca="false">IF(OR(I107="",I107&lt;21,O107=""),"",O107+600)</f>
        <v/>
      </c>
      <c r="AL107" s="19" t="str">
        <f aca="false">IF(OR(I107="",I107&lt;22,O107=""),"",O107+630)</f>
        <v/>
      </c>
      <c r="AM107" s="19" t="str">
        <f aca="false">IF(OR(I107="",I107&lt;23,O107=""),"",O107+660)</f>
        <v/>
      </c>
      <c r="AN107" s="19" t="str">
        <f aca="false">IF(OR(I107="",I107&lt;24,O107=""),"",O107+690)</f>
        <v/>
      </c>
      <c r="AO107" s="15" t="str">
        <f aca="false">IF(J107="","",COUNTIF(Q107:AN107,TRUE())*J107)</f>
        <v/>
      </c>
      <c r="AP107" s="15" t="str">
        <f aca="false">IF(K107="","",K107-AO107)</f>
        <v/>
      </c>
      <c r="AQ107" s="15" t="str">
        <f aca="false">IF(K107="","",K107-F107-IF(N107="",0,N107))</f>
        <v/>
      </c>
    </row>
    <row r="108" customFormat="false" ht="15" hidden="false" customHeight="false" outlineLevel="0" collapsed="false">
      <c r="A108" s="4"/>
      <c r="B108" s="4"/>
      <c r="C108" s="4"/>
      <c r="D108" s="5"/>
      <c r="E108" s="5"/>
      <c r="F108" s="6"/>
      <c r="G108" s="4"/>
      <c r="H108" s="4"/>
      <c r="I108" s="4"/>
      <c r="J108" s="6"/>
      <c r="K108" s="7" t="str">
        <f aca="false">IF(OR(I108="",J108=""),"",I108*J108)</f>
        <v/>
      </c>
      <c r="L108" s="4"/>
      <c r="M108" s="8"/>
      <c r="N108" s="7" t="str">
        <f aca="false">IF(OR(L108="",M108="",K108=""),"",IF(L108="GANANCIA",(K108-F108)*M108,IF(L108="BRUTO",K108*M108,"")))</f>
        <v/>
      </c>
      <c r="O108" s="9" t="str">
        <f aca="false">IF(D108="","",D108+30)</f>
        <v/>
      </c>
      <c r="P108" s="10" t="str">
        <f aca="false">IF(I108="","",IF(COUNTIF(Q108:AN108,TRUE())&gt;=I108,"PAGADO",IF(COUNTIF(Q108:AN108,TRUE())&gt;0,"PARCIAL","VIGENTE")))</f>
        <v/>
      </c>
      <c r="Q108" s="11" t="str">
        <f aca="false">IF(OR(I108="",I108&lt;1,O108=""),"",O108+0)</f>
        <v/>
      </c>
      <c r="R108" s="11" t="str">
        <f aca="false">IF(OR(I108="",I108&lt;2,O108=""),"",O108+30)</f>
        <v/>
      </c>
      <c r="S108" s="11" t="str">
        <f aca="false">IF(OR(I108="",I108&lt;3,O108=""),"",O108+60)</f>
        <v/>
      </c>
      <c r="T108" s="11" t="str">
        <f aca="false">IF(OR(I108="",I108&lt;4,O108=""),"",O108+90)</f>
        <v/>
      </c>
      <c r="U108" s="11" t="str">
        <f aca="false">IF(OR(I108="",I108&lt;5,O108=""),"",O108+120)</f>
        <v/>
      </c>
      <c r="V108" s="11" t="str">
        <f aca="false">IF(OR(I108="",I108&lt;6,O108=""),"",O108+150)</f>
        <v/>
      </c>
      <c r="W108" s="11" t="str">
        <f aca="false">IF(OR(I108="",I108&lt;7,O108=""),"",O108+180)</f>
        <v/>
      </c>
      <c r="X108" s="11" t="str">
        <f aca="false">IF(OR(I108="",I108&lt;8,O108=""),"",O108+210)</f>
        <v/>
      </c>
      <c r="Y108" s="11" t="str">
        <f aca="false">IF(OR(I108="",I108&lt;9,O108=""),"",O108+240)</f>
        <v/>
      </c>
      <c r="Z108" s="11" t="str">
        <f aca="false">IF(OR(I108="",I108&lt;10,O108=""),"",O108+270)</f>
        <v/>
      </c>
      <c r="AA108" s="11" t="str">
        <f aca="false">IF(OR(I108="",I108&lt;11,O108=""),"",O108+300)</f>
        <v/>
      </c>
      <c r="AB108" s="11" t="str">
        <f aca="false">IF(OR(I108="",I108&lt;12,O108=""),"",O108+330)</f>
        <v/>
      </c>
      <c r="AC108" s="11" t="str">
        <f aca="false">IF(OR(I108="",I108&lt;13,O108=""),"",O108+360)</f>
        <v/>
      </c>
      <c r="AD108" s="11" t="str">
        <f aca="false">IF(OR(I108="",I108&lt;14,O108=""),"",O108+390)</f>
        <v/>
      </c>
      <c r="AE108" s="11" t="str">
        <f aca="false">IF(OR(I108="",I108&lt;15,O108=""),"",O108+420)</f>
        <v/>
      </c>
      <c r="AF108" s="11" t="str">
        <f aca="false">IF(OR(I108="",I108&lt;16,O108=""),"",O108+450)</f>
        <v/>
      </c>
      <c r="AG108" s="11" t="str">
        <f aca="false">IF(OR(I108="",I108&lt;17,O108=""),"",O108+480)</f>
        <v/>
      </c>
      <c r="AH108" s="11" t="str">
        <f aca="false">IF(OR(I108="",I108&lt;18,O108=""),"",O108+510)</f>
        <v/>
      </c>
      <c r="AI108" s="11" t="str">
        <f aca="false">IF(OR(I108="",I108&lt;19,O108=""),"",O108+540)</f>
        <v/>
      </c>
      <c r="AJ108" s="11" t="str">
        <f aca="false">IF(OR(I108="",I108&lt;20,O108=""),"",O108+570)</f>
        <v/>
      </c>
      <c r="AK108" s="11" t="str">
        <f aca="false">IF(OR(I108="",I108&lt;21,O108=""),"",O108+600)</f>
        <v/>
      </c>
      <c r="AL108" s="11" t="str">
        <f aca="false">IF(OR(I108="",I108&lt;22,O108=""),"",O108+630)</f>
        <v/>
      </c>
      <c r="AM108" s="11" t="str">
        <f aca="false">IF(OR(I108="",I108&lt;23,O108=""),"",O108+660)</f>
        <v/>
      </c>
      <c r="AN108" s="11" t="str">
        <f aca="false">IF(OR(I108="",I108&lt;24,O108=""),"",O108+690)</f>
        <v/>
      </c>
      <c r="AO108" s="7" t="str">
        <f aca="false">IF(J108="","",COUNTIF(Q108:AN108,TRUE())*J108)</f>
        <v/>
      </c>
      <c r="AP108" s="7" t="str">
        <f aca="false">IF(K108="","",K108-AO108)</f>
        <v/>
      </c>
      <c r="AQ108" s="7" t="str">
        <f aca="false">IF(K108="","",K108-F108-IF(N108="",0,N108))</f>
        <v/>
      </c>
    </row>
    <row r="109" customFormat="false" ht="15" hidden="false" customHeight="false" outlineLevel="0" collapsed="false">
      <c r="A109" s="12"/>
      <c r="B109" s="12"/>
      <c r="C109" s="12"/>
      <c r="D109" s="13"/>
      <c r="E109" s="13"/>
      <c r="F109" s="14"/>
      <c r="G109" s="12"/>
      <c r="H109" s="12"/>
      <c r="I109" s="12"/>
      <c r="J109" s="14"/>
      <c r="K109" s="15" t="str">
        <f aca="false">IF(OR(I109="",J109=""),"",I109*J109)</f>
        <v/>
      </c>
      <c r="L109" s="12"/>
      <c r="M109" s="16"/>
      <c r="N109" s="15" t="str">
        <f aca="false">IF(OR(L109="",M109="",K109=""),"",IF(L109="GANANCIA",(K109-F109)*M109,IF(L109="BRUTO",K109*M109,"")))</f>
        <v/>
      </c>
      <c r="O109" s="17" t="str">
        <f aca="false">IF(D109="","",D109+30)</f>
        <v/>
      </c>
      <c r="P109" s="18" t="str">
        <f aca="false">IF(I109="","",IF(COUNTIF(Q109:AN109,TRUE())&gt;=I109,"PAGADO",IF(COUNTIF(Q109:AN109,TRUE())&gt;0,"PARCIAL","VIGENTE")))</f>
        <v/>
      </c>
      <c r="Q109" s="19" t="str">
        <f aca="false">IF(OR(I109="",I109&lt;1,O109=""),"",O109+0)</f>
        <v/>
      </c>
      <c r="R109" s="19" t="str">
        <f aca="false">IF(OR(I109="",I109&lt;2,O109=""),"",O109+30)</f>
        <v/>
      </c>
      <c r="S109" s="19" t="str">
        <f aca="false">IF(OR(I109="",I109&lt;3,O109=""),"",O109+60)</f>
        <v/>
      </c>
      <c r="T109" s="19" t="str">
        <f aca="false">IF(OR(I109="",I109&lt;4,O109=""),"",O109+90)</f>
        <v/>
      </c>
      <c r="U109" s="19" t="str">
        <f aca="false">IF(OR(I109="",I109&lt;5,O109=""),"",O109+120)</f>
        <v/>
      </c>
      <c r="V109" s="19" t="str">
        <f aca="false">IF(OR(I109="",I109&lt;6,O109=""),"",O109+150)</f>
        <v/>
      </c>
      <c r="W109" s="19" t="str">
        <f aca="false">IF(OR(I109="",I109&lt;7,O109=""),"",O109+180)</f>
        <v/>
      </c>
      <c r="X109" s="19" t="str">
        <f aca="false">IF(OR(I109="",I109&lt;8,O109=""),"",O109+210)</f>
        <v/>
      </c>
      <c r="Y109" s="19" t="str">
        <f aca="false">IF(OR(I109="",I109&lt;9,O109=""),"",O109+240)</f>
        <v/>
      </c>
      <c r="Z109" s="19" t="str">
        <f aca="false">IF(OR(I109="",I109&lt;10,O109=""),"",O109+270)</f>
        <v/>
      </c>
      <c r="AA109" s="19" t="str">
        <f aca="false">IF(OR(I109="",I109&lt;11,O109=""),"",O109+300)</f>
        <v/>
      </c>
      <c r="AB109" s="19" t="str">
        <f aca="false">IF(OR(I109="",I109&lt;12,O109=""),"",O109+330)</f>
        <v/>
      </c>
      <c r="AC109" s="19" t="str">
        <f aca="false">IF(OR(I109="",I109&lt;13,O109=""),"",O109+360)</f>
        <v/>
      </c>
      <c r="AD109" s="19" t="str">
        <f aca="false">IF(OR(I109="",I109&lt;14,O109=""),"",O109+390)</f>
        <v/>
      </c>
      <c r="AE109" s="19" t="str">
        <f aca="false">IF(OR(I109="",I109&lt;15,O109=""),"",O109+420)</f>
        <v/>
      </c>
      <c r="AF109" s="19" t="str">
        <f aca="false">IF(OR(I109="",I109&lt;16,O109=""),"",O109+450)</f>
        <v/>
      </c>
      <c r="AG109" s="19" t="str">
        <f aca="false">IF(OR(I109="",I109&lt;17,O109=""),"",O109+480)</f>
        <v/>
      </c>
      <c r="AH109" s="19" t="str">
        <f aca="false">IF(OR(I109="",I109&lt;18,O109=""),"",O109+510)</f>
        <v/>
      </c>
      <c r="AI109" s="19" t="str">
        <f aca="false">IF(OR(I109="",I109&lt;19,O109=""),"",O109+540)</f>
        <v/>
      </c>
      <c r="AJ109" s="19" t="str">
        <f aca="false">IF(OR(I109="",I109&lt;20,O109=""),"",O109+570)</f>
        <v/>
      </c>
      <c r="AK109" s="19" t="str">
        <f aca="false">IF(OR(I109="",I109&lt;21,O109=""),"",O109+600)</f>
        <v/>
      </c>
      <c r="AL109" s="19" t="str">
        <f aca="false">IF(OR(I109="",I109&lt;22,O109=""),"",O109+630)</f>
        <v/>
      </c>
      <c r="AM109" s="19" t="str">
        <f aca="false">IF(OR(I109="",I109&lt;23,O109=""),"",O109+660)</f>
        <v/>
      </c>
      <c r="AN109" s="19" t="str">
        <f aca="false">IF(OR(I109="",I109&lt;24,O109=""),"",O109+690)</f>
        <v/>
      </c>
      <c r="AO109" s="15" t="str">
        <f aca="false">IF(J109="","",COUNTIF(Q109:AN109,TRUE())*J109)</f>
        <v/>
      </c>
      <c r="AP109" s="15" t="str">
        <f aca="false">IF(K109="","",K109-AO109)</f>
        <v/>
      </c>
      <c r="AQ109" s="15" t="str">
        <f aca="false">IF(K109="","",K109-F109-IF(N109="",0,N109))</f>
        <v/>
      </c>
    </row>
    <row r="110" customFormat="false" ht="15" hidden="false" customHeight="false" outlineLevel="0" collapsed="false">
      <c r="A110" s="4"/>
      <c r="B110" s="4"/>
      <c r="C110" s="4"/>
      <c r="D110" s="5"/>
      <c r="E110" s="5"/>
      <c r="F110" s="6"/>
      <c r="G110" s="4"/>
      <c r="H110" s="4"/>
      <c r="I110" s="4"/>
      <c r="J110" s="6"/>
      <c r="K110" s="7" t="str">
        <f aca="false">IF(OR(I110="",J110=""),"",I110*J110)</f>
        <v/>
      </c>
      <c r="L110" s="4"/>
      <c r="M110" s="8"/>
      <c r="N110" s="7" t="str">
        <f aca="false">IF(OR(L110="",M110="",K110=""),"",IF(L110="GANANCIA",(K110-F110)*M110,IF(L110="BRUTO",K110*M110,"")))</f>
        <v/>
      </c>
      <c r="O110" s="9" t="str">
        <f aca="false">IF(D110="","",D110+30)</f>
        <v/>
      </c>
      <c r="P110" s="10" t="str">
        <f aca="false">IF(I110="","",IF(COUNTIF(Q110:AN110,TRUE())&gt;=I110,"PAGADO",IF(COUNTIF(Q110:AN110,TRUE())&gt;0,"PARCIAL","VIGENTE")))</f>
        <v/>
      </c>
      <c r="Q110" s="11" t="str">
        <f aca="false">IF(OR(I110="",I110&lt;1,O110=""),"",O110+0)</f>
        <v/>
      </c>
      <c r="R110" s="11" t="str">
        <f aca="false">IF(OR(I110="",I110&lt;2,O110=""),"",O110+30)</f>
        <v/>
      </c>
      <c r="S110" s="11" t="str">
        <f aca="false">IF(OR(I110="",I110&lt;3,O110=""),"",O110+60)</f>
        <v/>
      </c>
      <c r="T110" s="11" t="str">
        <f aca="false">IF(OR(I110="",I110&lt;4,O110=""),"",O110+90)</f>
        <v/>
      </c>
      <c r="U110" s="11" t="str">
        <f aca="false">IF(OR(I110="",I110&lt;5,O110=""),"",O110+120)</f>
        <v/>
      </c>
      <c r="V110" s="11" t="str">
        <f aca="false">IF(OR(I110="",I110&lt;6,O110=""),"",O110+150)</f>
        <v/>
      </c>
      <c r="W110" s="11" t="str">
        <f aca="false">IF(OR(I110="",I110&lt;7,O110=""),"",O110+180)</f>
        <v/>
      </c>
      <c r="X110" s="11" t="str">
        <f aca="false">IF(OR(I110="",I110&lt;8,O110=""),"",O110+210)</f>
        <v/>
      </c>
      <c r="Y110" s="11" t="str">
        <f aca="false">IF(OR(I110="",I110&lt;9,O110=""),"",O110+240)</f>
        <v/>
      </c>
      <c r="Z110" s="11" t="str">
        <f aca="false">IF(OR(I110="",I110&lt;10,O110=""),"",O110+270)</f>
        <v/>
      </c>
      <c r="AA110" s="11" t="str">
        <f aca="false">IF(OR(I110="",I110&lt;11,O110=""),"",O110+300)</f>
        <v/>
      </c>
      <c r="AB110" s="11" t="str">
        <f aca="false">IF(OR(I110="",I110&lt;12,O110=""),"",O110+330)</f>
        <v/>
      </c>
      <c r="AC110" s="11" t="str">
        <f aca="false">IF(OR(I110="",I110&lt;13,O110=""),"",O110+360)</f>
        <v/>
      </c>
      <c r="AD110" s="11" t="str">
        <f aca="false">IF(OR(I110="",I110&lt;14,O110=""),"",O110+390)</f>
        <v/>
      </c>
      <c r="AE110" s="11" t="str">
        <f aca="false">IF(OR(I110="",I110&lt;15,O110=""),"",O110+420)</f>
        <v/>
      </c>
      <c r="AF110" s="11" t="str">
        <f aca="false">IF(OR(I110="",I110&lt;16,O110=""),"",O110+450)</f>
        <v/>
      </c>
      <c r="AG110" s="11" t="str">
        <f aca="false">IF(OR(I110="",I110&lt;17,O110=""),"",O110+480)</f>
        <v/>
      </c>
      <c r="AH110" s="11" t="str">
        <f aca="false">IF(OR(I110="",I110&lt;18,O110=""),"",O110+510)</f>
        <v/>
      </c>
      <c r="AI110" s="11" t="str">
        <f aca="false">IF(OR(I110="",I110&lt;19,O110=""),"",O110+540)</f>
        <v/>
      </c>
      <c r="AJ110" s="11" t="str">
        <f aca="false">IF(OR(I110="",I110&lt;20,O110=""),"",O110+570)</f>
        <v/>
      </c>
      <c r="AK110" s="11" t="str">
        <f aca="false">IF(OR(I110="",I110&lt;21,O110=""),"",O110+600)</f>
        <v/>
      </c>
      <c r="AL110" s="11" t="str">
        <f aca="false">IF(OR(I110="",I110&lt;22,O110=""),"",O110+630)</f>
        <v/>
      </c>
      <c r="AM110" s="11" t="str">
        <f aca="false">IF(OR(I110="",I110&lt;23,O110=""),"",O110+660)</f>
        <v/>
      </c>
      <c r="AN110" s="11" t="str">
        <f aca="false">IF(OR(I110="",I110&lt;24,O110=""),"",O110+690)</f>
        <v/>
      </c>
      <c r="AO110" s="7" t="str">
        <f aca="false">IF(J110="","",COUNTIF(Q110:AN110,TRUE())*J110)</f>
        <v/>
      </c>
      <c r="AP110" s="7" t="str">
        <f aca="false">IF(K110="","",K110-AO110)</f>
        <v/>
      </c>
      <c r="AQ110" s="7" t="str">
        <f aca="false">IF(K110="","",K110-F110-IF(N110="",0,N110))</f>
        <v/>
      </c>
    </row>
    <row r="111" customFormat="false" ht="15" hidden="false" customHeight="false" outlineLevel="0" collapsed="false">
      <c r="A111" s="12"/>
      <c r="B111" s="12"/>
      <c r="C111" s="12"/>
      <c r="D111" s="13"/>
      <c r="E111" s="13"/>
      <c r="F111" s="14"/>
      <c r="G111" s="12"/>
      <c r="H111" s="12"/>
      <c r="I111" s="12"/>
      <c r="J111" s="14"/>
      <c r="K111" s="15" t="str">
        <f aca="false">IF(OR(I111="",J111=""),"",I111*J111)</f>
        <v/>
      </c>
      <c r="L111" s="12"/>
      <c r="M111" s="16"/>
      <c r="N111" s="15" t="str">
        <f aca="false">IF(OR(L111="",M111="",K111=""),"",IF(L111="GANANCIA",(K111-F111)*M111,IF(L111="BRUTO",K111*M111,"")))</f>
        <v/>
      </c>
      <c r="O111" s="17" t="str">
        <f aca="false">IF(D111="","",D111+30)</f>
        <v/>
      </c>
      <c r="P111" s="18" t="str">
        <f aca="false">IF(I111="","",IF(COUNTIF(Q111:AN111,TRUE())&gt;=I111,"PAGADO",IF(COUNTIF(Q111:AN111,TRUE())&gt;0,"PARCIAL","VIGENTE")))</f>
        <v/>
      </c>
      <c r="Q111" s="19" t="str">
        <f aca="false">IF(OR(I111="",I111&lt;1,O111=""),"",O111+0)</f>
        <v/>
      </c>
      <c r="R111" s="19" t="str">
        <f aca="false">IF(OR(I111="",I111&lt;2,O111=""),"",O111+30)</f>
        <v/>
      </c>
      <c r="S111" s="19" t="str">
        <f aca="false">IF(OR(I111="",I111&lt;3,O111=""),"",O111+60)</f>
        <v/>
      </c>
      <c r="T111" s="19" t="str">
        <f aca="false">IF(OR(I111="",I111&lt;4,O111=""),"",O111+90)</f>
        <v/>
      </c>
      <c r="U111" s="19" t="str">
        <f aca="false">IF(OR(I111="",I111&lt;5,O111=""),"",O111+120)</f>
        <v/>
      </c>
      <c r="V111" s="19" t="str">
        <f aca="false">IF(OR(I111="",I111&lt;6,O111=""),"",O111+150)</f>
        <v/>
      </c>
      <c r="W111" s="19" t="str">
        <f aca="false">IF(OR(I111="",I111&lt;7,O111=""),"",O111+180)</f>
        <v/>
      </c>
      <c r="X111" s="19" t="str">
        <f aca="false">IF(OR(I111="",I111&lt;8,O111=""),"",O111+210)</f>
        <v/>
      </c>
      <c r="Y111" s="19" t="str">
        <f aca="false">IF(OR(I111="",I111&lt;9,O111=""),"",O111+240)</f>
        <v/>
      </c>
      <c r="Z111" s="19" t="str">
        <f aca="false">IF(OR(I111="",I111&lt;10,O111=""),"",O111+270)</f>
        <v/>
      </c>
      <c r="AA111" s="19" t="str">
        <f aca="false">IF(OR(I111="",I111&lt;11,O111=""),"",O111+300)</f>
        <v/>
      </c>
      <c r="AB111" s="19" t="str">
        <f aca="false">IF(OR(I111="",I111&lt;12,O111=""),"",O111+330)</f>
        <v/>
      </c>
      <c r="AC111" s="19" t="str">
        <f aca="false">IF(OR(I111="",I111&lt;13,O111=""),"",O111+360)</f>
        <v/>
      </c>
      <c r="AD111" s="19" t="str">
        <f aca="false">IF(OR(I111="",I111&lt;14,O111=""),"",O111+390)</f>
        <v/>
      </c>
      <c r="AE111" s="19" t="str">
        <f aca="false">IF(OR(I111="",I111&lt;15,O111=""),"",O111+420)</f>
        <v/>
      </c>
      <c r="AF111" s="19" t="str">
        <f aca="false">IF(OR(I111="",I111&lt;16,O111=""),"",O111+450)</f>
        <v/>
      </c>
      <c r="AG111" s="19" t="str">
        <f aca="false">IF(OR(I111="",I111&lt;17,O111=""),"",O111+480)</f>
        <v/>
      </c>
      <c r="AH111" s="19" t="str">
        <f aca="false">IF(OR(I111="",I111&lt;18,O111=""),"",O111+510)</f>
        <v/>
      </c>
      <c r="AI111" s="19" t="str">
        <f aca="false">IF(OR(I111="",I111&lt;19,O111=""),"",O111+540)</f>
        <v/>
      </c>
      <c r="AJ111" s="19" t="str">
        <f aca="false">IF(OR(I111="",I111&lt;20,O111=""),"",O111+570)</f>
        <v/>
      </c>
      <c r="AK111" s="19" t="str">
        <f aca="false">IF(OR(I111="",I111&lt;21,O111=""),"",O111+600)</f>
        <v/>
      </c>
      <c r="AL111" s="19" t="str">
        <f aca="false">IF(OR(I111="",I111&lt;22,O111=""),"",O111+630)</f>
        <v/>
      </c>
      <c r="AM111" s="19" t="str">
        <f aca="false">IF(OR(I111="",I111&lt;23,O111=""),"",O111+660)</f>
        <v/>
      </c>
      <c r="AN111" s="19" t="str">
        <f aca="false">IF(OR(I111="",I111&lt;24,O111=""),"",O111+690)</f>
        <v/>
      </c>
      <c r="AO111" s="15" t="str">
        <f aca="false">IF(J111="","",COUNTIF(Q111:AN111,TRUE())*J111)</f>
        <v/>
      </c>
      <c r="AP111" s="15" t="str">
        <f aca="false">IF(K111="","",K111-AO111)</f>
        <v/>
      </c>
      <c r="AQ111" s="15" t="str">
        <f aca="false">IF(K111="","",K111-F111-IF(N111="",0,N111))</f>
        <v/>
      </c>
    </row>
    <row r="112" customFormat="false" ht="15" hidden="false" customHeight="false" outlineLevel="0" collapsed="false">
      <c r="A112" s="4"/>
      <c r="B112" s="4"/>
      <c r="C112" s="4"/>
      <c r="D112" s="5"/>
      <c r="E112" s="5"/>
      <c r="F112" s="6"/>
      <c r="G112" s="4"/>
      <c r="H112" s="4"/>
      <c r="I112" s="4"/>
      <c r="J112" s="6"/>
      <c r="K112" s="7" t="str">
        <f aca="false">IF(OR(I112="",J112=""),"",I112*J112)</f>
        <v/>
      </c>
      <c r="L112" s="4"/>
      <c r="M112" s="8"/>
      <c r="N112" s="7" t="str">
        <f aca="false">IF(OR(L112="",M112="",K112=""),"",IF(L112="GANANCIA",(K112-F112)*M112,IF(L112="BRUTO",K112*M112,"")))</f>
        <v/>
      </c>
      <c r="O112" s="9" t="str">
        <f aca="false">IF(D112="","",D112+30)</f>
        <v/>
      </c>
      <c r="P112" s="10" t="str">
        <f aca="false">IF(I112="","",IF(COUNTIF(Q112:AN112,TRUE())&gt;=I112,"PAGADO",IF(COUNTIF(Q112:AN112,TRUE())&gt;0,"PARCIAL","VIGENTE")))</f>
        <v/>
      </c>
      <c r="Q112" s="11" t="str">
        <f aca="false">IF(OR(I112="",I112&lt;1,O112=""),"",O112+0)</f>
        <v/>
      </c>
      <c r="R112" s="11" t="str">
        <f aca="false">IF(OR(I112="",I112&lt;2,O112=""),"",O112+30)</f>
        <v/>
      </c>
      <c r="S112" s="11" t="str">
        <f aca="false">IF(OR(I112="",I112&lt;3,O112=""),"",O112+60)</f>
        <v/>
      </c>
      <c r="T112" s="11" t="str">
        <f aca="false">IF(OR(I112="",I112&lt;4,O112=""),"",O112+90)</f>
        <v/>
      </c>
      <c r="U112" s="11" t="str">
        <f aca="false">IF(OR(I112="",I112&lt;5,O112=""),"",O112+120)</f>
        <v/>
      </c>
      <c r="V112" s="11" t="str">
        <f aca="false">IF(OR(I112="",I112&lt;6,O112=""),"",O112+150)</f>
        <v/>
      </c>
      <c r="W112" s="11" t="str">
        <f aca="false">IF(OR(I112="",I112&lt;7,O112=""),"",O112+180)</f>
        <v/>
      </c>
      <c r="X112" s="11" t="str">
        <f aca="false">IF(OR(I112="",I112&lt;8,O112=""),"",O112+210)</f>
        <v/>
      </c>
      <c r="Y112" s="11" t="str">
        <f aca="false">IF(OR(I112="",I112&lt;9,O112=""),"",O112+240)</f>
        <v/>
      </c>
      <c r="Z112" s="11" t="str">
        <f aca="false">IF(OR(I112="",I112&lt;10,O112=""),"",O112+270)</f>
        <v/>
      </c>
      <c r="AA112" s="11" t="str">
        <f aca="false">IF(OR(I112="",I112&lt;11,O112=""),"",O112+300)</f>
        <v/>
      </c>
      <c r="AB112" s="11" t="str">
        <f aca="false">IF(OR(I112="",I112&lt;12,O112=""),"",O112+330)</f>
        <v/>
      </c>
      <c r="AC112" s="11" t="str">
        <f aca="false">IF(OR(I112="",I112&lt;13,O112=""),"",O112+360)</f>
        <v/>
      </c>
      <c r="AD112" s="11" t="str">
        <f aca="false">IF(OR(I112="",I112&lt;14,O112=""),"",O112+390)</f>
        <v/>
      </c>
      <c r="AE112" s="11" t="str">
        <f aca="false">IF(OR(I112="",I112&lt;15,O112=""),"",O112+420)</f>
        <v/>
      </c>
      <c r="AF112" s="11" t="str">
        <f aca="false">IF(OR(I112="",I112&lt;16,O112=""),"",O112+450)</f>
        <v/>
      </c>
      <c r="AG112" s="11" t="str">
        <f aca="false">IF(OR(I112="",I112&lt;17,O112=""),"",O112+480)</f>
        <v/>
      </c>
      <c r="AH112" s="11" t="str">
        <f aca="false">IF(OR(I112="",I112&lt;18,O112=""),"",O112+510)</f>
        <v/>
      </c>
      <c r="AI112" s="11" t="str">
        <f aca="false">IF(OR(I112="",I112&lt;19,O112=""),"",O112+540)</f>
        <v/>
      </c>
      <c r="AJ112" s="11" t="str">
        <f aca="false">IF(OR(I112="",I112&lt;20,O112=""),"",O112+570)</f>
        <v/>
      </c>
      <c r="AK112" s="11" t="str">
        <f aca="false">IF(OR(I112="",I112&lt;21,O112=""),"",O112+600)</f>
        <v/>
      </c>
      <c r="AL112" s="11" t="str">
        <f aca="false">IF(OR(I112="",I112&lt;22,O112=""),"",O112+630)</f>
        <v/>
      </c>
      <c r="AM112" s="11" t="str">
        <f aca="false">IF(OR(I112="",I112&lt;23,O112=""),"",O112+660)</f>
        <v/>
      </c>
      <c r="AN112" s="11" t="str">
        <f aca="false">IF(OR(I112="",I112&lt;24,O112=""),"",O112+690)</f>
        <v/>
      </c>
      <c r="AO112" s="7" t="str">
        <f aca="false">IF(J112="","",COUNTIF(Q112:AN112,TRUE())*J112)</f>
        <v/>
      </c>
      <c r="AP112" s="7" t="str">
        <f aca="false">IF(K112="","",K112-AO112)</f>
        <v/>
      </c>
      <c r="AQ112" s="7" t="str">
        <f aca="false">IF(K112="","",K112-F112-IF(N112="",0,N112))</f>
        <v/>
      </c>
    </row>
    <row r="113" customFormat="false" ht="15" hidden="false" customHeight="false" outlineLevel="0" collapsed="false">
      <c r="A113" s="12"/>
      <c r="B113" s="12"/>
      <c r="C113" s="12"/>
      <c r="D113" s="13"/>
      <c r="E113" s="13"/>
      <c r="F113" s="14"/>
      <c r="G113" s="12"/>
      <c r="H113" s="12"/>
      <c r="I113" s="12"/>
      <c r="J113" s="14"/>
      <c r="K113" s="15" t="str">
        <f aca="false">IF(OR(I113="",J113=""),"",I113*J113)</f>
        <v/>
      </c>
      <c r="L113" s="12"/>
      <c r="M113" s="16"/>
      <c r="N113" s="15" t="str">
        <f aca="false">IF(OR(L113="",M113="",K113=""),"",IF(L113="GANANCIA",(K113-F113)*M113,IF(L113="BRUTO",K113*M113,"")))</f>
        <v/>
      </c>
      <c r="O113" s="17" t="str">
        <f aca="false">IF(D113="","",D113+30)</f>
        <v/>
      </c>
      <c r="P113" s="18" t="str">
        <f aca="false">IF(I113="","",IF(COUNTIF(Q113:AN113,TRUE())&gt;=I113,"PAGADO",IF(COUNTIF(Q113:AN113,TRUE())&gt;0,"PARCIAL","VIGENTE")))</f>
        <v/>
      </c>
      <c r="Q113" s="19" t="str">
        <f aca="false">IF(OR(I113="",I113&lt;1,O113=""),"",O113+0)</f>
        <v/>
      </c>
      <c r="R113" s="19" t="str">
        <f aca="false">IF(OR(I113="",I113&lt;2,O113=""),"",O113+30)</f>
        <v/>
      </c>
      <c r="S113" s="19" t="str">
        <f aca="false">IF(OR(I113="",I113&lt;3,O113=""),"",O113+60)</f>
        <v/>
      </c>
      <c r="T113" s="19" t="str">
        <f aca="false">IF(OR(I113="",I113&lt;4,O113=""),"",O113+90)</f>
        <v/>
      </c>
      <c r="U113" s="19" t="str">
        <f aca="false">IF(OR(I113="",I113&lt;5,O113=""),"",O113+120)</f>
        <v/>
      </c>
      <c r="V113" s="19" t="str">
        <f aca="false">IF(OR(I113="",I113&lt;6,O113=""),"",O113+150)</f>
        <v/>
      </c>
      <c r="W113" s="19" t="str">
        <f aca="false">IF(OR(I113="",I113&lt;7,O113=""),"",O113+180)</f>
        <v/>
      </c>
      <c r="X113" s="19" t="str">
        <f aca="false">IF(OR(I113="",I113&lt;8,O113=""),"",O113+210)</f>
        <v/>
      </c>
      <c r="Y113" s="19" t="str">
        <f aca="false">IF(OR(I113="",I113&lt;9,O113=""),"",O113+240)</f>
        <v/>
      </c>
      <c r="Z113" s="19" t="str">
        <f aca="false">IF(OR(I113="",I113&lt;10,O113=""),"",O113+270)</f>
        <v/>
      </c>
      <c r="AA113" s="19" t="str">
        <f aca="false">IF(OR(I113="",I113&lt;11,O113=""),"",O113+300)</f>
        <v/>
      </c>
      <c r="AB113" s="19" t="str">
        <f aca="false">IF(OR(I113="",I113&lt;12,O113=""),"",O113+330)</f>
        <v/>
      </c>
      <c r="AC113" s="19" t="str">
        <f aca="false">IF(OR(I113="",I113&lt;13,O113=""),"",O113+360)</f>
        <v/>
      </c>
      <c r="AD113" s="19" t="str">
        <f aca="false">IF(OR(I113="",I113&lt;14,O113=""),"",O113+390)</f>
        <v/>
      </c>
      <c r="AE113" s="19" t="str">
        <f aca="false">IF(OR(I113="",I113&lt;15,O113=""),"",O113+420)</f>
        <v/>
      </c>
      <c r="AF113" s="19" t="str">
        <f aca="false">IF(OR(I113="",I113&lt;16,O113=""),"",O113+450)</f>
        <v/>
      </c>
      <c r="AG113" s="19" t="str">
        <f aca="false">IF(OR(I113="",I113&lt;17,O113=""),"",O113+480)</f>
        <v/>
      </c>
      <c r="AH113" s="19" t="str">
        <f aca="false">IF(OR(I113="",I113&lt;18,O113=""),"",O113+510)</f>
        <v/>
      </c>
      <c r="AI113" s="19" t="str">
        <f aca="false">IF(OR(I113="",I113&lt;19,O113=""),"",O113+540)</f>
        <v/>
      </c>
      <c r="AJ113" s="19" t="str">
        <f aca="false">IF(OR(I113="",I113&lt;20,O113=""),"",O113+570)</f>
        <v/>
      </c>
      <c r="AK113" s="19" t="str">
        <f aca="false">IF(OR(I113="",I113&lt;21,O113=""),"",O113+600)</f>
        <v/>
      </c>
      <c r="AL113" s="19" t="str">
        <f aca="false">IF(OR(I113="",I113&lt;22,O113=""),"",O113+630)</f>
        <v/>
      </c>
      <c r="AM113" s="19" t="str">
        <f aca="false">IF(OR(I113="",I113&lt;23,O113=""),"",O113+660)</f>
        <v/>
      </c>
      <c r="AN113" s="19" t="str">
        <f aca="false">IF(OR(I113="",I113&lt;24,O113=""),"",O113+690)</f>
        <v/>
      </c>
      <c r="AO113" s="15" t="str">
        <f aca="false">IF(J113="","",COUNTIF(Q113:AN113,TRUE())*J113)</f>
        <v/>
      </c>
      <c r="AP113" s="15" t="str">
        <f aca="false">IF(K113="","",K113-AO113)</f>
        <v/>
      </c>
      <c r="AQ113" s="15" t="str">
        <f aca="false">IF(K113="","",K113-F113-IF(N113="",0,N113))</f>
        <v/>
      </c>
    </row>
    <row r="114" customFormat="false" ht="15" hidden="false" customHeight="false" outlineLevel="0" collapsed="false">
      <c r="A114" s="4"/>
      <c r="B114" s="4"/>
      <c r="C114" s="4"/>
      <c r="D114" s="5"/>
      <c r="E114" s="5"/>
      <c r="F114" s="6"/>
      <c r="G114" s="4"/>
      <c r="H114" s="4"/>
      <c r="I114" s="4"/>
      <c r="J114" s="6"/>
      <c r="K114" s="7" t="str">
        <f aca="false">IF(OR(I114="",J114=""),"",I114*J114)</f>
        <v/>
      </c>
      <c r="L114" s="4"/>
      <c r="M114" s="8"/>
      <c r="N114" s="7" t="str">
        <f aca="false">IF(OR(L114="",M114="",K114=""),"",IF(L114="GANANCIA",(K114-F114)*M114,IF(L114="BRUTO",K114*M114,"")))</f>
        <v/>
      </c>
      <c r="O114" s="9" t="str">
        <f aca="false">IF(D114="","",D114+30)</f>
        <v/>
      </c>
      <c r="P114" s="10" t="str">
        <f aca="false">IF(I114="","",IF(COUNTIF(Q114:AN114,TRUE())&gt;=I114,"PAGADO",IF(COUNTIF(Q114:AN114,TRUE())&gt;0,"PARCIAL","VIGENTE")))</f>
        <v/>
      </c>
      <c r="Q114" s="11" t="str">
        <f aca="false">IF(OR(I114="",I114&lt;1,O114=""),"",O114+0)</f>
        <v/>
      </c>
      <c r="R114" s="11" t="str">
        <f aca="false">IF(OR(I114="",I114&lt;2,O114=""),"",O114+30)</f>
        <v/>
      </c>
      <c r="S114" s="11" t="str">
        <f aca="false">IF(OR(I114="",I114&lt;3,O114=""),"",O114+60)</f>
        <v/>
      </c>
      <c r="T114" s="11" t="str">
        <f aca="false">IF(OR(I114="",I114&lt;4,O114=""),"",O114+90)</f>
        <v/>
      </c>
      <c r="U114" s="11" t="str">
        <f aca="false">IF(OR(I114="",I114&lt;5,O114=""),"",O114+120)</f>
        <v/>
      </c>
      <c r="V114" s="11" t="str">
        <f aca="false">IF(OR(I114="",I114&lt;6,O114=""),"",O114+150)</f>
        <v/>
      </c>
      <c r="W114" s="11" t="str">
        <f aca="false">IF(OR(I114="",I114&lt;7,O114=""),"",O114+180)</f>
        <v/>
      </c>
      <c r="X114" s="11" t="str">
        <f aca="false">IF(OR(I114="",I114&lt;8,O114=""),"",O114+210)</f>
        <v/>
      </c>
      <c r="Y114" s="11" t="str">
        <f aca="false">IF(OR(I114="",I114&lt;9,O114=""),"",O114+240)</f>
        <v/>
      </c>
      <c r="Z114" s="11" t="str">
        <f aca="false">IF(OR(I114="",I114&lt;10,O114=""),"",O114+270)</f>
        <v/>
      </c>
      <c r="AA114" s="11" t="str">
        <f aca="false">IF(OR(I114="",I114&lt;11,O114=""),"",O114+300)</f>
        <v/>
      </c>
      <c r="AB114" s="11" t="str">
        <f aca="false">IF(OR(I114="",I114&lt;12,O114=""),"",O114+330)</f>
        <v/>
      </c>
      <c r="AC114" s="11" t="str">
        <f aca="false">IF(OR(I114="",I114&lt;13,O114=""),"",O114+360)</f>
        <v/>
      </c>
      <c r="AD114" s="11" t="str">
        <f aca="false">IF(OR(I114="",I114&lt;14,O114=""),"",O114+390)</f>
        <v/>
      </c>
      <c r="AE114" s="11" t="str">
        <f aca="false">IF(OR(I114="",I114&lt;15,O114=""),"",O114+420)</f>
        <v/>
      </c>
      <c r="AF114" s="11" t="str">
        <f aca="false">IF(OR(I114="",I114&lt;16,O114=""),"",O114+450)</f>
        <v/>
      </c>
      <c r="AG114" s="11" t="str">
        <f aca="false">IF(OR(I114="",I114&lt;17,O114=""),"",O114+480)</f>
        <v/>
      </c>
      <c r="AH114" s="11" t="str">
        <f aca="false">IF(OR(I114="",I114&lt;18,O114=""),"",O114+510)</f>
        <v/>
      </c>
      <c r="AI114" s="11" t="str">
        <f aca="false">IF(OR(I114="",I114&lt;19,O114=""),"",O114+540)</f>
        <v/>
      </c>
      <c r="AJ114" s="11" t="str">
        <f aca="false">IF(OR(I114="",I114&lt;20,O114=""),"",O114+570)</f>
        <v/>
      </c>
      <c r="AK114" s="11" t="str">
        <f aca="false">IF(OR(I114="",I114&lt;21,O114=""),"",O114+600)</f>
        <v/>
      </c>
      <c r="AL114" s="11" t="str">
        <f aca="false">IF(OR(I114="",I114&lt;22,O114=""),"",O114+630)</f>
        <v/>
      </c>
      <c r="AM114" s="11" t="str">
        <f aca="false">IF(OR(I114="",I114&lt;23,O114=""),"",O114+660)</f>
        <v/>
      </c>
      <c r="AN114" s="11" t="str">
        <f aca="false">IF(OR(I114="",I114&lt;24,O114=""),"",O114+690)</f>
        <v/>
      </c>
      <c r="AO114" s="7" t="str">
        <f aca="false">IF(J114="","",COUNTIF(Q114:AN114,TRUE())*J114)</f>
        <v/>
      </c>
      <c r="AP114" s="7" t="str">
        <f aca="false">IF(K114="","",K114-AO114)</f>
        <v/>
      </c>
      <c r="AQ114" s="7" t="str">
        <f aca="false">IF(K114="","",K114-F114-IF(N114="",0,N114))</f>
        <v/>
      </c>
    </row>
    <row r="115" customFormat="false" ht="15" hidden="false" customHeight="false" outlineLevel="0" collapsed="false">
      <c r="A115" s="12"/>
      <c r="B115" s="12"/>
      <c r="C115" s="12"/>
      <c r="D115" s="13"/>
      <c r="E115" s="13"/>
      <c r="F115" s="14"/>
      <c r="G115" s="12"/>
      <c r="H115" s="12"/>
      <c r="I115" s="12"/>
      <c r="J115" s="14"/>
      <c r="K115" s="15" t="str">
        <f aca="false">IF(OR(I115="",J115=""),"",I115*J115)</f>
        <v/>
      </c>
      <c r="L115" s="12"/>
      <c r="M115" s="16"/>
      <c r="N115" s="15" t="str">
        <f aca="false">IF(OR(L115="",M115="",K115=""),"",IF(L115="GANANCIA",(K115-F115)*M115,IF(L115="BRUTO",K115*M115,"")))</f>
        <v/>
      </c>
      <c r="O115" s="17" t="str">
        <f aca="false">IF(D115="","",D115+30)</f>
        <v/>
      </c>
      <c r="P115" s="18" t="str">
        <f aca="false">IF(I115="","",IF(COUNTIF(Q115:AN115,TRUE())&gt;=I115,"PAGADO",IF(COUNTIF(Q115:AN115,TRUE())&gt;0,"PARCIAL","VIGENTE")))</f>
        <v/>
      </c>
      <c r="Q115" s="19" t="str">
        <f aca="false">IF(OR(I115="",I115&lt;1,O115=""),"",O115+0)</f>
        <v/>
      </c>
      <c r="R115" s="19" t="str">
        <f aca="false">IF(OR(I115="",I115&lt;2,O115=""),"",O115+30)</f>
        <v/>
      </c>
      <c r="S115" s="19" t="str">
        <f aca="false">IF(OR(I115="",I115&lt;3,O115=""),"",O115+60)</f>
        <v/>
      </c>
      <c r="T115" s="19" t="str">
        <f aca="false">IF(OR(I115="",I115&lt;4,O115=""),"",O115+90)</f>
        <v/>
      </c>
      <c r="U115" s="19" t="str">
        <f aca="false">IF(OR(I115="",I115&lt;5,O115=""),"",O115+120)</f>
        <v/>
      </c>
      <c r="V115" s="19" t="str">
        <f aca="false">IF(OR(I115="",I115&lt;6,O115=""),"",O115+150)</f>
        <v/>
      </c>
      <c r="W115" s="19" t="str">
        <f aca="false">IF(OR(I115="",I115&lt;7,O115=""),"",O115+180)</f>
        <v/>
      </c>
      <c r="X115" s="19" t="str">
        <f aca="false">IF(OR(I115="",I115&lt;8,O115=""),"",O115+210)</f>
        <v/>
      </c>
      <c r="Y115" s="19" t="str">
        <f aca="false">IF(OR(I115="",I115&lt;9,O115=""),"",O115+240)</f>
        <v/>
      </c>
      <c r="Z115" s="19" t="str">
        <f aca="false">IF(OR(I115="",I115&lt;10,O115=""),"",O115+270)</f>
        <v/>
      </c>
      <c r="AA115" s="19" t="str">
        <f aca="false">IF(OR(I115="",I115&lt;11,O115=""),"",O115+300)</f>
        <v/>
      </c>
      <c r="AB115" s="19" t="str">
        <f aca="false">IF(OR(I115="",I115&lt;12,O115=""),"",O115+330)</f>
        <v/>
      </c>
      <c r="AC115" s="19" t="str">
        <f aca="false">IF(OR(I115="",I115&lt;13,O115=""),"",O115+360)</f>
        <v/>
      </c>
      <c r="AD115" s="19" t="str">
        <f aca="false">IF(OR(I115="",I115&lt;14,O115=""),"",O115+390)</f>
        <v/>
      </c>
      <c r="AE115" s="19" t="str">
        <f aca="false">IF(OR(I115="",I115&lt;15,O115=""),"",O115+420)</f>
        <v/>
      </c>
      <c r="AF115" s="19" t="str">
        <f aca="false">IF(OR(I115="",I115&lt;16,O115=""),"",O115+450)</f>
        <v/>
      </c>
      <c r="AG115" s="19" t="str">
        <f aca="false">IF(OR(I115="",I115&lt;17,O115=""),"",O115+480)</f>
        <v/>
      </c>
      <c r="AH115" s="19" t="str">
        <f aca="false">IF(OR(I115="",I115&lt;18,O115=""),"",O115+510)</f>
        <v/>
      </c>
      <c r="AI115" s="19" t="str">
        <f aca="false">IF(OR(I115="",I115&lt;19,O115=""),"",O115+540)</f>
        <v/>
      </c>
      <c r="AJ115" s="19" t="str">
        <f aca="false">IF(OR(I115="",I115&lt;20,O115=""),"",O115+570)</f>
        <v/>
      </c>
      <c r="AK115" s="19" t="str">
        <f aca="false">IF(OR(I115="",I115&lt;21,O115=""),"",O115+600)</f>
        <v/>
      </c>
      <c r="AL115" s="19" t="str">
        <f aca="false">IF(OR(I115="",I115&lt;22,O115=""),"",O115+630)</f>
        <v/>
      </c>
      <c r="AM115" s="19" t="str">
        <f aca="false">IF(OR(I115="",I115&lt;23,O115=""),"",O115+660)</f>
        <v/>
      </c>
      <c r="AN115" s="19" t="str">
        <f aca="false">IF(OR(I115="",I115&lt;24,O115=""),"",O115+690)</f>
        <v/>
      </c>
      <c r="AO115" s="15" t="str">
        <f aca="false">IF(J115="","",COUNTIF(Q115:AN115,TRUE())*J115)</f>
        <v/>
      </c>
      <c r="AP115" s="15" t="str">
        <f aca="false">IF(K115="","",K115-AO115)</f>
        <v/>
      </c>
      <c r="AQ115" s="15" t="str">
        <f aca="false">IF(K115="","",K115-F115-IF(N115="",0,N115))</f>
        <v/>
      </c>
    </row>
    <row r="116" customFormat="false" ht="15" hidden="false" customHeight="false" outlineLevel="0" collapsed="false">
      <c r="A116" s="4"/>
      <c r="B116" s="4"/>
      <c r="C116" s="4"/>
      <c r="D116" s="5"/>
      <c r="E116" s="5"/>
      <c r="F116" s="6"/>
      <c r="G116" s="4"/>
      <c r="H116" s="4"/>
      <c r="I116" s="4"/>
      <c r="J116" s="6"/>
      <c r="K116" s="7" t="str">
        <f aca="false">IF(OR(I116="",J116=""),"",I116*J116)</f>
        <v/>
      </c>
      <c r="L116" s="4"/>
      <c r="M116" s="8"/>
      <c r="N116" s="7" t="str">
        <f aca="false">IF(OR(L116="",M116="",K116=""),"",IF(L116="GANANCIA",(K116-F116)*M116,IF(L116="BRUTO",K116*M116,"")))</f>
        <v/>
      </c>
      <c r="O116" s="9" t="str">
        <f aca="false">IF(D116="","",D116+30)</f>
        <v/>
      </c>
      <c r="P116" s="10" t="str">
        <f aca="false">IF(I116="","",IF(COUNTIF(Q116:AN116,TRUE())&gt;=I116,"PAGADO",IF(COUNTIF(Q116:AN116,TRUE())&gt;0,"PARCIAL","VIGENTE")))</f>
        <v/>
      </c>
      <c r="Q116" s="11" t="str">
        <f aca="false">IF(OR(I116="",I116&lt;1,O116=""),"",O116+0)</f>
        <v/>
      </c>
      <c r="R116" s="11" t="str">
        <f aca="false">IF(OR(I116="",I116&lt;2,O116=""),"",O116+30)</f>
        <v/>
      </c>
      <c r="S116" s="11" t="str">
        <f aca="false">IF(OR(I116="",I116&lt;3,O116=""),"",O116+60)</f>
        <v/>
      </c>
      <c r="T116" s="11" t="str">
        <f aca="false">IF(OR(I116="",I116&lt;4,O116=""),"",O116+90)</f>
        <v/>
      </c>
      <c r="U116" s="11" t="str">
        <f aca="false">IF(OR(I116="",I116&lt;5,O116=""),"",O116+120)</f>
        <v/>
      </c>
      <c r="V116" s="11" t="str">
        <f aca="false">IF(OR(I116="",I116&lt;6,O116=""),"",O116+150)</f>
        <v/>
      </c>
      <c r="W116" s="11" t="str">
        <f aca="false">IF(OR(I116="",I116&lt;7,O116=""),"",O116+180)</f>
        <v/>
      </c>
      <c r="X116" s="11" t="str">
        <f aca="false">IF(OR(I116="",I116&lt;8,O116=""),"",O116+210)</f>
        <v/>
      </c>
      <c r="Y116" s="11" t="str">
        <f aca="false">IF(OR(I116="",I116&lt;9,O116=""),"",O116+240)</f>
        <v/>
      </c>
      <c r="Z116" s="11" t="str">
        <f aca="false">IF(OR(I116="",I116&lt;10,O116=""),"",O116+270)</f>
        <v/>
      </c>
      <c r="AA116" s="11" t="str">
        <f aca="false">IF(OR(I116="",I116&lt;11,O116=""),"",O116+300)</f>
        <v/>
      </c>
      <c r="AB116" s="11" t="str">
        <f aca="false">IF(OR(I116="",I116&lt;12,O116=""),"",O116+330)</f>
        <v/>
      </c>
      <c r="AC116" s="11" t="str">
        <f aca="false">IF(OR(I116="",I116&lt;13,O116=""),"",O116+360)</f>
        <v/>
      </c>
      <c r="AD116" s="11" t="str">
        <f aca="false">IF(OR(I116="",I116&lt;14,O116=""),"",O116+390)</f>
        <v/>
      </c>
      <c r="AE116" s="11" t="str">
        <f aca="false">IF(OR(I116="",I116&lt;15,O116=""),"",O116+420)</f>
        <v/>
      </c>
      <c r="AF116" s="11" t="str">
        <f aca="false">IF(OR(I116="",I116&lt;16,O116=""),"",O116+450)</f>
        <v/>
      </c>
      <c r="AG116" s="11" t="str">
        <f aca="false">IF(OR(I116="",I116&lt;17,O116=""),"",O116+480)</f>
        <v/>
      </c>
      <c r="AH116" s="11" t="str">
        <f aca="false">IF(OR(I116="",I116&lt;18,O116=""),"",O116+510)</f>
        <v/>
      </c>
      <c r="AI116" s="11" t="str">
        <f aca="false">IF(OR(I116="",I116&lt;19,O116=""),"",O116+540)</f>
        <v/>
      </c>
      <c r="AJ116" s="11" t="str">
        <f aca="false">IF(OR(I116="",I116&lt;20,O116=""),"",O116+570)</f>
        <v/>
      </c>
      <c r="AK116" s="11" t="str">
        <f aca="false">IF(OR(I116="",I116&lt;21,O116=""),"",O116+600)</f>
        <v/>
      </c>
      <c r="AL116" s="11" t="str">
        <f aca="false">IF(OR(I116="",I116&lt;22,O116=""),"",O116+630)</f>
        <v/>
      </c>
      <c r="AM116" s="11" t="str">
        <f aca="false">IF(OR(I116="",I116&lt;23,O116=""),"",O116+660)</f>
        <v/>
      </c>
      <c r="AN116" s="11" t="str">
        <f aca="false">IF(OR(I116="",I116&lt;24,O116=""),"",O116+690)</f>
        <v/>
      </c>
      <c r="AO116" s="7" t="str">
        <f aca="false">IF(J116="","",COUNTIF(Q116:AN116,TRUE())*J116)</f>
        <v/>
      </c>
      <c r="AP116" s="7" t="str">
        <f aca="false">IF(K116="","",K116-AO116)</f>
        <v/>
      </c>
      <c r="AQ116" s="7" t="str">
        <f aca="false">IF(K116="","",K116-F116-IF(N116="",0,N116))</f>
        <v/>
      </c>
    </row>
    <row r="117" customFormat="false" ht="15" hidden="false" customHeight="false" outlineLevel="0" collapsed="false">
      <c r="A117" s="12"/>
      <c r="B117" s="12"/>
      <c r="C117" s="12"/>
      <c r="D117" s="13"/>
      <c r="E117" s="13"/>
      <c r="F117" s="14"/>
      <c r="G117" s="12"/>
      <c r="H117" s="12"/>
      <c r="I117" s="12"/>
      <c r="J117" s="14"/>
      <c r="K117" s="15" t="str">
        <f aca="false">IF(OR(I117="",J117=""),"",I117*J117)</f>
        <v/>
      </c>
      <c r="L117" s="12"/>
      <c r="M117" s="16"/>
      <c r="N117" s="15" t="str">
        <f aca="false">IF(OR(L117="",M117="",K117=""),"",IF(L117="GANANCIA",(K117-F117)*M117,IF(L117="BRUTO",K117*M117,"")))</f>
        <v/>
      </c>
      <c r="O117" s="17" t="str">
        <f aca="false">IF(D117="","",D117+30)</f>
        <v/>
      </c>
      <c r="P117" s="18" t="str">
        <f aca="false">IF(I117="","",IF(COUNTIF(Q117:AN117,TRUE())&gt;=I117,"PAGADO",IF(COUNTIF(Q117:AN117,TRUE())&gt;0,"PARCIAL","VIGENTE")))</f>
        <v/>
      </c>
      <c r="Q117" s="19" t="str">
        <f aca="false">IF(OR(I117="",I117&lt;1,O117=""),"",O117+0)</f>
        <v/>
      </c>
      <c r="R117" s="19" t="str">
        <f aca="false">IF(OR(I117="",I117&lt;2,O117=""),"",O117+30)</f>
        <v/>
      </c>
      <c r="S117" s="19" t="str">
        <f aca="false">IF(OR(I117="",I117&lt;3,O117=""),"",O117+60)</f>
        <v/>
      </c>
      <c r="T117" s="19" t="str">
        <f aca="false">IF(OR(I117="",I117&lt;4,O117=""),"",O117+90)</f>
        <v/>
      </c>
      <c r="U117" s="19" t="str">
        <f aca="false">IF(OR(I117="",I117&lt;5,O117=""),"",O117+120)</f>
        <v/>
      </c>
      <c r="V117" s="19" t="str">
        <f aca="false">IF(OR(I117="",I117&lt;6,O117=""),"",O117+150)</f>
        <v/>
      </c>
      <c r="W117" s="19" t="str">
        <f aca="false">IF(OR(I117="",I117&lt;7,O117=""),"",O117+180)</f>
        <v/>
      </c>
      <c r="X117" s="19" t="str">
        <f aca="false">IF(OR(I117="",I117&lt;8,O117=""),"",O117+210)</f>
        <v/>
      </c>
      <c r="Y117" s="19" t="str">
        <f aca="false">IF(OR(I117="",I117&lt;9,O117=""),"",O117+240)</f>
        <v/>
      </c>
      <c r="Z117" s="19" t="str">
        <f aca="false">IF(OR(I117="",I117&lt;10,O117=""),"",O117+270)</f>
        <v/>
      </c>
      <c r="AA117" s="19" t="str">
        <f aca="false">IF(OR(I117="",I117&lt;11,O117=""),"",O117+300)</f>
        <v/>
      </c>
      <c r="AB117" s="19" t="str">
        <f aca="false">IF(OR(I117="",I117&lt;12,O117=""),"",O117+330)</f>
        <v/>
      </c>
      <c r="AC117" s="19" t="str">
        <f aca="false">IF(OR(I117="",I117&lt;13,O117=""),"",O117+360)</f>
        <v/>
      </c>
      <c r="AD117" s="19" t="str">
        <f aca="false">IF(OR(I117="",I117&lt;14,O117=""),"",O117+390)</f>
        <v/>
      </c>
      <c r="AE117" s="19" t="str">
        <f aca="false">IF(OR(I117="",I117&lt;15,O117=""),"",O117+420)</f>
        <v/>
      </c>
      <c r="AF117" s="19" t="str">
        <f aca="false">IF(OR(I117="",I117&lt;16,O117=""),"",O117+450)</f>
        <v/>
      </c>
      <c r="AG117" s="19" t="str">
        <f aca="false">IF(OR(I117="",I117&lt;17,O117=""),"",O117+480)</f>
        <v/>
      </c>
      <c r="AH117" s="19" t="str">
        <f aca="false">IF(OR(I117="",I117&lt;18,O117=""),"",O117+510)</f>
        <v/>
      </c>
      <c r="AI117" s="19" t="str">
        <f aca="false">IF(OR(I117="",I117&lt;19,O117=""),"",O117+540)</f>
        <v/>
      </c>
      <c r="AJ117" s="19" t="str">
        <f aca="false">IF(OR(I117="",I117&lt;20,O117=""),"",O117+570)</f>
        <v/>
      </c>
      <c r="AK117" s="19" t="str">
        <f aca="false">IF(OR(I117="",I117&lt;21,O117=""),"",O117+600)</f>
        <v/>
      </c>
      <c r="AL117" s="19" t="str">
        <f aca="false">IF(OR(I117="",I117&lt;22,O117=""),"",O117+630)</f>
        <v/>
      </c>
      <c r="AM117" s="19" t="str">
        <f aca="false">IF(OR(I117="",I117&lt;23,O117=""),"",O117+660)</f>
        <v/>
      </c>
      <c r="AN117" s="19" t="str">
        <f aca="false">IF(OR(I117="",I117&lt;24,O117=""),"",O117+690)</f>
        <v/>
      </c>
      <c r="AO117" s="15" t="str">
        <f aca="false">IF(J117="","",COUNTIF(Q117:AN117,TRUE())*J117)</f>
        <v/>
      </c>
      <c r="AP117" s="15" t="str">
        <f aca="false">IF(K117="","",K117-AO117)</f>
        <v/>
      </c>
      <c r="AQ117" s="15" t="str">
        <f aca="false">IF(K117="","",K117-F117-IF(N117="",0,N117))</f>
        <v/>
      </c>
    </row>
    <row r="118" customFormat="false" ht="15" hidden="false" customHeight="false" outlineLevel="0" collapsed="false">
      <c r="A118" s="4"/>
      <c r="B118" s="4"/>
      <c r="C118" s="4"/>
      <c r="D118" s="5"/>
      <c r="E118" s="5"/>
      <c r="F118" s="6"/>
      <c r="G118" s="4"/>
      <c r="H118" s="4"/>
      <c r="I118" s="4"/>
      <c r="J118" s="6"/>
      <c r="K118" s="7" t="str">
        <f aca="false">IF(OR(I118="",J118=""),"",I118*J118)</f>
        <v/>
      </c>
      <c r="L118" s="4"/>
      <c r="M118" s="8"/>
      <c r="N118" s="7" t="str">
        <f aca="false">IF(OR(L118="",M118="",K118=""),"",IF(L118="GANANCIA",(K118-F118)*M118,IF(L118="BRUTO",K118*M118,"")))</f>
        <v/>
      </c>
      <c r="O118" s="9" t="str">
        <f aca="false">IF(D118="","",D118+30)</f>
        <v/>
      </c>
      <c r="P118" s="10" t="str">
        <f aca="false">IF(I118="","",IF(COUNTIF(Q118:AN118,TRUE())&gt;=I118,"PAGADO",IF(COUNTIF(Q118:AN118,TRUE())&gt;0,"PARCIAL","VIGENTE")))</f>
        <v/>
      </c>
      <c r="Q118" s="11" t="str">
        <f aca="false">IF(OR(I118="",I118&lt;1,O118=""),"",O118+0)</f>
        <v/>
      </c>
      <c r="R118" s="11" t="str">
        <f aca="false">IF(OR(I118="",I118&lt;2,O118=""),"",O118+30)</f>
        <v/>
      </c>
      <c r="S118" s="11" t="str">
        <f aca="false">IF(OR(I118="",I118&lt;3,O118=""),"",O118+60)</f>
        <v/>
      </c>
      <c r="T118" s="11" t="str">
        <f aca="false">IF(OR(I118="",I118&lt;4,O118=""),"",O118+90)</f>
        <v/>
      </c>
      <c r="U118" s="11" t="str">
        <f aca="false">IF(OR(I118="",I118&lt;5,O118=""),"",O118+120)</f>
        <v/>
      </c>
      <c r="V118" s="11" t="str">
        <f aca="false">IF(OR(I118="",I118&lt;6,O118=""),"",O118+150)</f>
        <v/>
      </c>
      <c r="W118" s="11" t="str">
        <f aca="false">IF(OR(I118="",I118&lt;7,O118=""),"",O118+180)</f>
        <v/>
      </c>
      <c r="X118" s="11" t="str">
        <f aca="false">IF(OR(I118="",I118&lt;8,O118=""),"",O118+210)</f>
        <v/>
      </c>
      <c r="Y118" s="11" t="str">
        <f aca="false">IF(OR(I118="",I118&lt;9,O118=""),"",O118+240)</f>
        <v/>
      </c>
      <c r="Z118" s="11" t="str">
        <f aca="false">IF(OR(I118="",I118&lt;10,O118=""),"",O118+270)</f>
        <v/>
      </c>
      <c r="AA118" s="11" t="str">
        <f aca="false">IF(OR(I118="",I118&lt;11,O118=""),"",O118+300)</f>
        <v/>
      </c>
      <c r="AB118" s="11" t="str">
        <f aca="false">IF(OR(I118="",I118&lt;12,O118=""),"",O118+330)</f>
        <v/>
      </c>
      <c r="AC118" s="11" t="str">
        <f aca="false">IF(OR(I118="",I118&lt;13,O118=""),"",O118+360)</f>
        <v/>
      </c>
      <c r="AD118" s="11" t="str">
        <f aca="false">IF(OR(I118="",I118&lt;14,O118=""),"",O118+390)</f>
        <v/>
      </c>
      <c r="AE118" s="11" t="str">
        <f aca="false">IF(OR(I118="",I118&lt;15,O118=""),"",O118+420)</f>
        <v/>
      </c>
      <c r="AF118" s="11" t="str">
        <f aca="false">IF(OR(I118="",I118&lt;16,O118=""),"",O118+450)</f>
        <v/>
      </c>
      <c r="AG118" s="11" t="str">
        <f aca="false">IF(OR(I118="",I118&lt;17,O118=""),"",O118+480)</f>
        <v/>
      </c>
      <c r="AH118" s="11" t="str">
        <f aca="false">IF(OR(I118="",I118&lt;18,O118=""),"",O118+510)</f>
        <v/>
      </c>
      <c r="AI118" s="11" t="str">
        <f aca="false">IF(OR(I118="",I118&lt;19,O118=""),"",O118+540)</f>
        <v/>
      </c>
      <c r="AJ118" s="11" t="str">
        <f aca="false">IF(OR(I118="",I118&lt;20,O118=""),"",O118+570)</f>
        <v/>
      </c>
      <c r="AK118" s="11" t="str">
        <f aca="false">IF(OR(I118="",I118&lt;21,O118=""),"",O118+600)</f>
        <v/>
      </c>
      <c r="AL118" s="11" t="str">
        <f aca="false">IF(OR(I118="",I118&lt;22,O118=""),"",O118+630)</f>
        <v/>
      </c>
      <c r="AM118" s="11" t="str">
        <f aca="false">IF(OR(I118="",I118&lt;23,O118=""),"",O118+660)</f>
        <v/>
      </c>
      <c r="AN118" s="11" t="str">
        <f aca="false">IF(OR(I118="",I118&lt;24,O118=""),"",O118+690)</f>
        <v/>
      </c>
      <c r="AO118" s="7" t="str">
        <f aca="false">IF(J118="","",COUNTIF(Q118:AN118,TRUE())*J118)</f>
        <v/>
      </c>
      <c r="AP118" s="7" t="str">
        <f aca="false">IF(K118="","",K118-AO118)</f>
        <v/>
      </c>
      <c r="AQ118" s="7" t="str">
        <f aca="false">IF(K118="","",K118-F118-IF(N118="",0,N118))</f>
        <v/>
      </c>
    </row>
    <row r="119" customFormat="false" ht="15" hidden="false" customHeight="false" outlineLevel="0" collapsed="false">
      <c r="A119" s="12"/>
      <c r="B119" s="12"/>
      <c r="C119" s="12"/>
      <c r="D119" s="13"/>
      <c r="E119" s="13"/>
      <c r="F119" s="14"/>
      <c r="G119" s="12"/>
      <c r="H119" s="12"/>
      <c r="I119" s="12"/>
      <c r="J119" s="14"/>
      <c r="K119" s="15" t="str">
        <f aca="false">IF(OR(I119="",J119=""),"",I119*J119)</f>
        <v/>
      </c>
      <c r="L119" s="12"/>
      <c r="M119" s="16"/>
      <c r="N119" s="15" t="str">
        <f aca="false">IF(OR(L119="",M119="",K119=""),"",IF(L119="GANANCIA",(K119-F119)*M119,IF(L119="BRUTO",K119*M119,"")))</f>
        <v/>
      </c>
      <c r="O119" s="17" t="str">
        <f aca="false">IF(D119="","",D119+30)</f>
        <v/>
      </c>
      <c r="P119" s="18" t="str">
        <f aca="false">IF(I119="","",IF(COUNTIF(Q119:AN119,TRUE())&gt;=I119,"PAGADO",IF(COUNTIF(Q119:AN119,TRUE())&gt;0,"PARCIAL","VIGENTE")))</f>
        <v/>
      </c>
      <c r="Q119" s="19" t="str">
        <f aca="false">IF(OR(I119="",I119&lt;1,O119=""),"",O119+0)</f>
        <v/>
      </c>
      <c r="R119" s="19" t="str">
        <f aca="false">IF(OR(I119="",I119&lt;2,O119=""),"",O119+30)</f>
        <v/>
      </c>
      <c r="S119" s="19" t="str">
        <f aca="false">IF(OR(I119="",I119&lt;3,O119=""),"",O119+60)</f>
        <v/>
      </c>
      <c r="T119" s="19" t="str">
        <f aca="false">IF(OR(I119="",I119&lt;4,O119=""),"",O119+90)</f>
        <v/>
      </c>
      <c r="U119" s="19" t="str">
        <f aca="false">IF(OR(I119="",I119&lt;5,O119=""),"",O119+120)</f>
        <v/>
      </c>
      <c r="V119" s="19" t="str">
        <f aca="false">IF(OR(I119="",I119&lt;6,O119=""),"",O119+150)</f>
        <v/>
      </c>
      <c r="W119" s="19" t="str">
        <f aca="false">IF(OR(I119="",I119&lt;7,O119=""),"",O119+180)</f>
        <v/>
      </c>
      <c r="X119" s="19" t="str">
        <f aca="false">IF(OR(I119="",I119&lt;8,O119=""),"",O119+210)</f>
        <v/>
      </c>
      <c r="Y119" s="19" t="str">
        <f aca="false">IF(OR(I119="",I119&lt;9,O119=""),"",O119+240)</f>
        <v/>
      </c>
      <c r="Z119" s="19" t="str">
        <f aca="false">IF(OR(I119="",I119&lt;10,O119=""),"",O119+270)</f>
        <v/>
      </c>
      <c r="AA119" s="19" t="str">
        <f aca="false">IF(OR(I119="",I119&lt;11,O119=""),"",O119+300)</f>
        <v/>
      </c>
      <c r="AB119" s="19" t="str">
        <f aca="false">IF(OR(I119="",I119&lt;12,O119=""),"",O119+330)</f>
        <v/>
      </c>
      <c r="AC119" s="19" t="str">
        <f aca="false">IF(OR(I119="",I119&lt;13,O119=""),"",O119+360)</f>
        <v/>
      </c>
      <c r="AD119" s="19" t="str">
        <f aca="false">IF(OR(I119="",I119&lt;14,O119=""),"",O119+390)</f>
        <v/>
      </c>
      <c r="AE119" s="19" t="str">
        <f aca="false">IF(OR(I119="",I119&lt;15,O119=""),"",O119+420)</f>
        <v/>
      </c>
      <c r="AF119" s="19" t="str">
        <f aca="false">IF(OR(I119="",I119&lt;16,O119=""),"",O119+450)</f>
        <v/>
      </c>
      <c r="AG119" s="19" t="str">
        <f aca="false">IF(OR(I119="",I119&lt;17,O119=""),"",O119+480)</f>
        <v/>
      </c>
      <c r="AH119" s="19" t="str">
        <f aca="false">IF(OR(I119="",I119&lt;18,O119=""),"",O119+510)</f>
        <v/>
      </c>
      <c r="AI119" s="19" t="str">
        <f aca="false">IF(OR(I119="",I119&lt;19,O119=""),"",O119+540)</f>
        <v/>
      </c>
      <c r="AJ119" s="19" t="str">
        <f aca="false">IF(OR(I119="",I119&lt;20,O119=""),"",O119+570)</f>
        <v/>
      </c>
      <c r="AK119" s="19" t="str">
        <f aca="false">IF(OR(I119="",I119&lt;21,O119=""),"",O119+600)</f>
        <v/>
      </c>
      <c r="AL119" s="19" t="str">
        <f aca="false">IF(OR(I119="",I119&lt;22,O119=""),"",O119+630)</f>
        <v/>
      </c>
      <c r="AM119" s="19" t="str">
        <f aca="false">IF(OR(I119="",I119&lt;23,O119=""),"",O119+660)</f>
        <v/>
      </c>
      <c r="AN119" s="19" t="str">
        <f aca="false">IF(OR(I119="",I119&lt;24,O119=""),"",O119+690)</f>
        <v/>
      </c>
      <c r="AO119" s="15" t="str">
        <f aca="false">IF(J119="","",COUNTIF(Q119:AN119,TRUE())*J119)</f>
        <v/>
      </c>
      <c r="AP119" s="15" t="str">
        <f aca="false">IF(K119="","",K119-AO119)</f>
        <v/>
      </c>
      <c r="AQ119" s="15" t="str">
        <f aca="false">IF(K119="","",K119-F119-IF(N119="",0,N119))</f>
        <v/>
      </c>
    </row>
    <row r="120" customFormat="false" ht="15" hidden="false" customHeight="false" outlineLevel="0" collapsed="false">
      <c r="A120" s="4"/>
      <c r="B120" s="4"/>
      <c r="C120" s="4"/>
      <c r="D120" s="5"/>
      <c r="E120" s="5"/>
      <c r="F120" s="6"/>
      <c r="G120" s="4"/>
      <c r="H120" s="4"/>
      <c r="I120" s="4"/>
      <c r="J120" s="6"/>
      <c r="K120" s="7" t="str">
        <f aca="false">IF(OR(I120="",J120=""),"",I120*J120)</f>
        <v/>
      </c>
      <c r="L120" s="4"/>
      <c r="M120" s="8"/>
      <c r="N120" s="7" t="str">
        <f aca="false">IF(OR(L120="",M120="",K120=""),"",IF(L120="GANANCIA",(K120-F120)*M120,IF(L120="BRUTO",K120*M120,"")))</f>
        <v/>
      </c>
      <c r="O120" s="9" t="str">
        <f aca="false">IF(D120="","",D120+30)</f>
        <v/>
      </c>
      <c r="P120" s="10" t="str">
        <f aca="false">IF(I120="","",IF(COUNTIF(Q120:AN120,TRUE())&gt;=I120,"PAGADO",IF(COUNTIF(Q120:AN120,TRUE())&gt;0,"PARCIAL","VIGENTE")))</f>
        <v/>
      </c>
      <c r="Q120" s="11" t="str">
        <f aca="false">IF(OR(I120="",I120&lt;1,O120=""),"",O120+0)</f>
        <v/>
      </c>
      <c r="R120" s="11" t="str">
        <f aca="false">IF(OR(I120="",I120&lt;2,O120=""),"",O120+30)</f>
        <v/>
      </c>
      <c r="S120" s="11" t="str">
        <f aca="false">IF(OR(I120="",I120&lt;3,O120=""),"",O120+60)</f>
        <v/>
      </c>
      <c r="T120" s="11" t="str">
        <f aca="false">IF(OR(I120="",I120&lt;4,O120=""),"",O120+90)</f>
        <v/>
      </c>
      <c r="U120" s="11" t="str">
        <f aca="false">IF(OR(I120="",I120&lt;5,O120=""),"",O120+120)</f>
        <v/>
      </c>
      <c r="V120" s="11" t="str">
        <f aca="false">IF(OR(I120="",I120&lt;6,O120=""),"",O120+150)</f>
        <v/>
      </c>
      <c r="W120" s="11" t="str">
        <f aca="false">IF(OR(I120="",I120&lt;7,O120=""),"",O120+180)</f>
        <v/>
      </c>
      <c r="X120" s="11" t="str">
        <f aca="false">IF(OR(I120="",I120&lt;8,O120=""),"",O120+210)</f>
        <v/>
      </c>
      <c r="Y120" s="11" t="str">
        <f aca="false">IF(OR(I120="",I120&lt;9,O120=""),"",O120+240)</f>
        <v/>
      </c>
      <c r="Z120" s="11" t="str">
        <f aca="false">IF(OR(I120="",I120&lt;10,O120=""),"",O120+270)</f>
        <v/>
      </c>
      <c r="AA120" s="11" t="str">
        <f aca="false">IF(OR(I120="",I120&lt;11,O120=""),"",O120+300)</f>
        <v/>
      </c>
      <c r="AB120" s="11" t="str">
        <f aca="false">IF(OR(I120="",I120&lt;12,O120=""),"",O120+330)</f>
        <v/>
      </c>
      <c r="AC120" s="11" t="str">
        <f aca="false">IF(OR(I120="",I120&lt;13,O120=""),"",O120+360)</f>
        <v/>
      </c>
      <c r="AD120" s="11" t="str">
        <f aca="false">IF(OR(I120="",I120&lt;14,O120=""),"",O120+390)</f>
        <v/>
      </c>
      <c r="AE120" s="11" t="str">
        <f aca="false">IF(OR(I120="",I120&lt;15,O120=""),"",O120+420)</f>
        <v/>
      </c>
      <c r="AF120" s="11" t="str">
        <f aca="false">IF(OR(I120="",I120&lt;16,O120=""),"",O120+450)</f>
        <v/>
      </c>
      <c r="AG120" s="11" t="str">
        <f aca="false">IF(OR(I120="",I120&lt;17,O120=""),"",O120+480)</f>
        <v/>
      </c>
      <c r="AH120" s="11" t="str">
        <f aca="false">IF(OR(I120="",I120&lt;18,O120=""),"",O120+510)</f>
        <v/>
      </c>
      <c r="AI120" s="11" t="str">
        <f aca="false">IF(OR(I120="",I120&lt;19,O120=""),"",O120+540)</f>
        <v/>
      </c>
      <c r="AJ120" s="11" t="str">
        <f aca="false">IF(OR(I120="",I120&lt;20,O120=""),"",O120+570)</f>
        <v/>
      </c>
      <c r="AK120" s="11" t="str">
        <f aca="false">IF(OR(I120="",I120&lt;21,O120=""),"",O120+600)</f>
        <v/>
      </c>
      <c r="AL120" s="11" t="str">
        <f aca="false">IF(OR(I120="",I120&lt;22,O120=""),"",O120+630)</f>
        <v/>
      </c>
      <c r="AM120" s="11" t="str">
        <f aca="false">IF(OR(I120="",I120&lt;23,O120=""),"",O120+660)</f>
        <v/>
      </c>
      <c r="AN120" s="11" t="str">
        <f aca="false">IF(OR(I120="",I120&lt;24,O120=""),"",O120+690)</f>
        <v/>
      </c>
      <c r="AO120" s="7" t="str">
        <f aca="false">IF(J120="","",COUNTIF(Q120:AN120,TRUE())*J120)</f>
        <v/>
      </c>
      <c r="AP120" s="7" t="str">
        <f aca="false">IF(K120="","",K120-AO120)</f>
        <v/>
      </c>
      <c r="AQ120" s="7" t="str">
        <f aca="false">IF(K120="","",K120-F120-IF(N120="",0,N120))</f>
        <v/>
      </c>
    </row>
    <row r="121" customFormat="false" ht="15" hidden="false" customHeight="false" outlineLevel="0" collapsed="false">
      <c r="A121" s="12"/>
      <c r="B121" s="12"/>
      <c r="C121" s="12"/>
      <c r="D121" s="13"/>
      <c r="E121" s="13"/>
      <c r="F121" s="14"/>
      <c r="G121" s="12"/>
      <c r="H121" s="12"/>
      <c r="I121" s="12"/>
      <c r="J121" s="14"/>
      <c r="K121" s="15" t="str">
        <f aca="false">IF(OR(I121="",J121=""),"",I121*J121)</f>
        <v/>
      </c>
      <c r="L121" s="12"/>
      <c r="M121" s="16"/>
      <c r="N121" s="15" t="str">
        <f aca="false">IF(OR(L121="",M121="",K121=""),"",IF(L121="GANANCIA",(K121-F121)*M121,IF(L121="BRUTO",K121*M121,"")))</f>
        <v/>
      </c>
      <c r="O121" s="17" t="str">
        <f aca="false">IF(D121="","",D121+30)</f>
        <v/>
      </c>
      <c r="P121" s="18" t="str">
        <f aca="false">IF(I121="","",IF(COUNTIF(Q121:AN121,TRUE())&gt;=I121,"PAGADO",IF(COUNTIF(Q121:AN121,TRUE())&gt;0,"PARCIAL","VIGENTE")))</f>
        <v/>
      </c>
      <c r="Q121" s="19" t="str">
        <f aca="false">IF(OR(I121="",I121&lt;1,O121=""),"",O121+0)</f>
        <v/>
      </c>
      <c r="R121" s="19" t="str">
        <f aca="false">IF(OR(I121="",I121&lt;2,O121=""),"",O121+30)</f>
        <v/>
      </c>
      <c r="S121" s="19" t="str">
        <f aca="false">IF(OR(I121="",I121&lt;3,O121=""),"",O121+60)</f>
        <v/>
      </c>
      <c r="T121" s="19" t="str">
        <f aca="false">IF(OR(I121="",I121&lt;4,O121=""),"",O121+90)</f>
        <v/>
      </c>
      <c r="U121" s="19" t="str">
        <f aca="false">IF(OR(I121="",I121&lt;5,O121=""),"",O121+120)</f>
        <v/>
      </c>
      <c r="V121" s="19" t="str">
        <f aca="false">IF(OR(I121="",I121&lt;6,O121=""),"",O121+150)</f>
        <v/>
      </c>
      <c r="W121" s="19" t="str">
        <f aca="false">IF(OR(I121="",I121&lt;7,O121=""),"",O121+180)</f>
        <v/>
      </c>
      <c r="X121" s="19" t="str">
        <f aca="false">IF(OR(I121="",I121&lt;8,O121=""),"",O121+210)</f>
        <v/>
      </c>
      <c r="Y121" s="19" t="str">
        <f aca="false">IF(OR(I121="",I121&lt;9,O121=""),"",O121+240)</f>
        <v/>
      </c>
      <c r="Z121" s="19" t="str">
        <f aca="false">IF(OR(I121="",I121&lt;10,O121=""),"",O121+270)</f>
        <v/>
      </c>
      <c r="AA121" s="19" t="str">
        <f aca="false">IF(OR(I121="",I121&lt;11,O121=""),"",O121+300)</f>
        <v/>
      </c>
      <c r="AB121" s="19" t="str">
        <f aca="false">IF(OR(I121="",I121&lt;12,O121=""),"",O121+330)</f>
        <v/>
      </c>
      <c r="AC121" s="19" t="str">
        <f aca="false">IF(OR(I121="",I121&lt;13,O121=""),"",O121+360)</f>
        <v/>
      </c>
      <c r="AD121" s="19" t="str">
        <f aca="false">IF(OR(I121="",I121&lt;14,O121=""),"",O121+390)</f>
        <v/>
      </c>
      <c r="AE121" s="19" t="str">
        <f aca="false">IF(OR(I121="",I121&lt;15,O121=""),"",O121+420)</f>
        <v/>
      </c>
      <c r="AF121" s="19" t="str">
        <f aca="false">IF(OR(I121="",I121&lt;16,O121=""),"",O121+450)</f>
        <v/>
      </c>
      <c r="AG121" s="19" t="str">
        <f aca="false">IF(OR(I121="",I121&lt;17,O121=""),"",O121+480)</f>
        <v/>
      </c>
      <c r="AH121" s="19" t="str">
        <f aca="false">IF(OR(I121="",I121&lt;18,O121=""),"",O121+510)</f>
        <v/>
      </c>
      <c r="AI121" s="19" t="str">
        <f aca="false">IF(OR(I121="",I121&lt;19,O121=""),"",O121+540)</f>
        <v/>
      </c>
      <c r="AJ121" s="19" t="str">
        <f aca="false">IF(OR(I121="",I121&lt;20,O121=""),"",O121+570)</f>
        <v/>
      </c>
      <c r="AK121" s="19" t="str">
        <f aca="false">IF(OR(I121="",I121&lt;21,O121=""),"",O121+600)</f>
        <v/>
      </c>
      <c r="AL121" s="19" t="str">
        <f aca="false">IF(OR(I121="",I121&lt;22,O121=""),"",O121+630)</f>
        <v/>
      </c>
      <c r="AM121" s="19" t="str">
        <f aca="false">IF(OR(I121="",I121&lt;23,O121=""),"",O121+660)</f>
        <v/>
      </c>
      <c r="AN121" s="19" t="str">
        <f aca="false">IF(OR(I121="",I121&lt;24,O121=""),"",O121+690)</f>
        <v/>
      </c>
      <c r="AO121" s="15" t="str">
        <f aca="false">IF(J121="","",COUNTIF(Q121:AN121,TRUE())*J121)</f>
        <v/>
      </c>
      <c r="AP121" s="15" t="str">
        <f aca="false">IF(K121="","",K121-AO121)</f>
        <v/>
      </c>
      <c r="AQ121" s="15" t="str">
        <f aca="false">IF(K121="","",K121-F121-IF(N121="",0,N121))</f>
        <v/>
      </c>
    </row>
    <row r="122" customFormat="false" ht="15" hidden="false" customHeight="false" outlineLevel="0" collapsed="false">
      <c r="A122" s="4"/>
      <c r="B122" s="4"/>
      <c r="C122" s="4"/>
      <c r="D122" s="5"/>
      <c r="E122" s="5"/>
      <c r="F122" s="6"/>
      <c r="G122" s="4"/>
      <c r="H122" s="4"/>
      <c r="I122" s="4"/>
      <c r="J122" s="6"/>
      <c r="K122" s="7" t="str">
        <f aca="false">IF(OR(I122="",J122=""),"",I122*J122)</f>
        <v/>
      </c>
      <c r="L122" s="4"/>
      <c r="M122" s="8"/>
      <c r="N122" s="7" t="str">
        <f aca="false">IF(OR(L122="",M122="",K122=""),"",IF(L122="GANANCIA",(K122-F122)*M122,IF(L122="BRUTO",K122*M122,"")))</f>
        <v/>
      </c>
      <c r="O122" s="9" t="str">
        <f aca="false">IF(D122="","",D122+30)</f>
        <v/>
      </c>
      <c r="P122" s="10" t="str">
        <f aca="false">IF(I122="","",IF(COUNTIF(Q122:AN122,TRUE())&gt;=I122,"PAGADO",IF(COUNTIF(Q122:AN122,TRUE())&gt;0,"PARCIAL","VIGENTE")))</f>
        <v/>
      </c>
      <c r="Q122" s="11" t="str">
        <f aca="false">IF(OR(I122="",I122&lt;1,O122=""),"",O122+0)</f>
        <v/>
      </c>
      <c r="R122" s="11" t="str">
        <f aca="false">IF(OR(I122="",I122&lt;2,O122=""),"",O122+30)</f>
        <v/>
      </c>
      <c r="S122" s="11" t="str">
        <f aca="false">IF(OR(I122="",I122&lt;3,O122=""),"",O122+60)</f>
        <v/>
      </c>
      <c r="T122" s="11" t="str">
        <f aca="false">IF(OR(I122="",I122&lt;4,O122=""),"",O122+90)</f>
        <v/>
      </c>
      <c r="U122" s="11" t="str">
        <f aca="false">IF(OR(I122="",I122&lt;5,O122=""),"",O122+120)</f>
        <v/>
      </c>
      <c r="V122" s="11" t="str">
        <f aca="false">IF(OR(I122="",I122&lt;6,O122=""),"",O122+150)</f>
        <v/>
      </c>
      <c r="W122" s="11" t="str">
        <f aca="false">IF(OR(I122="",I122&lt;7,O122=""),"",O122+180)</f>
        <v/>
      </c>
      <c r="X122" s="11" t="str">
        <f aca="false">IF(OR(I122="",I122&lt;8,O122=""),"",O122+210)</f>
        <v/>
      </c>
      <c r="Y122" s="11" t="str">
        <f aca="false">IF(OR(I122="",I122&lt;9,O122=""),"",O122+240)</f>
        <v/>
      </c>
      <c r="Z122" s="11" t="str">
        <f aca="false">IF(OR(I122="",I122&lt;10,O122=""),"",O122+270)</f>
        <v/>
      </c>
      <c r="AA122" s="11" t="str">
        <f aca="false">IF(OR(I122="",I122&lt;11,O122=""),"",O122+300)</f>
        <v/>
      </c>
      <c r="AB122" s="11" t="str">
        <f aca="false">IF(OR(I122="",I122&lt;12,O122=""),"",O122+330)</f>
        <v/>
      </c>
      <c r="AC122" s="11" t="str">
        <f aca="false">IF(OR(I122="",I122&lt;13,O122=""),"",O122+360)</f>
        <v/>
      </c>
      <c r="AD122" s="11" t="str">
        <f aca="false">IF(OR(I122="",I122&lt;14,O122=""),"",O122+390)</f>
        <v/>
      </c>
      <c r="AE122" s="11" t="str">
        <f aca="false">IF(OR(I122="",I122&lt;15,O122=""),"",O122+420)</f>
        <v/>
      </c>
      <c r="AF122" s="11" t="str">
        <f aca="false">IF(OR(I122="",I122&lt;16,O122=""),"",O122+450)</f>
        <v/>
      </c>
      <c r="AG122" s="11" t="str">
        <f aca="false">IF(OR(I122="",I122&lt;17,O122=""),"",O122+480)</f>
        <v/>
      </c>
      <c r="AH122" s="11" t="str">
        <f aca="false">IF(OR(I122="",I122&lt;18,O122=""),"",O122+510)</f>
        <v/>
      </c>
      <c r="AI122" s="11" t="str">
        <f aca="false">IF(OR(I122="",I122&lt;19,O122=""),"",O122+540)</f>
        <v/>
      </c>
      <c r="AJ122" s="11" t="str">
        <f aca="false">IF(OR(I122="",I122&lt;20,O122=""),"",O122+570)</f>
        <v/>
      </c>
      <c r="AK122" s="11" t="str">
        <f aca="false">IF(OR(I122="",I122&lt;21,O122=""),"",O122+600)</f>
        <v/>
      </c>
      <c r="AL122" s="11" t="str">
        <f aca="false">IF(OR(I122="",I122&lt;22,O122=""),"",O122+630)</f>
        <v/>
      </c>
      <c r="AM122" s="11" t="str">
        <f aca="false">IF(OR(I122="",I122&lt;23,O122=""),"",O122+660)</f>
        <v/>
      </c>
      <c r="AN122" s="11" t="str">
        <f aca="false">IF(OR(I122="",I122&lt;24,O122=""),"",O122+690)</f>
        <v/>
      </c>
      <c r="AO122" s="7" t="str">
        <f aca="false">IF(J122="","",COUNTIF(Q122:AN122,TRUE())*J122)</f>
        <v/>
      </c>
      <c r="AP122" s="7" t="str">
        <f aca="false">IF(K122="","",K122-AO122)</f>
        <v/>
      </c>
      <c r="AQ122" s="7" t="str">
        <f aca="false">IF(K122="","",K122-F122-IF(N122="",0,N122))</f>
        <v/>
      </c>
    </row>
    <row r="123" customFormat="false" ht="15" hidden="false" customHeight="false" outlineLevel="0" collapsed="false">
      <c r="A123" s="12"/>
      <c r="B123" s="12"/>
      <c r="C123" s="12"/>
      <c r="D123" s="13"/>
      <c r="E123" s="13"/>
      <c r="F123" s="14"/>
      <c r="G123" s="12"/>
      <c r="H123" s="12"/>
      <c r="I123" s="12"/>
      <c r="J123" s="14"/>
      <c r="K123" s="15" t="str">
        <f aca="false">IF(OR(I123="",J123=""),"",I123*J123)</f>
        <v/>
      </c>
      <c r="L123" s="12"/>
      <c r="M123" s="16"/>
      <c r="N123" s="15" t="str">
        <f aca="false">IF(OR(L123="",M123="",K123=""),"",IF(L123="GANANCIA",(K123-F123)*M123,IF(L123="BRUTO",K123*M123,"")))</f>
        <v/>
      </c>
      <c r="O123" s="17" t="str">
        <f aca="false">IF(D123="","",D123+30)</f>
        <v/>
      </c>
      <c r="P123" s="18" t="str">
        <f aca="false">IF(I123="","",IF(COUNTIF(Q123:AN123,TRUE())&gt;=I123,"PAGADO",IF(COUNTIF(Q123:AN123,TRUE())&gt;0,"PARCIAL","VIGENTE")))</f>
        <v/>
      </c>
      <c r="Q123" s="19" t="str">
        <f aca="false">IF(OR(I123="",I123&lt;1,O123=""),"",O123+0)</f>
        <v/>
      </c>
      <c r="R123" s="19" t="str">
        <f aca="false">IF(OR(I123="",I123&lt;2,O123=""),"",O123+30)</f>
        <v/>
      </c>
      <c r="S123" s="19" t="str">
        <f aca="false">IF(OR(I123="",I123&lt;3,O123=""),"",O123+60)</f>
        <v/>
      </c>
      <c r="T123" s="19" t="str">
        <f aca="false">IF(OR(I123="",I123&lt;4,O123=""),"",O123+90)</f>
        <v/>
      </c>
      <c r="U123" s="19" t="str">
        <f aca="false">IF(OR(I123="",I123&lt;5,O123=""),"",O123+120)</f>
        <v/>
      </c>
      <c r="V123" s="19" t="str">
        <f aca="false">IF(OR(I123="",I123&lt;6,O123=""),"",O123+150)</f>
        <v/>
      </c>
      <c r="W123" s="19" t="str">
        <f aca="false">IF(OR(I123="",I123&lt;7,O123=""),"",O123+180)</f>
        <v/>
      </c>
      <c r="X123" s="19" t="str">
        <f aca="false">IF(OR(I123="",I123&lt;8,O123=""),"",O123+210)</f>
        <v/>
      </c>
      <c r="Y123" s="19" t="str">
        <f aca="false">IF(OR(I123="",I123&lt;9,O123=""),"",O123+240)</f>
        <v/>
      </c>
      <c r="Z123" s="19" t="str">
        <f aca="false">IF(OR(I123="",I123&lt;10,O123=""),"",O123+270)</f>
        <v/>
      </c>
      <c r="AA123" s="19" t="str">
        <f aca="false">IF(OR(I123="",I123&lt;11,O123=""),"",O123+300)</f>
        <v/>
      </c>
      <c r="AB123" s="19" t="str">
        <f aca="false">IF(OR(I123="",I123&lt;12,O123=""),"",O123+330)</f>
        <v/>
      </c>
      <c r="AC123" s="19" t="str">
        <f aca="false">IF(OR(I123="",I123&lt;13,O123=""),"",O123+360)</f>
        <v/>
      </c>
      <c r="AD123" s="19" t="str">
        <f aca="false">IF(OR(I123="",I123&lt;14,O123=""),"",O123+390)</f>
        <v/>
      </c>
      <c r="AE123" s="19" t="str">
        <f aca="false">IF(OR(I123="",I123&lt;15,O123=""),"",O123+420)</f>
        <v/>
      </c>
      <c r="AF123" s="19" t="str">
        <f aca="false">IF(OR(I123="",I123&lt;16,O123=""),"",O123+450)</f>
        <v/>
      </c>
      <c r="AG123" s="19" t="str">
        <f aca="false">IF(OR(I123="",I123&lt;17,O123=""),"",O123+480)</f>
        <v/>
      </c>
      <c r="AH123" s="19" t="str">
        <f aca="false">IF(OR(I123="",I123&lt;18,O123=""),"",O123+510)</f>
        <v/>
      </c>
      <c r="AI123" s="19" t="str">
        <f aca="false">IF(OR(I123="",I123&lt;19,O123=""),"",O123+540)</f>
        <v/>
      </c>
      <c r="AJ123" s="19" t="str">
        <f aca="false">IF(OR(I123="",I123&lt;20,O123=""),"",O123+570)</f>
        <v/>
      </c>
      <c r="AK123" s="19" t="str">
        <f aca="false">IF(OR(I123="",I123&lt;21,O123=""),"",O123+600)</f>
        <v/>
      </c>
      <c r="AL123" s="19" t="str">
        <f aca="false">IF(OR(I123="",I123&lt;22,O123=""),"",O123+630)</f>
        <v/>
      </c>
      <c r="AM123" s="19" t="str">
        <f aca="false">IF(OR(I123="",I123&lt;23,O123=""),"",O123+660)</f>
        <v/>
      </c>
      <c r="AN123" s="19" t="str">
        <f aca="false">IF(OR(I123="",I123&lt;24,O123=""),"",O123+690)</f>
        <v/>
      </c>
      <c r="AO123" s="15" t="str">
        <f aca="false">IF(J123="","",COUNTIF(Q123:AN123,TRUE())*J123)</f>
        <v/>
      </c>
      <c r="AP123" s="15" t="str">
        <f aca="false">IF(K123="","",K123-AO123)</f>
        <v/>
      </c>
      <c r="AQ123" s="15" t="str">
        <f aca="false">IF(K123="","",K123-F123-IF(N123="",0,N123))</f>
        <v/>
      </c>
    </row>
    <row r="124" customFormat="false" ht="15" hidden="false" customHeight="false" outlineLevel="0" collapsed="false">
      <c r="A124" s="4"/>
      <c r="B124" s="4"/>
      <c r="C124" s="4"/>
      <c r="D124" s="5"/>
      <c r="E124" s="5"/>
      <c r="F124" s="6"/>
      <c r="G124" s="4"/>
      <c r="H124" s="4"/>
      <c r="I124" s="4"/>
      <c r="J124" s="6"/>
      <c r="K124" s="7" t="str">
        <f aca="false">IF(OR(I124="",J124=""),"",I124*J124)</f>
        <v/>
      </c>
      <c r="L124" s="4"/>
      <c r="M124" s="8"/>
      <c r="N124" s="7" t="str">
        <f aca="false">IF(OR(L124="",M124="",K124=""),"",IF(L124="GANANCIA",(K124-F124)*M124,IF(L124="BRUTO",K124*M124,"")))</f>
        <v/>
      </c>
      <c r="O124" s="9" t="str">
        <f aca="false">IF(D124="","",D124+30)</f>
        <v/>
      </c>
      <c r="P124" s="10" t="str">
        <f aca="false">IF(I124="","",IF(COUNTIF(Q124:AN124,TRUE())&gt;=I124,"PAGADO",IF(COUNTIF(Q124:AN124,TRUE())&gt;0,"PARCIAL","VIGENTE")))</f>
        <v/>
      </c>
      <c r="Q124" s="11" t="str">
        <f aca="false">IF(OR(I124="",I124&lt;1,O124=""),"",O124+0)</f>
        <v/>
      </c>
      <c r="R124" s="11" t="str">
        <f aca="false">IF(OR(I124="",I124&lt;2,O124=""),"",O124+30)</f>
        <v/>
      </c>
      <c r="S124" s="11" t="str">
        <f aca="false">IF(OR(I124="",I124&lt;3,O124=""),"",O124+60)</f>
        <v/>
      </c>
      <c r="T124" s="11" t="str">
        <f aca="false">IF(OR(I124="",I124&lt;4,O124=""),"",O124+90)</f>
        <v/>
      </c>
      <c r="U124" s="11" t="str">
        <f aca="false">IF(OR(I124="",I124&lt;5,O124=""),"",O124+120)</f>
        <v/>
      </c>
      <c r="V124" s="11" t="str">
        <f aca="false">IF(OR(I124="",I124&lt;6,O124=""),"",O124+150)</f>
        <v/>
      </c>
      <c r="W124" s="11" t="str">
        <f aca="false">IF(OR(I124="",I124&lt;7,O124=""),"",O124+180)</f>
        <v/>
      </c>
      <c r="X124" s="11" t="str">
        <f aca="false">IF(OR(I124="",I124&lt;8,O124=""),"",O124+210)</f>
        <v/>
      </c>
      <c r="Y124" s="11" t="str">
        <f aca="false">IF(OR(I124="",I124&lt;9,O124=""),"",O124+240)</f>
        <v/>
      </c>
      <c r="Z124" s="11" t="str">
        <f aca="false">IF(OR(I124="",I124&lt;10,O124=""),"",O124+270)</f>
        <v/>
      </c>
      <c r="AA124" s="11" t="str">
        <f aca="false">IF(OR(I124="",I124&lt;11,O124=""),"",O124+300)</f>
        <v/>
      </c>
      <c r="AB124" s="11" t="str">
        <f aca="false">IF(OR(I124="",I124&lt;12,O124=""),"",O124+330)</f>
        <v/>
      </c>
      <c r="AC124" s="11" t="str">
        <f aca="false">IF(OR(I124="",I124&lt;13,O124=""),"",O124+360)</f>
        <v/>
      </c>
      <c r="AD124" s="11" t="str">
        <f aca="false">IF(OR(I124="",I124&lt;14,O124=""),"",O124+390)</f>
        <v/>
      </c>
      <c r="AE124" s="11" t="str">
        <f aca="false">IF(OR(I124="",I124&lt;15,O124=""),"",O124+420)</f>
        <v/>
      </c>
      <c r="AF124" s="11" t="str">
        <f aca="false">IF(OR(I124="",I124&lt;16,O124=""),"",O124+450)</f>
        <v/>
      </c>
      <c r="AG124" s="11" t="str">
        <f aca="false">IF(OR(I124="",I124&lt;17,O124=""),"",O124+480)</f>
        <v/>
      </c>
      <c r="AH124" s="11" t="str">
        <f aca="false">IF(OR(I124="",I124&lt;18,O124=""),"",O124+510)</f>
        <v/>
      </c>
      <c r="AI124" s="11" t="str">
        <f aca="false">IF(OR(I124="",I124&lt;19,O124=""),"",O124+540)</f>
        <v/>
      </c>
      <c r="AJ124" s="11" t="str">
        <f aca="false">IF(OR(I124="",I124&lt;20,O124=""),"",O124+570)</f>
        <v/>
      </c>
      <c r="AK124" s="11" t="str">
        <f aca="false">IF(OR(I124="",I124&lt;21,O124=""),"",O124+600)</f>
        <v/>
      </c>
      <c r="AL124" s="11" t="str">
        <f aca="false">IF(OR(I124="",I124&lt;22,O124=""),"",O124+630)</f>
        <v/>
      </c>
      <c r="AM124" s="11" t="str">
        <f aca="false">IF(OR(I124="",I124&lt;23,O124=""),"",O124+660)</f>
        <v/>
      </c>
      <c r="AN124" s="11" t="str">
        <f aca="false">IF(OR(I124="",I124&lt;24,O124=""),"",O124+690)</f>
        <v/>
      </c>
      <c r="AO124" s="7" t="str">
        <f aca="false">IF(J124="","",COUNTIF(Q124:AN124,TRUE())*J124)</f>
        <v/>
      </c>
      <c r="AP124" s="7" t="str">
        <f aca="false">IF(K124="","",K124-AO124)</f>
        <v/>
      </c>
      <c r="AQ124" s="7" t="str">
        <f aca="false">IF(K124="","",K124-F124-IF(N124="",0,N124))</f>
        <v/>
      </c>
    </row>
    <row r="125" customFormat="false" ht="15" hidden="false" customHeight="false" outlineLevel="0" collapsed="false">
      <c r="A125" s="12"/>
      <c r="B125" s="12"/>
      <c r="C125" s="12"/>
      <c r="D125" s="13"/>
      <c r="E125" s="13"/>
      <c r="F125" s="14"/>
      <c r="G125" s="12"/>
      <c r="H125" s="12"/>
      <c r="I125" s="12"/>
      <c r="J125" s="14"/>
      <c r="K125" s="15" t="str">
        <f aca="false">IF(OR(I125="",J125=""),"",I125*J125)</f>
        <v/>
      </c>
      <c r="L125" s="12"/>
      <c r="M125" s="16"/>
      <c r="N125" s="15" t="str">
        <f aca="false">IF(OR(L125="",M125="",K125=""),"",IF(L125="GANANCIA",(K125-F125)*M125,IF(L125="BRUTO",K125*M125,"")))</f>
        <v/>
      </c>
      <c r="O125" s="17" t="str">
        <f aca="false">IF(D125="","",D125+30)</f>
        <v/>
      </c>
      <c r="P125" s="18" t="str">
        <f aca="false">IF(I125="","",IF(COUNTIF(Q125:AN125,TRUE())&gt;=I125,"PAGADO",IF(COUNTIF(Q125:AN125,TRUE())&gt;0,"PARCIAL","VIGENTE")))</f>
        <v/>
      </c>
      <c r="Q125" s="19" t="str">
        <f aca="false">IF(OR(I125="",I125&lt;1,O125=""),"",O125+0)</f>
        <v/>
      </c>
      <c r="R125" s="19" t="str">
        <f aca="false">IF(OR(I125="",I125&lt;2,O125=""),"",O125+30)</f>
        <v/>
      </c>
      <c r="S125" s="19" t="str">
        <f aca="false">IF(OR(I125="",I125&lt;3,O125=""),"",O125+60)</f>
        <v/>
      </c>
      <c r="T125" s="19" t="str">
        <f aca="false">IF(OR(I125="",I125&lt;4,O125=""),"",O125+90)</f>
        <v/>
      </c>
      <c r="U125" s="19" t="str">
        <f aca="false">IF(OR(I125="",I125&lt;5,O125=""),"",O125+120)</f>
        <v/>
      </c>
      <c r="V125" s="19" t="str">
        <f aca="false">IF(OR(I125="",I125&lt;6,O125=""),"",O125+150)</f>
        <v/>
      </c>
      <c r="W125" s="19" t="str">
        <f aca="false">IF(OR(I125="",I125&lt;7,O125=""),"",O125+180)</f>
        <v/>
      </c>
      <c r="X125" s="19" t="str">
        <f aca="false">IF(OR(I125="",I125&lt;8,O125=""),"",O125+210)</f>
        <v/>
      </c>
      <c r="Y125" s="19" t="str">
        <f aca="false">IF(OR(I125="",I125&lt;9,O125=""),"",O125+240)</f>
        <v/>
      </c>
      <c r="Z125" s="19" t="str">
        <f aca="false">IF(OR(I125="",I125&lt;10,O125=""),"",O125+270)</f>
        <v/>
      </c>
      <c r="AA125" s="19" t="str">
        <f aca="false">IF(OR(I125="",I125&lt;11,O125=""),"",O125+300)</f>
        <v/>
      </c>
      <c r="AB125" s="19" t="str">
        <f aca="false">IF(OR(I125="",I125&lt;12,O125=""),"",O125+330)</f>
        <v/>
      </c>
      <c r="AC125" s="19" t="str">
        <f aca="false">IF(OR(I125="",I125&lt;13,O125=""),"",O125+360)</f>
        <v/>
      </c>
      <c r="AD125" s="19" t="str">
        <f aca="false">IF(OR(I125="",I125&lt;14,O125=""),"",O125+390)</f>
        <v/>
      </c>
      <c r="AE125" s="19" t="str">
        <f aca="false">IF(OR(I125="",I125&lt;15,O125=""),"",O125+420)</f>
        <v/>
      </c>
      <c r="AF125" s="19" t="str">
        <f aca="false">IF(OR(I125="",I125&lt;16,O125=""),"",O125+450)</f>
        <v/>
      </c>
      <c r="AG125" s="19" t="str">
        <f aca="false">IF(OR(I125="",I125&lt;17,O125=""),"",O125+480)</f>
        <v/>
      </c>
      <c r="AH125" s="19" t="str">
        <f aca="false">IF(OR(I125="",I125&lt;18,O125=""),"",O125+510)</f>
        <v/>
      </c>
      <c r="AI125" s="19" t="str">
        <f aca="false">IF(OR(I125="",I125&lt;19,O125=""),"",O125+540)</f>
        <v/>
      </c>
      <c r="AJ125" s="19" t="str">
        <f aca="false">IF(OR(I125="",I125&lt;20,O125=""),"",O125+570)</f>
        <v/>
      </c>
      <c r="AK125" s="19" t="str">
        <f aca="false">IF(OR(I125="",I125&lt;21,O125=""),"",O125+600)</f>
        <v/>
      </c>
      <c r="AL125" s="19" t="str">
        <f aca="false">IF(OR(I125="",I125&lt;22,O125=""),"",O125+630)</f>
        <v/>
      </c>
      <c r="AM125" s="19" t="str">
        <f aca="false">IF(OR(I125="",I125&lt;23,O125=""),"",O125+660)</f>
        <v/>
      </c>
      <c r="AN125" s="19" t="str">
        <f aca="false">IF(OR(I125="",I125&lt;24,O125=""),"",O125+690)</f>
        <v/>
      </c>
      <c r="AO125" s="15" t="str">
        <f aca="false">IF(J125="","",COUNTIF(Q125:AN125,TRUE())*J125)</f>
        <v/>
      </c>
      <c r="AP125" s="15" t="str">
        <f aca="false">IF(K125="","",K125-AO125)</f>
        <v/>
      </c>
      <c r="AQ125" s="15" t="str">
        <f aca="false">IF(K125="","",K125-F125-IF(N125="",0,N125))</f>
        <v/>
      </c>
    </row>
    <row r="126" customFormat="false" ht="15" hidden="false" customHeight="false" outlineLevel="0" collapsed="false">
      <c r="A126" s="4"/>
      <c r="B126" s="4"/>
      <c r="C126" s="4"/>
      <c r="D126" s="5"/>
      <c r="E126" s="5"/>
      <c r="F126" s="6"/>
      <c r="G126" s="4"/>
      <c r="H126" s="4"/>
      <c r="I126" s="4"/>
      <c r="J126" s="6"/>
      <c r="K126" s="7" t="str">
        <f aca="false">IF(OR(I126="",J126=""),"",I126*J126)</f>
        <v/>
      </c>
      <c r="L126" s="4"/>
      <c r="M126" s="8"/>
      <c r="N126" s="7" t="str">
        <f aca="false">IF(OR(L126="",M126="",K126=""),"",IF(L126="GANANCIA",(K126-F126)*M126,IF(L126="BRUTO",K126*M126,"")))</f>
        <v/>
      </c>
      <c r="O126" s="9" t="str">
        <f aca="false">IF(D126="","",D126+30)</f>
        <v/>
      </c>
      <c r="P126" s="10" t="str">
        <f aca="false">IF(I126="","",IF(COUNTIF(Q126:AN126,TRUE())&gt;=I126,"PAGADO",IF(COUNTIF(Q126:AN126,TRUE())&gt;0,"PARCIAL","VIGENTE")))</f>
        <v/>
      </c>
      <c r="Q126" s="11" t="str">
        <f aca="false">IF(OR(I126="",I126&lt;1,O126=""),"",O126+0)</f>
        <v/>
      </c>
      <c r="R126" s="11" t="str">
        <f aca="false">IF(OR(I126="",I126&lt;2,O126=""),"",O126+30)</f>
        <v/>
      </c>
      <c r="S126" s="11" t="str">
        <f aca="false">IF(OR(I126="",I126&lt;3,O126=""),"",O126+60)</f>
        <v/>
      </c>
      <c r="T126" s="11" t="str">
        <f aca="false">IF(OR(I126="",I126&lt;4,O126=""),"",O126+90)</f>
        <v/>
      </c>
      <c r="U126" s="11" t="str">
        <f aca="false">IF(OR(I126="",I126&lt;5,O126=""),"",O126+120)</f>
        <v/>
      </c>
      <c r="V126" s="11" t="str">
        <f aca="false">IF(OR(I126="",I126&lt;6,O126=""),"",O126+150)</f>
        <v/>
      </c>
      <c r="W126" s="11" t="str">
        <f aca="false">IF(OR(I126="",I126&lt;7,O126=""),"",O126+180)</f>
        <v/>
      </c>
      <c r="X126" s="11" t="str">
        <f aca="false">IF(OR(I126="",I126&lt;8,O126=""),"",O126+210)</f>
        <v/>
      </c>
      <c r="Y126" s="11" t="str">
        <f aca="false">IF(OR(I126="",I126&lt;9,O126=""),"",O126+240)</f>
        <v/>
      </c>
      <c r="Z126" s="11" t="str">
        <f aca="false">IF(OR(I126="",I126&lt;10,O126=""),"",O126+270)</f>
        <v/>
      </c>
      <c r="AA126" s="11" t="str">
        <f aca="false">IF(OR(I126="",I126&lt;11,O126=""),"",O126+300)</f>
        <v/>
      </c>
      <c r="AB126" s="11" t="str">
        <f aca="false">IF(OR(I126="",I126&lt;12,O126=""),"",O126+330)</f>
        <v/>
      </c>
      <c r="AC126" s="11" t="str">
        <f aca="false">IF(OR(I126="",I126&lt;13,O126=""),"",O126+360)</f>
        <v/>
      </c>
      <c r="AD126" s="11" t="str">
        <f aca="false">IF(OR(I126="",I126&lt;14,O126=""),"",O126+390)</f>
        <v/>
      </c>
      <c r="AE126" s="11" t="str">
        <f aca="false">IF(OR(I126="",I126&lt;15,O126=""),"",O126+420)</f>
        <v/>
      </c>
      <c r="AF126" s="11" t="str">
        <f aca="false">IF(OR(I126="",I126&lt;16,O126=""),"",O126+450)</f>
        <v/>
      </c>
      <c r="AG126" s="11" t="str">
        <f aca="false">IF(OR(I126="",I126&lt;17,O126=""),"",O126+480)</f>
        <v/>
      </c>
      <c r="AH126" s="11" t="str">
        <f aca="false">IF(OR(I126="",I126&lt;18,O126=""),"",O126+510)</f>
        <v/>
      </c>
      <c r="AI126" s="11" t="str">
        <f aca="false">IF(OR(I126="",I126&lt;19,O126=""),"",O126+540)</f>
        <v/>
      </c>
      <c r="AJ126" s="11" t="str">
        <f aca="false">IF(OR(I126="",I126&lt;20,O126=""),"",O126+570)</f>
        <v/>
      </c>
      <c r="AK126" s="11" t="str">
        <f aca="false">IF(OR(I126="",I126&lt;21,O126=""),"",O126+600)</f>
        <v/>
      </c>
      <c r="AL126" s="11" t="str">
        <f aca="false">IF(OR(I126="",I126&lt;22,O126=""),"",O126+630)</f>
        <v/>
      </c>
      <c r="AM126" s="11" t="str">
        <f aca="false">IF(OR(I126="",I126&lt;23,O126=""),"",O126+660)</f>
        <v/>
      </c>
      <c r="AN126" s="11" t="str">
        <f aca="false">IF(OR(I126="",I126&lt;24,O126=""),"",O126+690)</f>
        <v/>
      </c>
      <c r="AO126" s="7" t="str">
        <f aca="false">IF(J126="","",COUNTIF(Q126:AN126,TRUE())*J126)</f>
        <v/>
      </c>
      <c r="AP126" s="7" t="str">
        <f aca="false">IF(K126="","",K126-AO126)</f>
        <v/>
      </c>
      <c r="AQ126" s="7" t="str">
        <f aca="false">IF(K126="","",K126-F126-IF(N126="",0,N126))</f>
        <v/>
      </c>
    </row>
    <row r="127" customFormat="false" ht="15" hidden="false" customHeight="false" outlineLevel="0" collapsed="false">
      <c r="A127" s="12"/>
      <c r="B127" s="12"/>
      <c r="C127" s="12"/>
      <c r="D127" s="13"/>
      <c r="E127" s="13"/>
      <c r="F127" s="14"/>
      <c r="G127" s="12"/>
      <c r="H127" s="12"/>
      <c r="I127" s="12"/>
      <c r="J127" s="14"/>
      <c r="K127" s="15" t="str">
        <f aca="false">IF(OR(I127="",J127=""),"",I127*J127)</f>
        <v/>
      </c>
      <c r="L127" s="12"/>
      <c r="M127" s="16"/>
      <c r="N127" s="15" t="str">
        <f aca="false">IF(OR(L127="",M127="",K127=""),"",IF(L127="GANANCIA",(K127-F127)*M127,IF(L127="BRUTO",K127*M127,"")))</f>
        <v/>
      </c>
      <c r="O127" s="17" t="str">
        <f aca="false">IF(D127="","",D127+30)</f>
        <v/>
      </c>
      <c r="P127" s="18" t="str">
        <f aca="false">IF(I127="","",IF(COUNTIF(Q127:AN127,TRUE())&gt;=I127,"PAGADO",IF(COUNTIF(Q127:AN127,TRUE())&gt;0,"PARCIAL","VIGENTE")))</f>
        <v/>
      </c>
      <c r="Q127" s="19" t="str">
        <f aca="false">IF(OR(I127="",I127&lt;1,O127=""),"",O127+0)</f>
        <v/>
      </c>
      <c r="R127" s="19" t="str">
        <f aca="false">IF(OR(I127="",I127&lt;2,O127=""),"",O127+30)</f>
        <v/>
      </c>
      <c r="S127" s="19" t="str">
        <f aca="false">IF(OR(I127="",I127&lt;3,O127=""),"",O127+60)</f>
        <v/>
      </c>
      <c r="T127" s="19" t="str">
        <f aca="false">IF(OR(I127="",I127&lt;4,O127=""),"",O127+90)</f>
        <v/>
      </c>
      <c r="U127" s="19" t="str">
        <f aca="false">IF(OR(I127="",I127&lt;5,O127=""),"",O127+120)</f>
        <v/>
      </c>
      <c r="V127" s="19" t="str">
        <f aca="false">IF(OR(I127="",I127&lt;6,O127=""),"",O127+150)</f>
        <v/>
      </c>
      <c r="W127" s="19" t="str">
        <f aca="false">IF(OR(I127="",I127&lt;7,O127=""),"",O127+180)</f>
        <v/>
      </c>
      <c r="X127" s="19" t="str">
        <f aca="false">IF(OR(I127="",I127&lt;8,O127=""),"",O127+210)</f>
        <v/>
      </c>
      <c r="Y127" s="19" t="str">
        <f aca="false">IF(OR(I127="",I127&lt;9,O127=""),"",O127+240)</f>
        <v/>
      </c>
      <c r="Z127" s="19" t="str">
        <f aca="false">IF(OR(I127="",I127&lt;10,O127=""),"",O127+270)</f>
        <v/>
      </c>
      <c r="AA127" s="19" t="str">
        <f aca="false">IF(OR(I127="",I127&lt;11,O127=""),"",O127+300)</f>
        <v/>
      </c>
      <c r="AB127" s="19" t="str">
        <f aca="false">IF(OR(I127="",I127&lt;12,O127=""),"",O127+330)</f>
        <v/>
      </c>
      <c r="AC127" s="19" t="str">
        <f aca="false">IF(OR(I127="",I127&lt;13,O127=""),"",O127+360)</f>
        <v/>
      </c>
      <c r="AD127" s="19" t="str">
        <f aca="false">IF(OR(I127="",I127&lt;14,O127=""),"",O127+390)</f>
        <v/>
      </c>
      <c r="AE127" s="19" t="str">
        <f aca="false">IF(OR(I127="",I127&lt;15,O127=""),"",O127+420)</f>
        <v/>
      </c>
      <c r="AF127" s="19" t="str">
        <f aca="false">IF(OR(I127="",I127&lt;16,O127=""),"",O127+450)</f>
        <v/>
      </c>
      <c r="AG127" s="19" t="str">
        <f aca="false">IF(OR(I127="",I127&lt;17,O127=""),"",O127+480)</f>
        <v/>
      </c>
      <c r="AH127" s="19" t="str">
        <f aca="false">IF(OR(I127="",I127&lt;18,O127=""),"",O127+510)</f>
        <v/>
      </c>
      <c r="AI127" s="19" t="str">
        <f aca="false">IF(OR(I127="",I127&lt;19,O127=""),"",O127+540)</f>
        <v/>
      </c>
      <c r="AJ127" s="19" t="str">
        <f aca="false">IF(OR(I127="",I127&lt;20,O127=""),"",O127+570)</f>
        <v/>
      </c>
      <c r="AK127" s="19" t="str">
        <f aca="false">IF(OR(I127="",I127&lt;21,O127=""),"",O127+600)</f>
        <v/>
      </c>
      <c r="AL127" s="19" t="str">
        <f aca="false">IF(OR(I127="",I127&lt;22,O127=""),"",O127+630)</f>
        <v/>
      </c>
      <c r="AM127" s="19" t="str">
        <f aca="false">IF(OR(I127="",I127&lt;23,O127=""),"",O127+660)</f>
        <v/>
      </c>
      <c r="AN127" s="19" t="str">
        <f aca="false">IF(OR(I127="",I127&lt;24,O127=""),"",O127+690)</f>
        <v/>
      </c>
      <c r="AO127" s="15" t="str">
        <f aca="false">IF(J127="","",COUNTIF(Q127:AN127,TRUE())*J127)</f>
        <v/>
      </c>
      <c r="AP127" s="15" t="str">
        <f aca="false">IF(K127="","",K127-AO127)</f>
        <v/>
      </c>
      <c r="AQ127" s="15" t="str">
        <f aca="false">IF(K127="","",K127-F127-IF(N127="",0,N127))</f>
        <v/>
      </c>
    </row>
    <row r="128" customFormat="false" ht="15" hidden="false" customHeight="false" outlineLevel="0" collapsed="false">
      <c r="A128" s="4"/>
      <c r="B128" s="4"/>
      <c r="C128" s="4"/>
      <c r="D128" s="5"/>
      <c r="E128" s="5"/>
      <c r="F128" s="6"/>
      <c r="G128" s="4"/>
      <c r="H128" s="4"/>
      <c r="I128" s="4"/>
      <c r="J128" s="6"/>
      <c r="K128" s="7" t="str">
        <f aca="false">IF(OR(I128="",J128=""),"",I128*J128)</f>
        <v/>
      </c>
      <c r="L128" s="4"/>
      <c r="M128" s="8"/>
      <c r="N128" s="7" t="str">
        <f aca="false">IF(OR(L128="",M128="",K128=""),"",IF(L128="GANANCIA",(K128-F128)*M128,IF(L128="BRUTO",K128*M128,"")))</f>
        <v/>
      </c>
      <c r="O128" s="9" t="str">
        <f aca="false">IF(D128="","",D128+30)</f>
        <v/>
      </c>
      <c r="P128" s="10" t="str">
        <f aca="false">IF(I128="","",IF(COUNTIF(Q128:AN128,TRUE())&gt;=I128,"PAGADO",IF(COUNTIF(Q128:AN128,TRUE())&gt;0,"PARCIAL","VIGENTE")))</f>
        <v/>
      </c>
      <c r="Q128" s="11" t="str">
        <f aca="false">IF(OR(I128="",I128&lt;1,O128=""),"",O128+0)</f>
        <v/>
      </c>
      <c r="R128" s="11" t="str">
        <f aca="false">IF(OR(I128="",I128&lt;2,O128=""),"",O128+30)</f>
        <v/>
      </c>
      <c r="S128" s="11" t="str">
        <f aca="false">IF(OR(I128="",I128&lt;3,O128=""),"",O128+60)</f>
        <v/>
      </c>
      <c r="T128" s="11" t="str">
        <f aca="false">IF(OR(I128="",I128&lt;4,O128=""),"",O128+90)</f>
        <v/>
      </c>
      <c r="U128" s="11" t="str">
        <f aca="false">IF(OR(I128="",I128&lt;5,O128=""),"",O128+120)</f>
        <v/>
      </c>
      <c r="V128" s="11" t="str">
        <f aca="false">IF(OR(I128="",I128&lt;6,O128=""),"",O128+150)</f>
        <v/>
      </c>
      <c r="W128" s="11" t="str">
        <f aca="false">IF(OR(I128="",I128&lt;7,O128=""),"",O128+180)</f>
        <v/>
      </c>
      <c r="X128" s="11" t="str">
        <f aca="false">IF(OR(I128="",I128&lt;8,O128=""),"",O128+210)</f>
        <v/>
      </c>
      <c r="Y128" s="11" t="str">
        <f aca="false">IF(OR(I128="",I128&lt;9,O128=""),"",O128+240)</f>
        <v/>
      </c>
      <c r="Z128" s="11" t="str">
        <f aca="false">IF(OR(I128="",I128&lt;10,O128=""),"",O128+270)</f>
        <v/>
      </c>
      <c r="AA128" s="11" t="str">
        <f aca="false">IF(OR(I128="",I128&lt;11,O128=""),"",O128+300)</f>
        <v/>
      </c>
      <c r="AB128" s="11" t="str">
        <f aca="false">IF(OR(I128="",I128&lt;12,O128=""),"",O128+330)</f>
        <v/>
      </c>
      <c r="AC128" s="11" t="str">
        <f aca="false">IF(OR(I128="",I128&lt;13,O128=""),"",O128+360)</f>
        <v/>
      </c>
      <c r="AD128" s="11" t="str">
        <f aca="false">IF(OR(I128="",I128&lt;14,O128=""),"",O128+390)</f>
        <v/>
      </c>
      <c r="AE128" s="11" t="str">
        <f aca="false">IF(OR(I128="",I128&lt;15,O128=""),"",O128+420)</f>
        <v/>
      </c>
      <c r="AF128" s="11" t="str">
        <f aca="false">IF(OR(I128="",I128&lt;16,O128=""),"",O128+450)</f>
        <v/>
      </c>
      <c r="AG128" s="11" t="str">
        <f aca="false">IF(OR(I128="",I128&lt;17,O128=""),"",O128+480)</f>
        <v/>
      </c>
      <c r="AH128" s="11" t="str">
        <f aca="false">IF(OR(I128="",I128&lt;18,O128=""),"",O128+510)</f>
        <v/>
      </c>
      <c r="AI128" s="11" t="str">
        <f aca="false">IF(OR(I128="",I128&lt;19,O128=""),"",O128+540)</f>
        <v/>
      </c>
      <c r="AJ128" s="11" t="str">
        <f aca="false">IF(OR(I128="",I128&lt;20,O128=""),"",O128+570)</f>
        <v/>
      </c>
      <c r="AK128" s="11" t="str">
        <f aca="false">IF(OR(I128="",I128&lt;21,O128=""),"",O128+600)</f>
        <v/>
      </c>
      <c r="AL128" s="11" t="str">
        <f aca="false">IF(OR(I128="",I128&lt;22,O128=""),"",O128+630)</f>
        <v/>
      </c>
      <c r="AM128" s="11" t="str">
        <f aca="false">IF(OR(I128="",I128&lt;23,O128=""),"",O128+660)</f>
        <v/>
      </c>
      <c r="AN128" s="11" t="str">
        <f aca="false">IF(OR(I128="",I128&lt;24,O128=""),"",O128+690)</f>
        <v/>
      </c>
      <c r="AO128" s="7" t="str">
        <f aca="false">IF(J128="","",COUNTIF(Q128:AN128,TRUE())*J128)</f>
        <v/>
      </c>
      <c r="AP128" s="7" t="str">
        <f aca="false">IF(K128="","",K128-AO128)</f>
        <v/>
      </c>
      <c r="AQ128" s="7" t="str">
        <f aca="false">IF(K128="","",K128-F128-IF(N128="",0,N128))</f>
        <v/>
      </c>
    </row>
    <row r="129" customFormat="false" ht="15" hidden="false" customHeight="false" outlineLevel="0" collapsed="false">
      <c r="A129" s="12"/>
      <c r="B129" s="12"/>
      <c r="C129" s="12"/>
      <c r="D129" s="13"/>
      <c r="E129" s="13"/>
      <c r="F129" s="14"/>
      <c r="G129" s="12"/>
      <c r="H129" s="12"/>
      <c r="I129" s="12"/>
      <c r="J129" s="14"/>
      <c r="K129" s="15" t="str">
        <f aca="false">IF(OR(I129="",J129=""),"",I129*J129)</f>
        <v/>
      </c>
      <c r="L129" s="12"/>
      <c r="M129" s="16"/>
      <c r="N129" s="15" t="str">
        <f aca="false">IF(OR(L129="",M129="",K129=""),"",IF(L129="GANANCIA",(K129-F129)*M129,IF(L129="BRUTO",K129*M129,"")))</f>
        <v/>
      </c>
      <c r="O129" s="17" t="str">
        <f aca="false">IF(D129="","",D129+30)</f>
        <v/>
      </c>
      <c r="P129" s="18" t="str">
        <f aca="false">IF(I129="","",IF(COUNTIF(Q129:AN129,TRUE())&gt;=I129,"PAGADO",IF(COUNTIF(Q129:AN129,TRUE())&gt;0,"PARCIAL","VIGENTE")))</f>
        <v/>
      </c>
      <c r="Q129" s="19" t="str">
        <f aca="false">IF(OR(I129="",I129&lt;1,O129=""),"",O129+0)</f>
        <v/>
      </c>
      <c r="R129" s="19" t="str">
        <f aca="false">IF(OR(I129="",I129&lt;2,O129=""),"",O129+30)</f>
        <v/>
      </c>
      <c r="S129" s="19" t="str">
        <f aca="false">IF(OR(I129="",I129&lt;3,O129=""),"",O129+60)</f>
        <v/>
      </c>
      <c r="T129" s="19" t="str">
        <f aca="false">IF(OR(I129="",I129&lt;4,O129=""),"",O129+90)</f>
        <v/>
      </c>
      <c r="U129" s="19" t="str">
        <f aca="false">IF(OR(I129="",I129&lt;5,O129=""),"",O129+120)</f>
        <v/>
      </c>
      <c r="V129" s="19" t="str">
        <f aca="false">IF(OR(I129="",I129&lt;6,O129=""),"",O129+150)</f>
        <v/>
      </c>
      <c r="W129" s="19" t="str">
        <f aca="false">IF(OR(I129="",I129&lt;7,O129=""),"",O129+180)</f>
        <v/>
      </c>
      <c r="X129" s="19" t="str">
        <f aca="false">IF(OR(I129="",I129&lt;8,O129=""),"",O129+210)</f>
        <v/>
      </c>
      <c r="Y129" s="19" t="str">
        <f aca="false">IF(OR(I129="",I129&lt;9,O129=""),"",O129+240)</f>
        <v/>
      </c>
      <c r="Z129" s="19" t="str">
        <f aca="false">IF(OR(I129="",I129&lt;10,O129=""),"",O129+270)</f>
        <v/>
      </c>
      <c r="AA129" s="19" t="str">
        <f aca="false">IF(OR(I129="",I129&lt;11,O129=""),"",O129+300)</f>
        <v/>
      </c>
      <c r="AB129" s="19" t="str">
        <f aca="false">IF(OR(I129="",I129&lt;12,O129=""),"",O129+330)</f>
        <v/>
      </c>
      <c r="AC129" s="19" t="str">
        <f aca="false">IF(OR(I129="",I129&lt;13,O129=""),"",O129+360)</f>
        <v/>
      </c>
      <c r="AD129" s="19" t="str">
        <f aca="false">IF(OR(I129="",I129&lt;14,O129=""),"",O129+390)</f>
        <v/>
      </c>
      <c r="AE129" s="19" t="str">
        <f aca="false">IF(OR(I129="",I129&lt;15,O129=""),"",O129+420)</f>
        <v/>
      </c>
      <c r="AF129" s="19" t="str">
        <f aca="false">IF(OR(I129="",I129&lt;16,O129=""),"",O129+450)</f>
        <v/>
      </c>
      <c r="AG129" s="19" t="str">
        <f aca="false">IF(OR(I129="",I129&lt;17,O129=""),"",O129+480)</f>
        <v/>
      </c>
      <c r="AH129" s="19" t="str">
        <f aca="false">IF(OR(I129="",I129&lt;18,O129=""),"",O129+510)</f>
        <v/>
      </c>
      <c r="AI129" s="19" t="str">
        <f aca="false">IF(OR(I129="",I129&lt;19,O129=""),"",O129+540)</f>
        <v/>
      </c>
      <c r="AJ129" s="19" t="str">
        <f aca="false">IF(OR(I129="",I129&lt;20,O129=""),"",O129+570)</f>
        <v/>
      </c>
      <c r="AK129" s="19" t="str">
        <f aca="false">IF(OR(I129="",I129&lt;21,O129=""),"",O129+600)</f>
        <v/>
      </c>
      <c r="AL129" s="19" t="str">
        <f aca="false">IF(OR(I129="",I129&lt;22,O129=""),"",O129+630)</f>
        <v/>
      </c>
      <c r="AM129" s="19" t="str">
        <f aca="false">IF(OR(I129="",I129&lt;23,O129=""),"",O129+660)</f>
        <v/>
      </c>
      <c r="AN129" s="19" t="str">
        <f aca="false">IF(OR(I129="",I129&lt;24,O129=""),"",O129+690)</f>
        <v/>
      </c>
      <c r="AO129" s="15" t="str">
        <f aca="false">IF(J129="","",COUNTIF(Q129:AN129,TRUE())*J129)</f>
        <v/>
      </c>
      <c r="AP129" s="15" t="str">
        <f aca="false">IF(K129="","",K129-AO129)</f>
        <v/>
      </c>
      <c r="AQ129" s="15" t="str">
        <f aca="false">IF(K129="","",K129-F129-IF(N129="",0,N129))</f>
        <v/>
      </c>
    </row>
    <row r="130" customFormat="false" ht="15" hidden="false" customHeight="false" outlineLevel="0" collapsed="false">
      <c r="A130" s="4"/>
      <c r="B130" s="4"/>
      <c r="C130" s="4"/>
      <c r="D130" s="5"/>
      <c r="E130" s="5"/>
      <c r="F130" s="6"/>
      <c r="G130" s="4"/>
      <c r="H130" s="4"/>
      <c r="I130" s="4"/>
      <c r="J130" s="6"/>
      <c r="K130" s="7" t="str">
        <f aca="false">IF(OR(I130="",J130=""),"",I130*J130)</f>
        <v/>
      </c>
      <c r="L130" s="4"/>
      <c r="M130" s="8"/>
      <c r="N130" s="7" t="str">
        <f aca="false">IF(OR(L130="",M130="",K130=""),"",IF(L130="GANANCIA",(K130-F130)*M130,IF(L130="BRUTO",K130*M130,"")))</f>
        <v/>
      </c>
      <c r="O130" s="9" t="str">
        <f aca="false">IF(D130="","",D130+30)</f>
        <v/>
      </c>
      <c r="P130" s="10" t="str">
        <f aca="false">IF(I130="","",IF(COUNTIF(Q130:AN130,TRUE())&gt;=I130,"PAGADO",IF(COUNTIF(Q130:AN130,TRUE())&gt;0,"PARCIAL","VIGENTE")))</f>
        <v/>
      </c>
      <c r="Q130" s="11" t="str">
        <f aca="false">IF(OR(I130="",I130&lt;1,O130=""),"",O130+0)</f>
        <v/>
      </c>
      <c r="R130" s="11" t="str">
        <f aca="false">IF(OR(I130="",I130&lt;2,O130=""),"",O130+30)</f>
        <v/>
      </c>
      <c r="S130" s="11" t="str">
        <f aca="false">IF(OR(I130="",I130&lt;3,O130=""),"",O130+60)</f>
        <v/>
      </c>
      <c r="T130" s="11" t="str">
        <f aca="false">IF(OR(I130="",I130&lt;4,O130=""),"",O130+90)</f>
        <v/>
      </c>
      <c r="U130" s="11" t="str">
        <f aca="false">IF(OR(I130="",I130&lt;5,O130=""),"",O130+120)</f>
        <v/>
      </c>
      <c r="V130" s="11" t="str">
        <f aca="false">IF(OR(I130="",I130&lt;6,O130=""),"",O130+150)</f>
        <v/>
      </c>
      <c r="W130" s="11" t="str">
        <f aca="false">IF(OR(I130="",I130&lt;7,O130=""),"",O130+180)</f>
        <v/>
      </c>
      <c r="X130" s="11" t="str">
        <f aca="false">IF(OR(I130="",I130&lt;8,O130=""),"",O130+210)</f>
        <v/>
      </c>
      <c r="Y130" s="11" t="str">
        <f aca="false">IF(OR(I130="",I130&lt;9,O130=""),"",O130+240)</f>
        <v/>
      </c>
      <c r="Z130" s="11" t="str">
        <f aca="false">IF(OR(I130="",I130&lt;10,O130=""),"",O130+270)</f>
        <v/>
      </c>
      <c r="AA130" s="11" t="str">
        <f aca="false">IF(OR(I130="",I130&lt;11,O130=""),"",O130+300)</f>
        <v/>
      </c>
      <c r="AB130" s="11" t="str">
        <f aca="false">IF(OR(I130="",I130&lt;12,O130=""),"",O130+330)</f>
        <v/>
      </c>
      <c r="AC130" s="11" t="str">
        <f aca="false">IF(OR(I130="",I130&lt;13,O130=""),"",O130+360)</f>
        <v/>
      </c>
      <c r="AD130" s="11" t="str">
        <f aca="false">IF(OR(I130="",I130&lt;14,O130=""),"",O130+390)</f>
        <v/>
      </c>
      <c r="AE130" s="11" t="str">
        <f aca="false">IF(OR(I130="",I130&lt;15,O130=""),"",O130+420)</f>
        <v/>
      </c>
      <c r="AF130" s="11" t="str">
        <f aca="false">IF(OR(I130="",I130&lt;16,O130=""),"",O130+450)</f>
        <v/>
      </c>
      <c r="AG130" s="11" t="str">
        <f aca="false">IF(OR(I130="",I130&lt;17,O130=""),"",O130+480)</f>
        <v/>
      </c>
      <c r="AH130" s="11" t="str">
        <f aca="false">IF(OR(I130="",I130&lt;18,O130=""),"",O130+510)</f>
        <v/>
      </c>
      <c r="AI130" s="11" t="str">
        <f aca="false">IF(OR(I130="",I130&lt;19,O130=""),"",O130+540)</f>
        <v/>
      </c>
      <c r="AJ130" s="11" t="str">
        <f aca="false">IF(OR(I130="",I130&lt;20,O130=""),"",O130+570)</f>
        <v/>
      </c>
      <c r="AK130" s="11" t="str">
        <f aca="false">IF(OR(I130="",I130&lt;21,O130=""),"",O130+600)</f>
        <v/>
      </c>
      <c r="AL130" s="11" t="str">
        <f aca="false">IF(OR(I130="",I130&lt;22,O130=""),"",O130+630)</f>
        <v/>
      </c>
      <c r="AM130" s="11" t="str">
        <f aca="false">IF(OR(I130="",I130&lt;23,O130=""),"",O130+660)</f>
        <v/>
      </c>
      <c r="AN130" s="11" t="str">
        <f aca="false">IF(OR(I130="",I130&lt;24,O130=""),"",O130+690)</f>
        <v/>
      </c>
      <c r="AO130" s="7" t="str">
        <f aca="false">IF(J130="","",COUNTIF(Q130:AN130,TRUE())*J130)</f>
        <v/>
      </c>
      <c r="AP130" s="7" t="str">
        <f aca="false">IF(K130="","",K130-AO130)</f>
        <v/>
      </c>
      <c r="AQ130" s="7" t="str">
        <f aca="false">IF(K130="","",K130-F130-IF(N130="",0,N130))</f>
        <v/>
      </c>
    </row>
    <row r="131" customFormat="false" ht="15" hidden="false" customHeight="false" outlineLevel="0" collapsed="false">
      <c r="A131" s="12"/>
      <c r="B131" s="12"/>
      <c r="C131" s="12"/>
      <c r="D131" s="13"/>
      <c r="E131" s="13"/>
      <c r="F131" s="14"/>
      <c r="G131" s="12"/>
      <c r="H131" s="12"/>
      <c r="I131" s="12"/>
      <c r="J131" s="14"/>
      <c r="K131" s="15" t="str">
        <f aca="false">IF(OR(I131="",J131=""),"",I131*J131)</f>
        <v/>
      </c>
      <c r="L131" s="12"/>
      <c r="M131" s="16"/>
      <c r="N131" s="15" t="str">
        <f aca="false">IF(OR(L131="",M131="",K131=""),"",IF(L131="GANANCIA",(K131-F131)*M131,IF(L131="BRUTO",K131*M131,"")))</f>
        <v/>
      </c>
      <c r="O131" s="17" t="str">
        <f aca="false">IF(D131="","",D131+30)</f>
        <v/>
      </c>
      <c r="P131" s="18" t="str">
        <f aca="false">IF(I131="","",IF(COUNTIF(Q131:AN131,TRUE())&gt;=I131,"PAGADO",IF(COUNTIF(Q131:AN131,TRUE())&gt;0,"PARCIAL","VIGENTE")))</f>
        <v/>
      </c>
      <c r="Q131" s="19" t="str">
        <f aca="false">IF(OR(I131="",I131&lt;1,O131=""),"",O131+0)</f>
        <v/>
      </c>
      <c r="R131" s="19" t="str">
        <f aca="false">IF(OR(I131="",I131&lt;2,O131=""),"",O131+30)</f>
        <v/>
      </c>
      <c r="S131" s="19" t="str">
        <f aca="false">IF(OR(I131="",I131&lt;3,O131=""),"",O131+60)</f>
        <v/>
      </c>
      <c r="T131" s="19" t="str">
        <f aca="false">IF(OR(I131="",I131&lt;4,O131=""),"",O131+90)</f>
        <v/>
      </c>
      <c r="U131" s="19" t="str">
        <f aca="false">IF(OR(I131="",I131&lt;5,O131=""),"",O131+120)</f>
        <v/>
      </c>
      <c r="V131" s="19" t="str">
        <f aca="false">IF(OR(I131="",I131&lt;6,O131=""),"",O131+150)</f>
        <v/>
      </c>
      <c r="W131" s="19" t="str">
        <f aca="false">IF(OR(I131="",I131&lt;7,O131=""),"",O131+180)</f>
        <v/>
      </c>
      <c r="X131" s="19" t="str">
        <f aca="false">IF(OR(I131="",I131&lt;8,O131=""),"",O131+210)</f>
        <v/>
      </c>
      <c r="Y131" s="19" t="str">
        <f aca="false">IF(OR(I131="",I131&lt;9,O131=""),"",O131+240)</f>
        <v/>
      </c>
      <c r="Z131" s="19" t="str">
        <f aca="false">IF(OR(I131="",I131&lt;10,O131=""),"",O131+270)</f>
        <v/>
      </c>
      <c r="AA131" s="19" t="str">
        <f aca="false">IF(OR(I131="",I131&lt;11,O131=""),"",O131+300)</f>
        <v/>
      </c>
      <c r="AB131" s="19" t="str">
        <f aca="false">IF(OR(I131="",I131&lt;12,O131=""),"",O131+330)</f>
        <v/>
      </c>
      <c r="AC131" s="19" t="str">
        <f aca="false">IF(OR(I131="",I131&lt;13,O131=""),"",O131+360)</f>
        <v/>
      </c>
      <c r="AD131" s="19" t="str">
        <f aca="false">IF(OR(I131="",I131&lt;14,O131=""),"",O131+390)</f>
        <v/>
      </c>
      <c r="AE131" s="19" t="str">
        <f aca="false">IF(OR(I131="",I131&lt;15,O131=""),"",O131+420)</f>
        <v/>
      </c>
      <c r="AF131" s="19" t="str">
        <f aca="false">IF(OR(I131="",I131&lt;16,O131=""),"",O131+450)</f>
        <v/>
      </c>
      <c r="AG131" s="19" t="str">
        <f aca="false">IF(OR(I131="",I131&lt;17,O131=""),"",O131+480)</f>
        <v/>
      </c>
      <c r="AH131" s="19" t="str">
        <f aca="false">IF(OR(I131="",I131&lt;18,O131=""),"",O131+510)</f>
        <v/>
      </c>
      <c r="AI131" s="19" t="str">
        <f aca="false">IF(OR(I131="",I131&lt;19,O131=""),"",O131+540)</f>
        <v/>
      </c>
      <c r="AJ131" s="19" t="str">
        <f aca="false">IF(OR(I131="",I131&lt;20,O131=""),"",O131+570)</f>
        <v/>
      </c>
      <c r="AK131" s="19" t="str">
        <f aca="false">IF(OR(I131="",I131&lt;21,O131=""),"",O131+600)</f>
        <v/>
      </c>
      <c r="AL131" s="19" t="str">
        <f aca="false">IF(OR(I131="",I131&lt;22,O131=""),"",O131+630)</f>
        <v/>
      </c>
      <c r="AM131" s="19" t="str">
        <f aca="false">IF(OR(I131="",I131&lt;23,O131=""),"",O131+660)</f>
        <v/>
      </c>
      <c r="AN131" s="19" t="str">
        <f aca="false">IF(OR(I131="",I131&lt;24,O131=""),"",O131+690)</f>
        <v/>
      </c>
      <c r="AO131" s="15" t="str">
        <f aca="false">IF(J131="","",COUNTIF(Q131:AN131,TRUE())*J131)</f>
        <v/>
      </c>
      <c r="AP131" s="15" t="str">
        <f aca="false">IF(K131="","",K131-AO131)</f>
        <v/>
      </c>
      <c r="AQ131" s="15" t="str">
        <f aca="false">IF(K131="","",K131-F131-IF(N131="",0,N131))</f>
        <v/>
      </c>
    </row>
    <row r="132" customFormat="false" ht="15" hidden="false" customHeight="false" outlineLevel="0" collapsed="false">
      <c r="A132" s="4"/>
      <c r="B132" s="4"/>
      <c r="C132" s="4"/>
      <c r="D132" s="5"/>
      <c r="E132" s="5"/>
      <c r="F132" s="6"/>
      <c r="G132" s="4"/>
      <c r="H132" s="4"/>
      <c r="I132" s="4"/>
      <c r="J132" s="6"/>
      <c r="K132" s="7" t="str">
        <f aca="false">IF(OR(I132="",J132=""),"",I132*J132)</f>
        <v/>
      </c>
      <c r="L132" s="4"/>
      <c r="M132" s="8"/>
      <c r="N132" s="7" t="str">
        <f aca="false">IF(OR(L132="",M132="",K132=""),"",IF(L132="GANANCIA",(K132-F132)*M132,IF(L132="BRUTO",K132*M132,"")))</f>
        <v/>
      </c>
      <c r="O132" s="9" t="str">
        <f aca="false">IF(D132="","",D132+30)</f>
        <v/>
      </c>
      <c r="P132" s="10" t="str">
        <f aca="false">IF(I132="","",IF(COUNTIF(Q132:AN132,TRUE())&gt;=I132,"PAGADO",IF(COUNTIF(Q132:AN132,TRUE())&gt;0,"PARCIAL","VIGENTE")))</f>
        <v/>
      </c>
      <c r="Q132" s="11" t="str">
        <f aca="false">IF(OR(I132="",I132&lt;1,O132=""),"",O132+0)</f>
        <v/>
      </c>
      <c r="R132" s="11" t="str">
        <f aca="false">IF(OR(I132="",I132&lt;2,O132=""),"",O132+30)</f>
        <v/>
      </c>
      <c r="S132" s="11" t="str">
        <f aca="false">IF(OR(I132="",I132&lt;3,O132=""),"",O132+60)</f>
        <v/>
      </c>
      <c r="T132" s="11" t="str">
        <f aca="false">IF(OR(I132="",I132&lt;4,O132=""),"",O132+90)</f>
        <v/>
      </c>
      <c r="U132" s="11" t="str">
        <f aca="false">IF(OR(I132="",I132&lt;5,O132=""),"",O132+120)</f>
        <v/>
      </c>
      <c r="V132" s="11" t="str">
        <f aca="false">IF(OR(I132="",I132&lt;6,O132=""),"",O132+150)</f>
        <v/>
      </c>
      <c r="W132" s="11" t="str">
        <f aca="false">IF(OR(I132="",I132&lt;7,O132=""),"",O132+180)</f>
        <v/>
      </c>
      <c r="X132" s="11" t="str">
        <f aca="false">IF(OR(I132="",I132&lt;8,O132=""),"",O132+210)</f>
        <v/>
      </c>
      <c r="Y132" s="11" t="str">
        <f aca="false">IF(OR(I132="",I132&lt;9,O132=""),"",O132+240)</f>
        <v/>
      </c>
      <c r="Z132" s="11" t="str">
        <f aca="false">IF(OR(I132="",I132&lt;10,O132=""),"",O132+270)</f>
        <v/>
      </c>
      <c r="AA132" s="11" t="str">
        <f aca="false">IF(OR(I132="",I132&lt;11,O132=""),"",O132+300)</f>
        <v/>
      </c>
      <c r="AB132" s="11" t="str">
        <f aca="false">IF(OR(I132="",I132&lt;12,O132=""),"",O132+330)</f>
        <v/>
      </c>
      <c r="AC132" s="11" t="str">
        <f aca="false">IF(OR(I132="",I132&lt;13,O132=""),"",O132+360)</f>
        <v/>
      </c>
      <c r="AD132" s="11" t="str">
        <f aca="false">IF(OR(I132="",I132&lt;14,O132=""),"",O132+390)</f>
        <v/>
      </c>
      <c r="AE132" s="11" t="str">
        <f aca="false">IF(OR(I132="",I132&lt;15,O132=""),"",O132+420)</f>
        <v/>
      </c>
      <c r="AF132" s="11" t="str">
        <f aca="false">IF(OR(I132="",I132&lt;16,O132=""),"",O132+450)</f>
        <v/>
      </c>
      <c r="AG132" s="11" t="str">
        <f aca="false">IF(OR(I132="",I132&lt;17,O132=""),"",O132+480)</f>
        <v/>
      </c>
      <c r="AH132" s="11" t="str">
        <f aca="false">IF(OR(I132="",I132&lt;18,O132=""),"",O132+510)</f>
        <v/>
      </c>
      <c r="AI132" s="11" t="str">
        <f aca="false">IF(OR(I132="",I132&lt;19,O132=""),"",O132+540)</f>
        <v/>
      </c>
      <c r="AJ132" s="11" t="str">
        <f aca="false">IF(OR(I132="",I132&lt;20,O132=""),"",O132+570)</f>
        <v/>
      </c>
      <c r="AK132" s="11" t="str">
        <f aca="false">IF(OR(I132="",I132&lt;21,O132=""),"",O132+600)</f>
        <v/>
      </c>
      <c r="AL132" s="11" t="str">
        <f aca="false">IF(OR(I132="",I132&lt;22,O132=""),"",O132+630)</f>
        <v/>
      </c>
      <c r="AM132" s="11" t="str">
        <f aca="false">IF(OR(I132="",I132&lt;23,O132=""),"",O132+660)</f>
        <v/>
      </c>
      <c r="AN132" s="11" t="str">
        <f aca="false">IF(OR(I132="",I132&lt;24,O132=""),"",O132+690)</f>
        <v/>
      </c>
      <c r="AO132" s="7" t="str">
        <f aca="false">IF(J132="","",COUNTIF(Q132:AN132,TRUE())*J132)</f>
        <v/>
      </c>
      <c r="AP132" s="7" t="str">
        <f aca="false">IF(K132="","",K132-AO132)</f>
        <v/>
      </c>
      <c r="AQ132" s="7" t="str">
        <f aca="false">IF(K132="","",K132-F132-IF(N132="",0,N132))</f>
        <v/>
      </c>
    </row>
    <row r="133" customFormat="false" ht="15" hidden="false" customHeight="false" outlineLevel="0" collapsed="false">
      <c r="A133" s="12"/>
      <c r="B133" s="12"/>
      <c r="C133" s="12"/>
      <c r="D133" s="13"/>
      <c r="E133" s="13"/>
      <c r="F133" s="14"/>
      <c r="G133" s="12"/>
      <c r="H133" s="12"/>
      <c r="I133" s="12"/>
      <c r="J133" s="14"/>
      <c r="K133" s="15" t="str">
        <f aca="false">IF(OR(I133="",J133=""),"",I133*J133)</f>
        <v/>
      </c>
      <c r="L133" s="12"/>
      <c r="M133" s="16"/>
      <c r="N133" s="15" t="str">
        <f aca="false">IF(OR(L133="",M133="",K133=""),"",IF(L133="GANANCIA",(K133-F133)*M133,IF(L133="BRUTO",K133*M133,"")))</f>
        <v/>
      </c>
      <c r="O133" s="17" t="str">
        <f aca="false">IF(D133="","",D133+30)</f>
        <v/>
      </c>
      <c r="P133" s="18" t="str">
        <f aca="false">IF(I133="","",IF(COUNTIF(Q133:AN133,TRUE())&gt;=I133,"PAGADO",IF(COUNTIF(Q133:AN133,TRUE())&gt;0,"PARCIAL","VIGENTE")))</f>
        <v/>
      </c>
      <c r="Q133" s="19" t="str">
        <f aca="false">IF(OR(I133="",I133&lt;1,O133=""),"",O133+0)</f>
        <v/>
      </c>
      <c r="R133" s="19" t="str">
        <f aca="false">IF(OR(I133="",I133&lt;2,O133=""),"",O133+30)</f>
        <v/>
      </c>
      <c r="S133" s="19" t="str">
        <f aca="false">IF(OR(I133="",I133&lt;3,O133=""),"",O133+60)</f>
        <v/>
      </c>
      <c r="T133" s="19" t="str">
        <f aca="false">IF(OR(I133="",I133&lt;4,O133=""),"",O133+90)</f>
        <v/>
      </c>
      <c r="U133" s="19" t="str">
        <f aca="false">IF(OR(I133="",I133&lt;5,O133=""),"",O133+120)</f>
        <v/>
      </c>
      <c r="V133" s="19" t="str">
        <f aca="false">IF(OR(I133="",I133&lt;6,O133=""),"",O133+150)</f>
        <v/>
      </c>
      <c r="W133" s="19" t="str">
        <f aca="false">IF(OR(I133="",I133&lt;7,O133=""),"",O133+180)</f>
        <v/>
      </c>
      <c r="X133" s="19" t="str">
        <f aca="false">IF(OR(I133="",I133&lt;8,O133=""),"",O133+210)</f>
        <v/>
      </c>
      <c r="Y133" s="19" t="str">
        <f aca="false">IF(OR(I133="",I133&lt;9,O133=""),"",O133+240)</f>
        <v/>
      </c>
      <c r="Z133" s="19" t="str">
        <f aca="false">IF(OR(I133="",I133&lt;10,O133=""),"",O133+270)</f>
        <v/>
      </c>
      <c r="AA133" s="19" t="str">
        <f aca="false">IF(OR(I133="",I133&lt;11,O133=""),"",O133+300)</f>
        <v/>
      </c>
      <c r="AB133" s="19" t="str">
        <f aca="false">IF(OR(I133="",I133&lt;12,O133=""),"",O133+330)</f>
        <v/>
      </c>
      <c r="AC133" s="19" t="str">
        <f aca="false">IF(OR(I133="",I133&lt;13,O133=""),"",O133+360)</f>
        <v/>
      </c>
      <c r="AD133" s="19" t="str">
        <f aca="false">IF(OR(I133="",I133&lt;14,O133=""),"",O133+390)</f>
        <v/>
      </c>
      <c r="AE133" s="19" t="str">
        <f aca="false">IF(OR(I133="",I133&lt;15,O133=""),"",O133+420)</f>
        <v/>
      </c>
      <c r="AF133" s="19" t="str">
        <f aca="false">IF(OR(I133="",I133&lt;16,O133=""),"",O133+450)</f>
        <v/>
      </c>
      <c r="AG133" s="19" t="str">
        <f aca="false">IF(OR(I133="",I133&lt;17,O133=""),"",O133+480)</f>
        <v/>
      </c>
      <c r="AH133" s="19" t="str">
        <f aca="false">IF(OR(I133="",I133&lt;18,O133=""),"",O133+510)</f>
        <v/>
      </c>
      <c r="AI133" s="19" t="str">
        <f aca="false">IF(OR(I133="",I133&lt;19,O133=""),"",O133+540)</f>
        <v/>
      </c>
      <c r="AJ133" s="19" t="str">
        <f aca="false">IF(OR(I133="",I133&lt;20,O133=""),"",O133+570)</f>
        <v/>
      </c>
      <c r="AK133" s="19" t="str">
        <f aca="false">IF(OR(I133="",I133&lt;21,O133=""),"",O133+600)</f>
        <v/>
      </c>
      <c r="AL133" s="19" t="str">
        <f aca="false">IF(OR(I133="",I133&lt;22,O133=""),"",O133+630)</f>
        <v/>
      </c>
      <c r="AM133" s="19" t="str">
        <f aca="false">IF(OR(I133="",I133&lt;23,O133=""),"",O133+660)</f>
        <v/>
      </c>
      <c r="AN133" s="19" t="str">
        <f aca="false">IF(OR(I133="",I133&lt;24,O133=""),"",O133+690)</f>
        <v/>
      </c>
      <c r="AO133" s="15" t="str">
        <f aca="false">IF(J133="","",COUNTIF(Q133:AN133,TRUE())*J133)</f>
        <v/>
      </c>
      <c r="AP133" s="15" t="str">
        <f aca="false">IF(K133="","",K133-AO133)</f>
        <v/>
      </c>
      <c r="AQ133" s="15" t="str">
        <f aca="false">IF(K133="","",K133-F133-IF(N133="",0,N133))</f>
        <v/>
      </c>
    </row>
    <row r="134" customFormat="false" ht="15" hidden="false" customHeight="false" outlineLevel="0" collapsed="false">
      <c r="A134" s="4"/>
      <c r="B134" s="4"/>
      <c r="C134" s="4"/>
      <c r="D134" s="5"/>
      <c r="E134" s="5"/>
      <c r="F134" s="6"/>
      <c r="G134" s="4"/>
      <c r="H134" s="4"/>
      <c r="I134" s="4"/>
      <c r="J134" s="6"/>
      <c r="K134" s="7" t="str">
        <f aca="false">IF(OR(I134="",J134=""),"",I134*J134)</f>
        <v/>
      </c>
      <c r="L134" s="4"/>
      <c r="M134" s="8"/>
      <c r="N134" s="7" t="str">
        <f aca="false">IF(OR(L134="",M134="",K134=""),"",IF(L134="GANANCIA",(K134-F134)*M134,IF(L134="BRUTO",K134*M134,"")))</f>
        <v/>
      </c>
      <c r="O134" s="9" t="str">
        <f aca="false">IF(D134="","",D134+30)</f>
        <v/>
      </c>
      <c r="P134" s="10" t="str">
        <f aca="false">IF(I134="","",IF(COUNTIF(Q134:AN134,TRUE())&gt;=I134,"PAGADO",IF(COUNTIF(Q134:AN134,TRUE())&gt;0,"PARCIAL","VIGENTE")))</f>
        <v/>
      </c>
      <c r="Q134" s="11" t="str">
        <f aca="false">IF(OR(I134="",I134&lt;1,O134=""),"",O134+0)</f>
        <v/>
      </c>
      <c r="R134" s="11" t="str">
        <f aca="false">IF(OR(I134="",I134&lt;2,O134=""),"",O134+30)</f>
        <v/>
      </c>
      <c r="S134" s="11" t="str">
        <f aca="false">IF(OR(I134="",I134&lt;3,O134=""),"",O134+60)</f>
        <v/>
      </c>
      <c r="T134" s="11" t="str">
        <f aca="false">IF(OR(I134="",I134&lt;4,O134=""),"",O134+90)</f>
        <v/>
      </c>
      <c r="U134" s="11" t="str">
        <f aca="false">IF(OR(I134="",I134&lt;5,O134=""),"",O134+120)</f>
        <v/>
      </c>
      <c r="V134" s="11" t="str">
        <f aca="false">IF(OR(I134="",I134&lt;6,O134=""),"",O134+150)</f>
        <v/>
      </c>
      <c r="W134" s="11" t="str">
        <f aca="false">IF(OR(I134="",I134&lt;7,O134=""),"",O134+180)</f>
        <v/>
      </c>
      <c r="X134" s="11" t="str">
        <f aca="false">IF(OR(I134="",I134&lt;8,O134=""),"",O134+210)</f>
        <v/>
      </c>
      <c r="Y134" s="11" t="str">
        <f aca="false">IF(OR(I134="",I134&lt;9,O134=""),"",O134+240)</f>
        <v/>
      </c>
      <c r="Z134" s="11" t="str">
        <f aca="false">IF(OR(I134="",I134&lt;10,O134=""),"",O134+270)</f>
        <v/>
      </c>
      <c r="AA134" s="11" t="str">
        <f aca="false">IF(OR(I134="",I134&lt;11,O134=""),"",O134+300)</f>
        <v/>
      </c>
      <c r="AB134" s="11" t="str">
        <f aca="false">IF(OR(I134="",I134&lt;12,O134=""),"",O134+330)</f>
        <v/>
      </c>
      <c r="AC134" s="11" t="str">
        <f aca="false">IF(OR(I134="",I134&lt;13,O134=""),"",O134+360)</f>
        <v/>
      </c>
      <c r="AD134" s="11" t="str">
        <f aca="false">IF(OR(I134="",I134&lt;14,O134=""),"",O134+390)</f>
        <v/>
      </c>
      <c r="AE134" s="11" t="str">
        <f aca="false">IF(OR(I134="",I134&lt;15,O134=""),"",O134+420)</f>
        <v/>
      </c>
      <c r="AF134" s="11" t="str">
        <f aca="false">IF(OR(I134="",I134&lt;16,O134=""),"",O134+450)</f>
        <v/>
      </c>
      <c r="AG134" s="11" t="str">
        <f aca="false">IF(OR(I134="",I134&lt;17,O134=""),"",O134+480)</f>
        <v/>
      </c>
      <c r="AH134" s="11" t="str">
        <f aca="false">IF(OR(I134="",I134&lt;18,O134=""),"",O134+510)</f>
        <v/>
      </c>
      <c r="AI134" s="11" t="str">
        <f aca="false">IF(OR(I134="",I134&lt;19,O134=""),"",O134+540)</f>
        <v/>
      </c>
      <c r="AJ134" s="11" t="str">
        <f aca="false">IF(OR(I134="",I134&lt;20,O134=""),"",O134+570)</f>
        <v/>
      </c>
      <c r="AK134" s="11" t="str">
        <f aca="false">IF(OR(I134="",I134&lt;21,O134=""),"",O134+600)</f>
        <v/>
      </c>
      <c r="AL134" s="11" t="str">
        <f aca="false">IF(OR(I134="",I134&lt;22,O134=""),"",O134+630)</f>
        <v/>
      </c>
      <c r="AM134" s="11" t="str">
        <f aca="false">IF(OR(I134="",I134&lt;23,O134=""),"",O134+660)</f>
        <v/>
      </c>
      <c r="AN134" s="11" t="str">
        <f aca="false">IF(OR(I134="",I134&lt;24,O134=""),"",O134+690)</f>
        <v/>
      </c>
      <c r="AO134" s="7" t="str">
        <f aca="false">IF(J134="","",COUNTIF(Q134:AN134,TRUE())*J134)</f>
        <v/>
      </c>
      <c r="AP134" s="7" t="str">
        <f aca="false">IF(K134="","",K134-AO134)</f>
        <v/>
      </c>
      <c r="AQ134" s="7" t="str">
        <f aca="false">IF(K134="","",K134-F134-IF(N134="",0,N134))</f>
        <v/>
      </c>
    </row>
    <row r="135" customFormat="false" ht="15" hidden="false" customHeight="false" outlineLevel="0" collapsed="false">
      <c r="A135" s="12"/>
      <c r="B135" s="12"/>
      <c r="C135" s="12"/>
      <c r="D135" s="13"/>
      <c r="E135" s="13"/>
      <c r="F135" s="14"/>
      <c r="G135" s="12"/>
      <c r="H135" s="12"/>
      <c r="I135" s="12"/>
      <c r="J135" s="14"/>
      <c r="K135" s="15" t="str">
        <f aca="false">IF(OR(I135="",J135=""),"",I135*J135)</f>
        <v/>
      </c>
      <c r="L135" s="12"/>
      <c r="M135" s="16"/>
      <c r="N135" s="15" t="str">
        <f aca="false">IF(OR(L135="",M135="",K135=""),"",IF(L135="GANANCIA",(K135-F135)*M135,IF(L135="BRUTO",K135*M135,"")))</f>
        <v/>
      </c>
      <c r="O135" s="17" t="str">
        <f aca="false">IF(D135="","",D135+30)</f>
        <v/>
      </c>
      <c r="P135" s="18" t="str">
        <f aca="false">IF(I135="","",IF(COUNTIF(Q135:AN135,TRUE())&gt;=I135,"PAGADO",IF(COUNTIF(Q135:AN135,TRUE())&gt;0,"PARCIAL","VIGENTE")))</f>
        <v/>
      </c>
      <c r="Q135" s="19" t="str">
        <f aca="false">IF(OR(I135="",I135&lt;1,O135=""),"",O135+0)</f>
        <v/>
      </c>
      <c r="R135" s="19" t="str">
        <f aca="false">IF(OR(I135="",I135&lt;2,O135=""),"",O135+30)</f>
        <v/>
      </c>
      <c r="S135" s="19" t="str">
        <f aca="false">IF(OR(I135="",I135&lt;3,O135=""),"",O135+60)</f>
        <v/>
      </c>
      <c r="T135" s="19" t="str">
        <f aca="false">IF(OR(I135="",I135&lt;4,O135=""),"",O135+90)</f>
        <v/>
      </c>
      <c r="U135" s="19" t="str">
        <f aca="false">IF(OR(I135="",I135&lt;5,O135=""),"",O135+120)</f>
        <v/>
      </c>
      <c r="V135" s="19" t="str">
        <f aca="false">IF(OR(I135="",I135&lt;6,O135=""),"",O135+150)</f>
        <v/>
      </c>
      <c r="W135" s="19" t="str">
        <f aca="false">IF(OR(I135="",I135&lt;7,O135=""),"",O135+180)</f>
        <v/>
      </c>
      <c r="X135" s="19" t="str">
        <f aca="false">IF(OR(I135="",I135&lt;8,O135=""),"",O135+210)</f>
        <v/>
      </c>
      <c r="Y135" s="19" t="str">
        <f aca="false">IF(OR(I135="",I135&lt;9,O135=""),"",O135+240)</f>
        <v/>
      </c>
      <c r="Z135" s="19" t="str">
        <f aca="false">IF(OR(I135="",I135&lt;10,O135=""),"",O135+270)</f>
        <v/>
      </c>
      <c r="AA135" s="19" t="str">
        <f aca="false">IF(OR(I135="",I135&lt;11,O135=""),"",O135+300)</f>
        <v/>
      </c>
      <c r="AB135" s="19" t="str">
        <f aca="false">IF(OR(I135="",I135&lt;12,O135=""),"",O135+330)</f>
        <v/>
      </c>
      <c r="AC135" s="19" t="str">
        <f aca="false">IF(OR(I135="",I135&lt;13,O135=""),"",O135+360)</f>
        <v/>
      </c>
      <c r="AD135" s="19" t="str">
        <f aca="false">IF(OR(I135="",I135&lt;14,O135=""),"",O135+390)</f>
        <v/>
      </c>
      <c r="AE135" s="19" t="str">
        <f aca="false">IF(OR(I135="",I135&lt;15,O135=""),"",O135+420)</f>
        <v/>
      </c>
      <c r="AF135" s="19" t="str">
        <f aca="false">IF(OR(I135="",I135&lt;16,O135=""),"",O135+450)</f>
        <v/>
      </c>
      <c r="AG135" s="19" t="str">
        <f aca="false">IF(OR(I135="",I135&lt;17,O135=""),"",O135+480)</f>
        <v/>
      </c>
      <c r="AH135" s="19" t="str">
        <f aca="false">IF(OR(I135="",I135&lt;18,O135=""),"",O135+510)</f>
        <v/>
      </c>
      <c r="AI135" s="19" t="str">
        <f aca="false">IF(OR(I135="",I135&lt;19,O135=""),"",O135+540)</f>
        <v/>
      </c>
      <c r="AJ135" s="19" t="str">
        <f aca="false">IF(OR(I135="",I135&lt;20,O135=""),"",O135+570)</f>
        <v/>
      </c>
      <c r="AK135" s="19" t="str">
        <f aca="false">IF(OR(I135="",I135&lt;21,O135=""),"",O135+600)</f>
        <v/>
      </c>
      <c r="AL135" s="19" t="str">
        <f aca="false">IF(OR(I135="",I135&lt;22,O135=""),"",O135+630)</f>
        <v/>
      </c>
      <c r="AM135" s="19" t="str">
        <f aca="false">IF(OR(I135="",I135&lt;23,O135=""),"",O135+660)</f>
        <v/>
      </c>
      <c r="AN135" s="19" t="str">
        <f aca="false">IF(OR(I135="",I135&lt;24,O135=""),"",O135+690)</f>
        <v/>
      </c>
      <c r="AO135" s="15" t="str">
        <f aca="false">IF(J135="","",COUNTIF(Q135:AN135,TRUE())*J135)</f>
        <v/>
      </c>
      <c r="AP135" s="15" t="str">
        <f aca="false">IF(K135="","",K135-AO135)</f>
        <v/>
      </c>
      <c r="AQ135" s="15" t="str">
        <f aca="false">IF(K135="","",K135-F135-IF(N135="",0,N135))</f>
        <v/>
      </c>
    </row>
    <row r="136" customFormat="false" ht="15" hidden="false" customHeight="false" outlineLevel="0" collapsed="false">
      <c r="A136" s="4"/>
      <c r="B136" s="4"/>
      <c r="C136" s="4"/>
      <c r="D136" s="5"/>
      <c r="E136" s="5"/>
      <c r="F136" s="6"/>
      <c r="G136" s="4"/>
      <c r="H136" s="4"/>
      <c r="I136" s="4"/>
      <c r="J136" s="6"/>
      <c r="K136" s="7" t="str">
        <f aca="false">IF(OR(I136="",J136=""),"",I136*J136)</f>
        <v/>
      </c>
      <c r="L136" s="4"/>
      <c r="M136" s="8"/>
      <c r="N136" s="7" t="str">
        <f aca="false">IF(OR(L136="",M136="",K136=""),"",IF(L136="GANANCIA",(K136-F136)*M136,IF(L136="BRUTO",K136*M136,"")))</f>
        <v/>
      </c>
      <c r="O136" s="9" t="str">
        <f aca="false">IF(D136="","",D136+30)</f>
        <v/>
      </c>
      <c r="P136" s="10" t="str">
        <f aca="false">IF(I136="","",IF(COUNTIF(Q136:AN136,TRUE())&gt;=I136,"PAGADO",IF(COUNTIF(Q136:AN136,TRUE())&gt;0,"PARCIAL","VIGENTE")))</f>
        <v/>
      </c>
      <c r="Q136" s="11" t="str">
        <f aca="false">IF(OR(I136="",I136&lt;1,O136=""),"",O136+0)</f>
        <v/>
      </c>
      <c r="R136" s="11" t="str">
        <f aca="false">IF(OR(I136="",I136&lt;2,O136=""),"",O136+30)</f>
        <v/>
      </c>
      <c r="S136" s="11" t="str">
        <f aca="false">IF(OR(I136="",I136&lt;3,O136=""),"",O136+60)</f>
        <v/>
      </c>
      <c r="T136" s="11" t="str">
        <f aca="false">IF(OR(I136="",I136&lt;4,O136=""),"",O136+90)</f>
        <v/>
      </c>
      <c r="U136" s="11" t="str">
        <f aca="false">IF(OR(I136="",I136&lt;5,O136=""),"",O136+120)</f>
        <v/>
      </c>
      <c r="V136" s="11" t="str">
        <f aca="false">IF(OR(I136="",I136&lt;6,O136=""),"",O136+150)</f>
        <v/>
      </c>
      <c r="W136" s="11" t="str">
        <f aca="false">IF(OR(I136="",I136&lt;7,O136=""),"",O136+180)</f>
        <v/>
      </c>
      <c r="X136" s="11" t="str">
        <f aca="false">IF(OR(I136="",I136&lt;8,O136=""),"",O136+210)</f>
        <v/>
      </c>
      <c r="Y136" s="11" t="str">
        <f aca="false">IF(OR(I136="",I136&lt;9,O136=""),"",O136+240)</f>
        <v/>
      </c>
      <c r="Z136" s="11" t="str">
        <f aca="false">IF(OR(I136="",I136&lt;10,O136=""),"",O136+270)</f>
        <v/>
      </c>
      <c r="AA136" s="11" t="str">
        <f aca="false">IF(OR(I136="",I136&lt;11,O136=""),"",O136+300)</f>
        <v/>
      </c>
      <c r="AB136" s="11" t="str">
        <f aca="false">IF(OR(I136="",I136&lt;12,O136=""),"",O136+330)</f>
        <v/>
      </c>
      <c r="AC136" s="11" t="str">
        <f aca="false">IF(OR(I136="",I136&lt;13,O136=""),"",O136+360)</f>
        <v/>
      </c>
      <c r="AD136" s="11" t="str">
        <f aca="false">IF(OR(I136="",I136&lt;14,O136=""),"",O136+390)</f>
        <v/>
      </c>
      <c r="AE136" s="11" t="str">
        <f aca="false">IF(OR(I136="",I136&lt;15,O136=""),"",O136+420)</f>
        <v/>
      </c>
      <c r="AF136" s="11" t="str">
        <f aca="false">IF(OR(I136="",I136&lt;16,O136=""),"",O136+450)</f>
        <v/>
      </c>
      <c r="AG136" s="11" t="str">
        <f aca="false">IF(OR(I136="",I136&lt;17,O136=""),"",O136+480)</f>
        <v/>
      </c>
      <c r="AH136" s="11" t="str">
        <f aca="false">IF(OR(I136="",I136&lt;18,O136=""),"",O136+510)</f>
        <v/>
      </c>
      <c r="AI136" s="11" t="str">
        <f aca="false">IF(OR(I136="",I136&lt;19,O136=""),"",O136+540)</f>
        <v/>
      </c>
      <c r="AJ136" s="11" t="str">
        <f aca="false">IF(OR(I136="",I136&lt;20,O136=""),"",O136+570)</f>
        <v/>
      </c>
      <c r="AK136" s="11" t="str">
        <f aca="false">IF(OR(I136="",I136&lt;21,O136=""),"",O136+600)</f>
        <v/>
      </c>
      <c r="AL136" s="11" t="str">
        <f aca="false">IF(OR(I136="",I136&lt;22,O136=""),"",O136+630)</f>
        <v/>
      </c>
      <c r="AM136" s="11" t="str">
        <f aca="false">IF(OR(I136="",I136&lt;23,O136=""),"",O136+660)</f>
        <v/>
      </c>
      <c r="AN136" s="11" t="str">
        <f aca="false">IF(OR(I136="",I136&lt;24,O136=""),"",O136+690)</f>
        <v/>
      </c>
      <c r="AO136" s="7" t="str">
        <f aca="false">IF(J136="","",COUNTIF(Q136:AN136,TRUE())*J136)</f>
        <v/>
      </c>
      <c r="AP136" s="7" t="str">
        <f aca="false">IF(K136="","",K136-AO136)</f>
        <v/>
      </c>
      <c r="AQ136" s="7" t="str">
        <f aca="false">IF(K136="","",K136-F136-IF(N136="",0,N136))</f>
        <v/>
      </c>
    </row>
    <row r="137" customFormat="false" ht="15" hidden="false" customHeight="false" outlineLevel="0" collapsed="false">
      <c r="A137" s="12"/>
      <c r="B137" s="12"/>
      <c r="C137" s="12"/>
      <c r="D137" s="13"/>
      <c r="E137" s="13"/>
      <c r="F137" s="14"/>
      <c r="G137" s="12"/>
      <c r="H137" s="12"/>
      <c r="I137" s="12"/>
      <c r="J137" s="14"/>
      <c r="K137" s="15" t="str">
        <f aca="false">IF(OR(I137="",J137=""),"",I137*J137)</f>
        <v/>
      </c>
      <c r="L137" s="12"/>
      <c r="M137" s="16"/>
      <c r="N137" s="15" t="str">
        <f aca="false">IF(OR(L137="",M137="",K137=""),"",IF(L137="GANANCIA",(K137-F137)*M137,IF(L137="BRUTO",K137*M137,"")))</f>
        <v/>
      </c>
      <c r="O137" s="17" t="str">
        <f aca="false">IF(D137="","",D137+30)</f>
        <v/>
      </c>
      <c r="P137" s="18" t="str">
        <f aca="false">IF(I137="","",IF(COUNTIF(Q137:AN137,TRUE())&gt;=I137,"PAGADO",IF(COUNTIF(Q137:AN137,TRUE())&gt;0,"PARCIAL","VIGENTE")))</f>
        <v/>
      </c>
      <c r="Q137" s="19" t="str">
        <f aca="false">IF(OR(I137="",I137&lt;1,O137=""),"",O137+0)</f>
        <v/>
      </c>
      <c r="R137" s="19" t="str">
        <f aca="false">IF(OR(I137="",I137&lt;2,O137=""),"",O137+30)</f>
        <v/>
      </c>
      <c r="S137" s="19" t="str">
        <f aca="false">IF(OR(I137="",I137&lt;3,O137=""),"",O137+60)</f>
        <v/>
      </c>
      <c r="T137" s="19" t="str">
        <f aca="false">IF(OR(I137="",I137&lt;4,O137=""),"",O137+90)</f>
        <v/>
      </c>
      <c r="U137" s="19" t="str">
        <f aca="false">IF(OR(I137="",I137&lt;5,O137=""),"",O137+120)</f>
        <v/>
      </c>
      <c r="V137" s="19" t="str">
        <f aca="false">IF(OR(I137="",I137&lt;6,O137=""),"",O137+150)</f>
        <v/>
      </c>
      <c r="W137" s="19" t="str">
        <f aca="false">IF(OR(I137="",I137&lt;7,O137=""),"",O137+180)</f>
        <v/>
      </c>
      <c r="X137" s="19" t="str">
        <f aca="false">IF(OR(I137="",I137&lt;8,O137=""),"",O137+210)</f>
        <v/>
      </c>
      <c r="Y137" s="19" t="str">
        <f aca="false">IF(OR(I137="",I137&lt;9,O137=""),"",O137+240)</f>
        <v/>
      </c>
      <c r="Z137" s="19" t="str">
        <f aca="false">IF(OR(I137="",I137&lt;10,O137=""),"",O137+270)</f>
        <v/>
      </c>
      <c r="AA137" s="19" t="str">
        <f aca="false">IF(OR(I137="",I137&lt;11,O137=""),"",O137+300)</f>
        <v/>
      </c>
      <c r="AB137" s="19" t="str">
        <f aca="false">IF(OR(I137="",I137&lt;12,O137=""),"",O137+330)</f>
        <v/>
      </c>
      <c r="AC137" s="19" t="str">
        <f aca="false">IF(OR(I137="",I137&lt;13,O137=""),"",O137+360)</f>
        <v/>
      </c>
      <c r="AD137" s="19" t="str">
        <f aca="false">IF(OR(I137="",I137&lt;14,O137=""),"",O137+390)</f>
        <v/>
      </c>
      <c r="AE137" s="19" t="str">
        <f aca="false">IF(OR(I137="",I137&lt;15,O137=""),"",O137+420)</f>
        <v/>
      </c>
      <c r="AF137" s="19" t="str">
        <f aca="false">IF(OR(I137="",I137&lt;16,O137=""),"",O137+450)</f>
        <v/>
      </c>
      <c r="AG137" s="19" t="str">
        <f aca="false">IF(OR(I137="",I137&lt;17,O137=""),"",O137+480)</f>
        <v/>
      </c>
      <c r="AH137" s="19" t="str">
        <f aca="false">IF(OR(I137="",I137&lt;18,O137=""),"",O137+510)</f>
        <v/>
      </c>
      <c r="AI137" s="19" t="str">
        <f aca="false">IF(OR(I137="",I137&lt;19,O137=""),"",O137+540)</f>
        <v/>
      </c>
      <c r="AJ137" s="19" t="str">
        <f aca="false">IF(OR(I137="",I137&lt;20,O137=""),"",O137+570)</f>
        <v/>
      </c>
      <c r="AK137" s="19" t="str">
        <f aca="false">IF(OR(I137="",I137&lt;21,O137=""),"",O137+600)</f>
        <v/>
      </c>
      <c r="AL137" s="19" t="str">
        <f aca="false">IF(OR(I137="",I137&lt;22,O137=""),"",O137+630)</f>
        <v/>
      </c>
      <c r="AM137" s="19" t="str">
        <f aca="false">IF(OR(I137="",I137&lt;23,O137=""),"",O137+660)</f>
        <v/>
      </c>
      <c r="AN137" s="19" t="str">
        <f aca="false">IF(OR(I137="",I137&lt;24,O137=""),"",O137+690)</f>
        <v/>
      </c>
      <c r="AO137" s="15" t="str">
        <f aca="false">IF(J137="","",COUNTIF(Q137:AN137,TRUE())*J137)</f>
        <v/>
      </c>
      <c r="AP137" s="15" t="str">
        <f aca="false">IF(K137="","",K137-AO137)</f>
        <v/>
      </c>
      <c r="AQ137" s="15" t="str">
        <f aca="false">IF(K137="","",K137-F137-IF(N137="",0,N137))</f>
        <v/>
      </c>
    </row>
    <row r="138" customFormat="false" ht="15" hidden="false" customHeight="false" outlineLevel="0" collapsed="false">
      <c r="A138" s="4"/>
      <c r="B138" s="4"/>
      <c r="C138" s="4"/>
      <c r="D138" s="5"/>
      <c r="E138" s="5"/>
      <c r="F138" s="6"/>
      <c r="G138" s="4"/>
      <c r="H138" s="4"/>
      <c r="I138" s="4"/>
      <c r="J138" s="6"/>
      <c r="K138" s="7" t="str">
        <f aca="false">IF(OR(I138="",J138=""),"",I138*J138)</f>
        <v/>
      </c>
      <c r="L138" s="4"/>
      <c r="M138" s="8"/>
      <c r="N138" s="7" t="str">
        <f aca="false">IF(OR(L138="",M138="",K138=""),"",IF(L138="GANANCIA",(K138-F138)*M138,IF(L138="BRUTO",K138*M138,"")))</f>
        <v/>
      </c>
      <c r="O138" s="9" t="str">
        <f aca="false">IF(D138="","",D138+30)</f>
        <v/>
      </c>
      <c r="P138" s="10" t="str">
        <f aca="false">IF(I138="","",IF(COUNTIF(Q138:AN138,TRUE())&gt;=I138,"PAGADO",IF(COUNTIF(Q138:AN138,TRUE())&gt;0,"PARCIAL","VIGENTE")))</f>
        <v/>
      </c>
      <c r="Q138" s="11" t="str">
        <f aca="false">IF(OR(I138="",I138&lt;1,O138=""),"",O138+0)</f>
        <v/>
      </c>
      <c r="R138" s="11" t="str">
        <f aca="false">IF(OR(I138="",I138&lt;2,O138=""),"",O138+30)</f>
        <v/>
      </c>
      <c r="S138" s="11" t="str">
        <f aca="false">IF(OR(I138="",I138&lt;3,O138=""),"",O138+60)</f>
        <v/>
      </c>
      <c r="T138" s="11" t="str">
        <f aca="false">IF(OR(I138="",I138&lt;4,O138=""),"",O138+90)</f>
        <v/>
      </c>
      <c r="U138" s="11" t="str">
        <f aca="false">IF(OR(I138="",I138&lt;5,O138=""),"",O138+120)</f>
        <v/>
      </c>
      <c r="V138" s="11" t="str">
        <f aca="false">IF(OR(I138="",I138&lt;6,O138=""),"",O138+150)</f>
        <v/>
      </c>
      <c r="W138" s="11" t="str">
        <f aca="false">IF(OR(I138="",I138&lt;7,O138=""),"",O138+180)</f>
        <v/>
      </c>
      <c r="X138" s="11" t="str">
        <f aca="false">IF(OR(I138="",I138&lt;8,O138=""),"",O138+210)</f>
        <v/>
      </c>
      <c r="Y138" s="11" t="str">
        <f aca="false">IF(OR(I138="",I138&lt;9,O138=""),"",O138+240)</f>
        <v/>
      </c>
      <c r="Z138" s="11" t="str">
        <f aca="false">IF(OR(I138="",I138&lt;10,O138=""),"",O138+270)</f>
        <v/>
      </c>
      <c r="AA138" s="11" t="str">
        <f aca="false">IF(OR(I138="",I138&lt;11,O138=""),"",O138+300)</f>
        <v/>
      </c>
      <c r="AB138" s="11" t="str">
        <f aca="false">IF(OR(I138="",I138&lt;12,O138=""),"",O138+330)</f>
        <v/>
      </c>
      <c r="AC138" s="11" t="str">
        <f aca="false">IF(OR(I138="",I138&lt;13,O138=""),"",O138+360)</f>
        <v/>
      </c>
      <c r="AD138" s="11" t="str">
        <f aca="false">IF(OR(I138="",I138&lt;14,O138=""),"",O138+390)</f>
        <v/>
      </c>
      <c r="AE138" s="11" t="str">
        <f aca="false">IF(OR(I138="",I138&lt;15,O138=""),"",O138+420)</f>
        <v/>
      </c>
      <c r="AF138" s="11" t="str">
        <f aca="false">IF(OR(I138="",I138&lt;16,O138=""),"",O138+450)</f>
        <v/>
      </c>
      <c r="AG138" s="11" t="str">
        <f aca="false">IF(OR(I138="",I138&lt;17,O138=""),"",O138+480)</f>
        <v/>
      </c>
      <c r="AH138" s="11" t="str">
        <f aca="false">IF(OR(I138="",I138&lt;18,O138=""),"",O138+510)</f>
        <v/>
      </c>
      <c r="AI138" s="11" t="str">
        <f aca="false">IF(OR(I138="",I138&lt;19,O138=""),"",O138+540)</f>
        <v/>
      </c>
      <c r="AJ138" s="11" t="str">
        <f aca="false">IF(OR(I138="",I138&lt;20,O138=""),"",O138+570)</f>
        <v/>
      </c>
      <c r="AK138" s="11" t="str">
        <f aca="false">IF(OR(I138="",I138&lt;21,O138=""),"",O138+600)</f>
        <v/>
      </c>
      <c r="AL138" s="11" t="str">
        <f aca="false">IF(OR(I138="",I138&lt;22,O138=""),"",O138+630)</f>
        <v/>
      </c>
      <c r="AM138" s="11" t="str">
        <f aca="false">IF(OR(I138="",I138&lt;23,O138=""),"",O138+660)</f>
        <v/>
      </c>
      <c r="AN138" s="11" t="str">
        <f aca="false">IF(OR(I138="",I138&lt;24,O138=""),"",O138+690)</f>
        <v/>
      </c>
      <c r="AO138" s="7" t="str">
        <f aca="false">IF(J138="","",COUNTIF(Q138:AN138,TRUE())*J138)</f>
        <v/>
      </c>
      <c r="AP138" s="7" t="str">
        <f aca="false">IF(K138="","",K138-AO138)</f>
        <v/>
      </c>
      <c r="AQ138" s="7" t="str">
        <f aca="false">IF(K138="","",K138-F138-IF(N138="",0,N138))</f>
        <v/>
      </c>
    </row>
    <row r="139" customFormat="false" ht="15" hidden="false" customHeight="false" outlineLevel="0" collapsed="false">
      <c r="A139" s="12"/>
      <c r="B139" s="12"/>
      <c r="C139" s="12"/>
      <c r="D139" s="13"/>
      <c r="E139" s="13"/>
      <c r="F139" s="14"/>
      <c r="G139" s="12"/>
      <c r="H139" s="12"/>
      <c r="I139" s="12"/>
      <c r="J139" s="14"/>
      <c r="K139" s="15" t="str">
        <f aca="false">IF(OR(I139="",J139=""),"",I139*J139)</f>
        <v/>
      </c>
      <c r="L139" s="12"/>
      <c r="M139" s="16"/>
      <c r="N139" s="15" t="str">
        <f aca="false">IF(OR(L139="",M139="",K139=""),"",IF(L139="GANANCIA",(K139-F139)*M139,IF(L139="BRUTO",K139*M139,"")))</f>
        <v/>
      </c>
      <c r="O139" s="17" t="str">
        <f aca="false">IF(D139="","",D139+30)</f>
        <v/>
      </c>
      <c r="P139" s="18" t="str">
        <f aca="false">IF(I139="","",IF(COUNTIF(Q139:AN139,TRUE())&gt;=I139,"PAGADO",IF(COUNTIF(Q139:AN139,TRUE())&gt;0,"PARCIAL","VIGENTE")))</f>
        <v/>
      </c>
      <c r="Q139" s="19" t="str">
        <f aca="false">IF(OR(I139="",I139&lt;1,O139=""),"",O139+0)</f>
        <v/>
      </c>
      <c r="R139" s="19" t="str">
        <f aca="false">IF(OR(I139="",I139&lt;2,O139=""),"",O139+30)</f>
        <v/>
      </c>
      <c r="S139" s="19" t="str">
        <f aca="false">IF(OR(I139="",I139&lt;3,O139=""),"",O139+60)</f>
        <v/>
      </c>
      <c r="T139" s="19" t="str">
        <f aca="false">IF(OR(I139="",I139&lt;4,O139=""),"",O139+90)</f>
        <v/>
      </c>
      <c r="U139" s="19" t="str">
        <f aca="false">IF(OR(I139="",I139&lt;5,O139=""),"",O139+120)</f>
        <v/>
      </c>
      <c r="V139" s="19" t="str">
        <f aca="false">IF(OR(I139="",I139&lt;6,O139=""),"",O139+150)</f>
        <v/>
      </c>
      <c r="W139" s="19" t="str">
        <f aca="false">IF(OR(I139="",I139&lt;7,O139=""),"",O139+180)</f>
        <v/>
      </c>
      <c r="X139" s="19" t="str">
        <f aca="false">IF(OR(I139="",I139&lt;8,O139=""),"",O139+210)</f>
        <v/>
      </c>
      <c r="Y139" s="19" t="str">
        <f aca="false">IF(OR(I139="",I139&lt;9,O139=""),"",O139+240)</f>
        <v/>
      </c>
      <c r="Z139" s="19" t="str">
        <f aca="false">IF(OR(I139="",I139&lt;10,O139=""),"",O139+270)</f>
        <v/>
      </c>
      <c r="AA139" s="19" t="str">
        <f aca="false">IF(OR(I139="",I139&lt;11,O139=""),"",O139+300)</f>
        <v/>
      </c>
      <c r="AB139" s="19" t="str">
        <f aca="false">IF(OR(I139="",I139&lt;12,O139=""),"",O139+330)</f>
        <v/>
      </c>
      <c r="AC139" s="19" t="str">
        <f aca="false">IF(OR(I139="",I139&lt;13,O139=""),"",O139+360)</f>
        <v/>
      </c>
      <c r="AD139" s="19" t="str">
        <f aca="false">IF(OR(I139="",I139&lt;14,O139=""),"",O139+390)</f>
        <v/>
      </c>
      <c r="AE139" s="19" t="str">
        <f aca="false">IF(OR(I139="",I139&lt;15,O139=""),"",O139+420)</f>
        <v/>
      </c>
      <c r="AF139" s="19" t="str">
        <f aca="false">IF(OR(I139="",I139&lt;16,O139=""),"",O139+450)</f>
        <v/>
      </c>
      <c r="AG139" s="19" t="str">
        <f aca="false">IF(OR(I139="",I139&lt;17,O139=""),"",O139+480)</f>
        <v/>
      </c>
      <c r="AH139" s="19" t="str">
        <f aca="false">IF(OR(I139="",I139&lt;18,O139=""),"",O139+510)</f>
        <v/>
      </c>
      <c r="AI139" s="19" t="str">
        <f aca="false">IF(OR(I139="",I139&lt;19,O139=""),"",O139+540)</f>
        <v/>
      </c>
      <c r="AJ139" s="19" t="str">
        <f aca="false">IF(OR(I139="",I139&lt;20,O139=""),"",O139+570)</f>
        <v/>
      </c>
      <c r="AK139" s="19" t="str">
        <f aca="false">IF(OR(I139="",I139&lt;21,O139=""),"",O139+600)</f>
        <v/>
      </c>
      <c r="AL139" s="19" t="str">
        <f aca="false">IF(OR(I139="",I139&lt;22,O139=""),"",O139+630)</f>
        <v/>
      </c>
      <c r="AM139" s="19" t="str">
        <f aca="false">IF(OR(I139="",I139&lt;23,O139=""),"",O139+660)</f>
        <v/>
      </c>
      <c r="AN139" s="19" t="str">
        <f aca="false">IF(OR(I139="",I139&lt;24,O139=""),"",O139+690)</f>
        <v/>
      </c>
      <c r="AO139" s="15" t="str">
        <f aca="false">IF(J139="","",COUNTIF(Q139:AN139,TRUE())*J139)</f>
        <v/>
      </c>
      <c r="AP139" s="15" t="str">
        <f aca="false">IF(K139="","",K139-AO139)</f>
        <v/>
      </c>
      <c r="AQ139" s="15" t="str">
        <f aca="false">IF(K139="","",K139-F139-IF(N139="",0,N139))</f>
        <v/>
      </c>
    </row>
    <row r="140" customFormat="false" ht="15" hidden="false" customHeight="false" outlineLevel="0" collapsed="false">
      <c r="A140" s="4"/>
      <c r="B140" s="4"/>
      <c r="C140" s="4"/>
      <c r="D140" s="5"/>
      <c r="E140" s="5"/>
      <c r="F140" s="6"/>
      <c r="G140" s="4"/>
      <c r="H140" s="4"/>
      <c r="I140" s="4"/>
      <c r="J140" s="6"/>
      <c r="K140" s="7" t="str">
        <f aca="false">IF(OR(I140="",J140=""),"",I140*J140)</f>
        <v/>
      </c>
      <c r="L140" s="4"/>
      <c r="M140" s="8"/>
      <c r="N140" s="7" t="str">
        <f aca="false">IF(OR(L140="",M140="",K140=""),"",IF(L140="GANANCIA",(K140-F140)*M140,IF(L140="BRUTO",K140*M140,"")))</f>
        <v/>
      </c>
      <c r="O140" s="9" t="str">
        <f aca="false">IF(D140="","",D140+30)</f>
        <v/>
      </c>
      <c r="P140" s="10" t="str">
        <f aca="false">IF(I140="","",IF(COUNTIF(Q140:AN140,TRUE())&gt;=I140,"PAGADO",IF(COUNTIF(Q140:AN140,TRUE())&gt;0,"PARCIAL","VIGENTE")))</f>
        <v/>
      </c>
      <c r="Q140" s="11" t="str">
        <f aca="false">IF(OR(I140="",I140&lt;1,O140=""),"",O140+0)</f>
        <v/>
      </c>
      <c r="R140" s="11" t="str">
        <f aca="false">IF(OR(I140="",I140&lt;2,O140=""),"",O140+30)</f>
        <v/>
      </c>
      <c r="S140" s="11" t="str">
        <f aca="false">IF(OR(I140="",I140&lt;3,O140=""),"",O140+60)</f>
        <v/>
      </c>
      <c r="T140" s="11" t="str">
        <f aca="false">IF(OR(I140="",I140&lt;4,O140=""),"",O140+90)</f>
        <v/>
      </c>
      <c r="U140" s="11" t="str">
        <f aca="false">IF(OR(I140="",I140&lt;5,O140=""),"",O140+120)</f>
        <v/>
      </c>
      <c r="V140" s="11" t="str">
        <f aca="false">IF(OR(I140="",I140&lt;6,O140=""),"",O140+150)</f>
        <v/>
      </c>
      <c r="W140" s="11" t="str">
        <f aca="false">IF(OR(I140="",I140&lt;7,O140=""),"",O140+180)</f>
        <v/>
      </c>
      <c r="X140" s="11" t="str">
        <f aca="false">IF(OR(I140="",I140&lt;8,O140=""),"",O140+210)</f>
        <v/>
      </c>
      <c r="Y140" s="11" t="str">
        <f aca="false">IF(OR(I140="",I140&lt;9,O140=""),"",O140+240)</f>
        <v/>
      </c>
      <c r="Z140" s="11" t="str">
        <f aca="false">IF(OR(I140="",I140&lt;10,O140=""),"",O140+270)</f>
        <v/>
      </c>
      <c r="AA140" s="11" t="str">
        <f aca="false">IF(OR(I140="",I140&lt;11,O140=""),"",O140+300)</f>
        <v/>
      </c>
      <c r="AB140" s="11" t="str">
        <f aca="false">IF(OR(I140="",I140&lt;12,O140=""),"",O140+330)</f>
        <v/>
      </c>
      <c r="AC140" s="11" t="str">
        <f aca="false">IF(OR(I140="",I140&lt;13,O140=""),"",O140+360)</f>
        <v/>
      </c>
      <c r="AD140" s="11" t="str">
        <f aca="false">IF(OR(I140="",I140&lt;14,O140=""),"",O140+390)</f>
        <v/>
      </c>
      <c r="AE140" s="11" t="str">
        <f aca="false">IF(OR(I140="",I140&lt;15,O140=""),"",O140+420)</f>
        <v/>
      </c>
      <c r="AF140" s="11" t="str">
        <f aca="false">IF(OR(I140="",I140&lt;16,O140=""),"",O140+450)</f>
        <v/>
      </c>
      <c r="AG140" s="11" t="str">
        <f aca="false">IF(OR(I140="",I140&lt;17,O140=""),"",O140+480)</f>
        <v/>
      </c>
      <c r="AH140" s="11" t="str">
        <f aca="false">IF(OR(I140="",I140&lt;18,O140=""),"",O140+510)</f>
        <v/>
      </c>
      <c r="AI140" s="11" t="str">
        <f aca="false">IF(OR(I140="",I140&lt;19,O140=""),"",O140+540)</f>
        <v/>
      </c>
      <c r="AJ140" s="11" t="str">
        <f aca="false">IF(OR(I140="",I140&lt;20,O140=""),"",O140+570)</f>
        <v/>
      </c>
      <c r="AK140" s="11" t="str">
        <f aca="false">IF(OR(I140="",I140&lt;21,O140=""),"",O140+600)</f>
        <v/>
      </c>
      <c r="AL140" s="11" t="str">
        <f aca="false">IF(OR(I140="",I140&lt;22,O140=""),"",O140+630)</f>
        <v/>
      </c>
      <c r="AM140" s="11" t="str">
        <f aca="false">IF(OR(I140="",I140&lt;23,O140=""),"",O140+660)</f>
        <v/>
      </c>
      <c r="AN140" s="11" t="str">
        <f aca="false">IF(OR(I140="",I140&lt;24,O140=""),"",O140+690)</f>
        <v/>
      </c>
      <c r="AO140" s="7" t="str">
        <f aca="false">IF(J140="","",COUNTIF(Q140:AN140,TRUE())*J140)</f>
        <v/>
      </c>
      <c r="AP140" s="7" t="str">
        <f aca="false">IF(K140="","",K140-AO140)</f>
        <v/>
      </c>
      <c r="AQ140" s="7" t="str">
        <f aca="false">IF(K140="","",K140-F140-IF(N140="",0,N140))</f>
        <v/>
      </c>
    </row>
    <row r="141" customFormat="false" ht="15" hidden="false" customHeight="false" outlineLevel="0" collapsed="false">
      <c r="A141" s="12"/>
      <c r="B141" s="12"/>
      <c r="C141" s="12"/>
      <c r="D141" s="13"/>
      <c r="E141" s="13"/>
      <c r="F141" s="14"/>
      <c r="G141" s="12"/>
      <c r="H141" s="12"/>
      <c r="I141" s="12"/>
      <c r="J141" s="14"/>
      <c r="K141" s="15" t="str">
        <f aca="false">IF(OR(I141="",J141=""),"",I141*J141)</f>
        <v/>
      </c>
      <c r="L141" s="12"/>
      <c r="M141" s="16"/>
      <c r="N141" s="15" t="str">
        <f aca="false">IF(OR(L141="",M141="",K141=""),"",IF(L141="GANANCIA",(K141-F141)*M141,IF(L141="BRUTO",K141*M141,"")))</f>
        <v/>
      </c>
      <c r="O141" s="17" t="str">
        <f aca="false">IF(D141="","",D141+30)</f>
        <v/>
      </c>
      <c r="P141" s="18" t="str">
        <f aca="false">IF(I141="","",IF(COUNTIF(Q141:AN141,TRUE())&gt;=I141,"PAGADO",IF(COUNTIF(Q141:AN141,TRUE())&gt;0,"PARCIAL","VIGENTE")))</f>
        <v/>
      </c>
      <c r="Q141" s="19" t="str">
        <f aca="false">IF(OR(I141="",I141&lt;1,O141=""),"",O141+0)</f>
        <v/>
      </c>
      <c r="R141" s="19" t="str">
        <f aca="false">IF(OR(I141="",I141&lt;2,O141=""),"",O141+30)</f>
        <v/>
      </c>
      <c r="S141" s="19" t="str">
        <f aca="false">IF(OR(I141="",I141&lt;3,O141=""),"",O141+60)</f>
        <v/>
      </c>
      <c r="T141" s="19" t="str">
        <f aca="false">IF(OR(I141="",I141&lt;4,O141=""),"",O141+90)</f>
        <v/>
      </c>
      <c r="U141" s="19" t="str">
        <f aca="false">IF(OR(I141="",I141&lt;5,O141=""),"",O141+120)</f>
        <v/>
      </c>
      <c r="V141" s="19" t="str">
        <f aca="false">IF(OR(I141="",I141&lt;6,O141=""),"",O141+150)</f>
        <v/>
      </c>
      <c r="W141" s="19" t="str">
        <f aca="false">IF(OR(I141="",I141&lt;7,O141=""),"",O141+180)</f>
        <v/>
      </c>
      <c r="X141" s="19" t="str">
        <f aca="false">IF(OR(I141="",I141&lt;8,O141=""),"",O141+210)</f>
        <v/>
      </c>
      <c r="Y141" s="19" t="str">
        <f aca="false">IF(OR(I141="",I141&lt;9,O141=""),"",O141+240)</f>
        <v/>
      </c>
      <c r="Z141" s="19" t="str">
        <f aca="false">IF(OR(I141="",I141&lt;10,O141=""),"",O141+270)</f>
        <v/>
      </c>
      <c r="AA141" s="19" t="str">
        <f aca="false">IF(OR(I141="",I141&lt;11,O141=""),"",O141+300)</f>
        <v/>
      </c>
      <c r="AB141" s="19" t="str">
        <f aca="false">IF(OR(I141="",I141&lt;12,O141=""),"",O141+330)</f>
        <v/>
      </c>
      <c r="AC141" s="19" t="str">
        <f aca="false">IF(OR(I141="",I141&lt;13,O141=""),"",O141+360)</f>
        <v/>
      </c>
      <c r="AD141" s="19" t="str">
        <f aca="false">IF(OR(I141="",I141&lt;14,O141=""),"",O141+390)</f>
        <v/>
      </c>
      <c r="AE141" s="19" t="str">
        <f aca="false">IF(OR(I141="",I141&lt;15,O141=""),"",O141+420)</f>
        <v/>
      </c>
      <c r="AF141" s="19" t="str">
        <f aca="false">IF(OR(I141="",I141&lt;16,O141=""),"",O141+450)</f>
        <v/>
      </c>
      <c r="AG141" s="19" t="str">
        <f aca="false">IF(OR(I141="",I141&lt;17,O141=""),"",O141+480)</f>
        <v/>
      </c>
      <c r="AH141" s="19" t="str">
        <f aca="false">IF(OR(I141="",I141&lt;18,O141=""),"",O141+510)</f>
        <v/>
      </c>
      <c r="AI141" s="19" t="str">
        <f aca="false">IF(OR(I141="",I141&lt;19,O141=""),"",O141+540)</f>
        <v/>
      </c>
      <c r="AJ141" s="19" t="str">
        <f aca="false">IF(OR(I141="",I141&lt;20,O141=""),"",O141+570)</f>
        <v/>
      </c>
      <c r="AK141" s="19" t="str">
        <f aca="false">IF(OR(I141="",I141&lt;21,O141=""),"",O141+600)</f>
        <v/>
      </c>
      <c r="AL141" s="19" t="str">
        <f aca="false">IF(OR(I141="",I141&lt;22,O141=""),"",O141+630)</f>
        <v/>
      </c>
      <c r="AM141" s="19" t="str">
        <f aca="false">IF(OR(I141="",I141&lt;23,O141=""),"",O141+660)</f>
        <v/>
      </c>
      <c r="AN141" s="19" t="str">
        <f aca="false">IF(OR(I141="",I141&lt;24,O141=""),"",O141+690)</f>
        <v/>
      </c>
      <c r="AO141" s="15" t="str">
        <f aca="false">IF(J141="","",COUNTIF(Q141:AN141,TRUE())*J141)</f>
        <v/>
      </c>
      <c r="AP141" s="15" t="str">
        <f aca="false">IF(K141="","",K141-AO141)</f>
        <v/>
      </c>
      <c r="AQ141" s="15" t="str">
        <f aca="false">IF(K141="","",K141-F141-IF(N141="",0,N141))</f>
        <v/>
      </c>
    </row>
    <row r="142" customFormat="false" ht="15" hidden="false" customHeight="false" outlineLevel="0" collapsed="false">
      <c r="A142" s="4"/>
      <c r="B142" s="4"/>
      <c r="C142" s="4"/>
      <c r="D142" s="5"/>
      <c r="E142" s="5"/>
      <c r="F142" s="6"/>
      <c r="G142" s="4"/>
      <c r="H142" s="4"/>
      <c r="I142" s="4"/>
      <c r="J142" s="6"/>
      <c r="K142" s="7" t="str">
        <f aca="false">IF(OR(I142="",J142=""),"",I142*J142)</f>
        <v/>
      </c>
      <c r="L142" s="4"/>
      <c r="M142" s="8"/>
      <c r="N142" s="7" t="str">
        <f aca="false">IF(OR(L142="",M142="",K142=""),"",IF(L142="GANANCIA",(K142-F142)*M142,IF(L142="BRUTO",K142*M142,"")))</f>
        <v/>
      </c>
      <c r="O142" s="9" t="str">
        <f aca="false">IF(D142="","",D142+30)</f>
        <v/>
      </c>
      <c r="P142" s="10" t="str">
        <f aca="false">IF(I142="","",IF(COUNTIF(Q142:AN142,TRUE())&gt;=I142,"PAGADO",IF(COUNTIF(Q142:AN142,TRUE())&gt;0,"PARCIAL","VIGENTE")))</f>
        <v/>
      </c>
      <c r="Q142" s="11" t="str">
        <f aca="false">IF(OR(I142="",I142&lt;1,O142=""),"",O142+0)</f>
        <v/>
      </c>
      <c r="R142" s="11" t="str">
        <f aca="false">IF(OR(I142="",I142&lt;2,O142=""),"",O142+30)</f>
        <v/>
      </c>
      <c r="S142" s="11" t="str">
        <f aca="false">IF(OR(I142="",I142&lt;3,O142=""),"",O142+60)</f>
        <v/>
      </c>
      <c r="T142" s="11" t="str">
        <f aca="false">IF(OR(I142="",I142&lt;4,O142=""),"",O142+90)</f>
        <v/>
      </c>
      <c r="U142" s="11" t="str">
        <f aca="false">IF(OR(I142="",I142&lt;5,O142=""),"",O142+120)</f>
        <v/>
      </c>
      <c r="V142" s="11" t="str">
        <f aca="false">IF(OR(I142="",I142&lt;6,O142=""),"",O142+150)</f>
        <v/>
      </c>
      <c r="W142" s="11" t="str">
        <f aca="false">IF(OR(I142="",I142&lt;7,O142=""),"",O142+180)</f>
        <v/>
      </c>
      <c r="X142" s="11" t="str">
        <f aca="false">IF(OR(I142="",I142&lt;8,O142=""),"",O142+210)</f>
        <v/>
      </c>
      <c r="Y142" s="11" t="str">
        <f aca="false">IF(OR(I142="",I142&lt;9,O142=""),"",O142+240)</f>
        <v/>
      </c>
      <c r="Z142" s="11" t="str">
        <f aca="false">IF(OR(I142="",I142&lt;10,O142=""),"",O142+270)</f>
        <v/>
      </c>
      <c r="AA142" s="11" t="str">
        <f aca="false">IF(OR(I142="",I142&lt;11,O142=""),"",O142+300)</f>
        <v/>
      </c>
      <c r="AB142" s="11" t="str">
        <f aca="false">IF(OR(I142="",I142&lt;12,O142=""),"",O142+330)</f>
        <v/>
      </c>
      <c r="AC142" s="11" t="str">
        <f aca="false">IF(OR(I142="",I142&lt;13,O142=""),"",O142+360)</f>
        <v/>
      </c>
      <c r="AD142" s="11" t="str">
        <f aca="false">IF(OR(I142="",I142&lt;14,O142=""),"",O142+390)</f>
        <v/>
      </c>
      <c r="AE142" s="11" t="str">
        <f aca="false">IF(OR(I142="",I142&lt;15,O142=""),"",O142+420)</f>
        <v/>
      </c>
      <c r="AF142" s="11" t="str">
        <f aca="false">IF(OR(I142="",I142&lt;16,O142=""),"",O142+450)</f>
        <v/>
      </c>
      <c r="AG142" s="11" t="str">
        <f aca="false">IF(OR(I142="",I142&lt;17,O142=""),"",O142+480)</f>
        <v/>
      </c>
      <c r="AH142" s="11" t="str">
        <f aca="false">IF(OR(I142="",I142&lt;18,O142=""),"",O142+510)</f>
        <v/>
      </c>
      <c r="AI142" s="11" t="str">
        <f aca="false">IF(OR(I142="",I142&lt;19,O142=""),"",O142+540)</f>
        <v/>
      </c>
      <c r="AJ142" s="11" t="str">
        <f aca="false">IF(OR(I142="",I142&lt;20,O142=""),"",O142+570)</f>
        <v/>
      </c>
      <c r="AK142" s="11" t="str">
        <f aca="false">IF(OR(I142="",I142&lt;21,O142=""),"",O142+600)</f>
        <v/>
      </c>
      <c r="AL142" s="11" t="str">
        <f aca="false">IF(OR(I142="",I142&lt;22,O142=""),"",O142+630)</f>
        <v/>
      </c>
      <c r="AM142" s="11" t="str">
        <f aca="false">IF(OR(I142="",I142&lt;23,O142=""),"",O142+660)</f>
        <v/>
      </c>
      <c r="AN142" s="11" t="str">
        <f aca="false">IF(OR(I142="",I142&lt;24,O142=""),"",O142+690)</f>
        <v/>
      </c>
      <c r="AO142" s="7" t="str">
        <f aca="false">IF(J142="","",COUNTIF(Q142:AN142,TRUE())*J142)</f>
        <v/>
      </c>
      <c r="AP142" s="7" t="str">
        <f aca="false">IF(K142="","",K142-AO142)</f>
        <v/>
      </c>
      <c r="AQ142" s="7" t="str">
        <f aca="false">IF(K142="","",K142-F142-IF(N142="",0,N142))</f>
        <v/>
      </c>
    </row>
    <row r="143" customFormat="false" ht="15" hidden="false" customHeight="false" outlineLevel="0" collapsed="false">
      <c r="A143" s="12"/>
      <c r="B143" s="12"/>
      <c r="C143" s="12"/>
      <c r="D143" s="13"/>
      <c r="E143" s="13"/>
      <c r="F143" s="14"/>
      <c r="G143" s="12"/>
      <c r="H143" s="12"/>
      <c r="I143" s="12"/>
      <c r="J143" s="14"/>
      <c r="K143" s="15" t="str">
        <f aca="false">IF(OR(I143="",J143=""),"",I143*J143)</f>
        <v/>
      </c>
      <c r="L143" s="12"/>
      <c r="M143" s="16"/>
      <c r="N143" s="15" t="str">
        <f aca="false">IF(OR(L143="",M143="",K143=""),"",IF(L143="GANANCIA",(K143-F143)*M143,IF(L143="BRUTO",K143*M143,"")))</f>
        <v/>
      </c>
      <c r="O143" s="17" t="str">
        <f aca="false">IF(D143="","",D143+30)</f>
        <v/>
      </c>
      <c r="P143" s="18" t="str">
        <f aca="false">IF(I143="","",IF(COUNTIF(Q143:AN143,TRUE())&gt;=I143,"PAGADO",IF(COUNTIF(Q143:AN143,TRUE())&gt;0,"PARCIAL","VIGENTE")))</f>
        <v/>
      </c>
      <c r="Q143" s="19" t="str">
        <f aca="false">IF(OR(I143="",I143&lt;1,O143=""),"",O143+0)</f>
        <v/>
      </c>
      <c r="R143" s="19" t="str">
        <f aca="false">IF(OR(I143="",I143&lt;2,O143=""),"",O143+30)</f>
        <v/>
      </c>
      <c r="S143" s="19" t="str">
        <f aca="false">IF(OR(I143="",I143&lt;3,O143=""),"",O143+60)</f>
        <v/>
      </c>
      <c r="T143" s="19" t="str">
        <f aca="false">IF(OR(I143="",I143&lt;4,O143=""),"",O143+90)</f>
        <v/>
      </c>
      <c r="U143" s="19" t="str">
        <f aca="false">IF(OR(I143="",I143&lt;5,O143=""),"",O143+120)</f>
        <v/>
      </c>
      <c r="V143" s="19" t="str">
        <f aca="false">IF(OR(I143="",I143&lt;6,O143=""),"",O143+150)</f>
        <v/>
      </c>
      <c r="W143" s="19" t="str">
        <f aca="false">IF(OR(I143="",I143&lt;7,O143=""),"",O143+180)</f>
        <v/>
      </c>
      <c r="X143" s="19" t="str">
        <f aca="false">IF(OR(I143="",I143&lt;8,O143=""),"",O143+210)</f>
        <v/>
      </c>
      <c r="Y143" s="19" t="str">
        <f aca="false">IF(OR(I143="",I143&lt;9,O143=""),"",O143+240)</f>
        <v/>
      </c>
      <c r="Z143" s="19" t="str">
        <f aca="false">IF(OR(I143="",I143&lt;10,O143=""),"",O143+270)</f>
        <v/>
      </c>
      <c r="AA143" s="19" t="str">
        <f aca="false">IF(OR(I143="",I143&lt;11,O143=""),"",O143+300)</f>
        <v/>
      </c>
      <c r="AB143" s="19" t="str">
        <f aca="false">IF(OR(I143="",I143&lt;12,O143=""),"",O143+330)</f>
        <v/>
      </c>
      <c r="AC143" s="19" t="str">
        <f aca="false">IF(OR(I143="",I143&lt;13,O143=""),"",O143+360)</f>
        <v/>
      </c>
      <c r="AD143" s="19" t="str">
        <f aca="false">IF(OR(I143="",I143&lt;14,O143=""),"",O143+390)</f>
        <v/>
      </c>
      <c r="AE143" s="19" t="str">
        <f aca="false">IF(OR(I143="",I143&lt;15,O143=""),"",O143+420)</f>
        <v/>
      </c>
      <c r="AF143" s="19" t="str">
        <f aca="false">IF(OR(I143="",I143&lt;16,O143=""),"",O143+450)</f>
        <v/>
      </c>
      <c r="AG143" s="19" t="str">
        <f aca="false">IF(OR(I143="",I143&lt;17,O143=""),"",O143+480)</f>
        <v/>
      </c>
      <c r="AH143" s="19" t="str">
        <f aca="false">IF(OR(I143="",I143&lt;18,O143=""),"",O143+510)</f>
        <v/>
      </c>
      <c r="AI143" s="19" t="str">
        <f aca="false">IF(OR(I143="",I143&lt;19,O143=""),"",O143+540)</f>
        <v/>
      </c>
      <c r="AJ143" s="19" t="str">
        <f aca="false">IF(OR(I143="",I143&lt;20,O143=""),"",O143+570)</f>
        <v/>
      </c>
      <c r="AK143" s="19" t="str">
        <f aca="false">IF(OR(I143="",I143&lt;21,O143=""),"",O143+600)</f>
        <v/>
      </c>
      <c r="AL143" s="19" t="str">
        <f aca="false">IF(OR(I143="",I143&lt;22,O143=""),"",O143+630)</f>
        <v/>
      </c>
      <c r="AM143" s="19" t="str">
        <f aca="false">IF(OR(I143="",I143&lt;23,O143=""),"",O143+660)</f>
        <v/>
      </c>
      <c r="AN143" s="19" t="str">
        <f aca="false">IF(OR(I143="",I143&lt;24,O143=""),"",O143+690)</f>
        <v/>
      </c>
      <c r="AO143" s="15" t="str">
        <f aca="false">IF(J143="","",COUNTIF(Q143:AN143,TRUE())*J143)</f>
        <v/>
      </c>
      <c r="AP143" s="15" t="str">
        <f aca="false">IF(K143="","",K143-AO143)</f>
        <v/>
      </c>
      <c r="AQ143" s="15" t="str">
        <f aca="false">IF(K143="","",K143-F143-IF(N143="",0,N143))</f>
        <v/>
      </c>
    </row>
    <row r="144" customFormat="false" ht="15" hidden="false" customHeight="false" outlineLevel="0" collapsed="false">
      <c r="A144" s="4"/>
      <c r="B144" s="4"/>
      <c r="C144" s="4"/>
      <c r="D144" s="5"/>
      <c r="E144" s="5"/>
      <c r="F144" s="6"/>
      <c r="G144" s="4"/>
      <c r="H144" s="4"/>
      <c r="I144" s="4"/>
      <c r="J144" s="6"/>
      <c r="K144" s="7" t="str">
        <f aca="false">IF(OR(I144="",J144=""),"",I144*J144)</f>
        <v/>
      </c>
      <c r="L144" s="4"/>
      <c r="M144" s="8"/>
      <c r="N144" s="7" t="str">
        <f aca="false">IF(OR(L144="",M144="",K144=""),"",IF(L144="GANANCIA",(K144-F144)*M144,IF(L144="BRUTO",K144*M144,"")))</f>
        <v/>
      </c>
      <c r="O144" s="9" t="str">
        <f aca="false">IF(D144="","",D144+30)</f>
        <v/>
      </c>
      <c r="P144" s="10" t="str">
        <f aca="false">IF(I144="","",IF(COUNTIF(Q144:AN144,TRUE())&gt;=I144,"PAGADO",IF(COUNTIF(Q144:AN144,TRUE())&gt;0,"PARCIAL","VIGENTE")))</f>
        <v/>
      </c>
      <c r="Q144" s="11" t="str">
        <f aca="false">IF(OR(I144="",I144&lt;1,O144=""),"",O144+0)</f>
        <v/>
      </c>
      <c r="R144" s="11" t="str">
        <f aca="false">IF(OR(I144="",I144&lt;2,O144=""),"",O144+30)</f>
        <v/>
      </c>
      <c r="S144" s="11" t="str">
        <f aca="false">IF(OR(I144="",I144&lt;3,O144=""),"",O144+60)</f>
        <v/>
      </c>
      <c r="T144" s="11" t="str">
        <f aca="false">IF(OR(I144="",I144&lt;4,O144=""),"",O144+90)</f>
        <v/>
      </c>
      <c r="U144" s="11" t="str">
        <f aca="false">IF(OR(I144="",I144&lt;5,O144=""),"",O144+120)</f>
        <v/>
      </c>
      <c r="V144" s="11" t="str">
        <f aca="false">IF(OR(I144="",I144&lt;6,O144=""),"",O144+150)</f>
        <v/>
      </c>
      <c r="W144" s="11" t="str">
        <f aca="false">IF(OR(I144="",I144&lt;7,O144=""),"",O144+180)</f>
        <v/>
      </c>
      <c r="X144" s="11" t="str">
        <f aca="false">IF(OR(I144="",I144&lt;8,O144=""),"",O144+210)</f>
        <v/>
      </c>
      <c r="Y144" s="11" t="str">
        <f aca="false">IF(OR(I144="",I144&lt;9,O144=""),"",O144+240)</f>
        <v/>
      </c>
      <c r="Z144" s="11" t="str">
        <f aca="false">IF(OR(I144="",I144&lt;10,O144=""),"",O144+270)</f>
        <v/>
      </c>
      <c r="AA144" s="11" t="str">
        <f aca="false">IF(OR(I144="",I144&lt;11,O144=""),"",O144+300)</f>
        <v/>
      </c>
      <c r="AB144" s="11" t="str">
        <f aca="false">IF(OR(I144="",I144&lt;12,O144=""),"",O144+330)</f>
        <v/>
      </c>
      <c r="AC144" s="11" t="str">
        <f aca="false">IF(OR(I144="",I144&lt;13,O144=""),"",O144+360)</f>
        <v/>
      </c>
      <c r="AD144" s="11" t="str">
        <f aca="false">IF(OR(I144="",I144&lt;14,O144=""),"",O144+390)</f>
        <v/>
      </c>
      <c r="AE144" s="11" t="str">
        <f aca="false">IF(OR(I144="",I144&lt;15,O144=""),"",O144+420)</f>
        <v/>
      </c>
      <c r="AF144" s="11" t="str">
        <f aca="false">IF(OR(I144="",I144&lt;16,O144=""),"",O144+450)</f>
        <v/>
      </c>
      <c r="AG144" s="11" t="str">
        <f aca="false">IF(OR(I144="",I144&lt;17,O144=""),"",O144+480)</f>
        <v/>
      </c>
      <c r="AH144" s="11" t="str">
        <f aca="false">IF(OR(I144="",I144&lt;18,O144=""),"",O144+510)</f>
        <v/>
      </c>
      <c r="AI144" s="11" t="str">
        <f aca="false">IF(OR(I144="",I144&lt;19,O144=""),"",O144+540)</f>
        <v/>
      </c>
      <c r="AJ144" s="11" t="str">
        <f aca="false">IF(OR(I144="",I144&lt;20,O144=""),"",O144+570)</f>
        <v/>
      </c>
      <c r="AK144" s="11" t="str">
        <f aca="false">IF(OR(I144="",I144&lt;21,O144=""),"",O144+600)</f>
        <v/>
      </c>
      <c r="AL144" s="11" t="str">
        <f aca="false">IF(OR(I144="",I144&lt;22,O144=""),"",O144+630)</f>
        <v/>
      </c>
      <c r="AM144" s="11" t="str">
        <f aca="false">IF(OR(I144="",I144&lt;23,O144=""),"",O144+660)</f>
        <v/>
      </c>
      <c r="AN144" s="11" t="str">
        <f aca="false">IF(OR(I144="",I144&lt;24,O144=""),"",O144+690)</f>
        <v/>
      </c>
      <c r="AO144" s="7" t="str">
        <f aca="false">IF(J144="","",COUNTIF(Q144:AN144,TRUE())*J144)</f>
        <v/>
      </c>
      <c r="AP144" s="7" t="str">
        <f aca="false">IF(K144="","",K144-AO144)</f>
        <v/>
      </c>
      <c r="AQ144" s="7" t="str">
        <f aca="false">IF(K144="","",K144-F144-IF(N144="",0,N144))</f>
        <v/>
      </c>
    </row>
    <row r="145" customFormat="false" ht="15" hidden="false" customHeight="false" outlineLevel="0" collapsed="false">
      <c r="A145" s="12"/>
      <c r="B145" s="12"/>
      <c r="C145" s="12"/>
      <c r="D145" s="13"/>
      <c r="E145" s="13"/>
      <c r="F145" s="14"/>
      <c r="G145" s="12"/>
      <c r="H145" s="12"/>
      <c r="I145" s="12"/>
      <c r="J145" s="14"/>
      <c r="K145" s="15" t="str">
        <f aca="false">IF(OR(I145="",J145=""),"",I145*J145)</f>
        <v/>
      </c>
      <c r="L145" s="12"/>
      <c r="M145" s="16"/>
      <c r="N145" s="15" t="str">
        <f aca="false">IF(OR(L145="",M145="",K145=""),"",IF(L145="GANANCIA",(K145-F145)*M145,IF(L145="BRUTO",K145*M145,"")))</f>
        <v/>
      </c>
      <c r="O145" s="17" t="str">
        <f aca="false">IF(D145="","",D145+30)</f>
        <v/>
      </c>
      <c r="P145" s="18" t="str">
        <f aca="false">IF(I145="","",IF(COUNTIF(Q145:AN145,TRUE())&gt;=I145,"PAGADO",IF(COUNTIF(Q145:AN145,TRUE())&gt;0,"PARCIAL","VIGENTE")))</f>
        <v/>
      </c>
      <c r="Q145" s="19" t="str">
        <f aca="false">IF(OR(I145="",I145&lt;1,O145=""),"",O145+0)</f>
        <v/>
      </c>
      <c r="R145" s="19" t="str">
        <f aca="false">IF(OR(I145="",I145&lt;2,O145=""),"",O145+30)</f>
        <v/>
      </c>
      <c r="S145" s="19" t="str">
        <f aca="false">IF(OR(I145="",I145&lt;3,O145=""),"",O145+60)</f>
        <v/>
      </c>
      <c r="T145" s="19" t="str">
        <f aca="false">IF(OR(I145="",I145&lt;4,O145=""),"",O145+90)</f>
        <v/>
      </c>
      <c r="U145" s="19" t="str">
        <f aca="false">IF(OR(I145="",I145&lt;5,O145=""),"",O145+120)</f>
        <v/>
      </c>
      <c r="V145" s="19" t="str">
        <f aca="false">IF(OR(I145="",I145&lt;6,O145=""),"",O145+150)</f>
        <v/>
      </c>
      <c r="W145" s="19" t="str">
        <f aca="false">IF(OR(I145="",I145&lt;7,O145=""),"",O145+180)</f>
        <v/>
      </c>
      <c r="X145" s="19" t="str">
        <f aca="false">IF(OR(I145="",I145&lt;8,O145=""),"",O145+210)</f>
        <v/>
      </c>
      <c r="Y145" s="19" t="str">
        <f aca="false">IF(OR(I145="",I145&lt;9,O145=""),"",O145+240)</f>
        <v/>
      </c>
      <c r="Z145" s="19" t="str">
        <f aca="false">IF(OR(I145="",I145&lt;10,O145=""),"",O145+270)</f>
        <v/>
      </c>
      <c r="AA145" s="19" t="str">
        <f aca="false">IF(OR(I145="",I145&lt;11,O145=""),"",O145+300)</f>
        <v/>
      </c>
      <c r="AB145" s="19" t="str">
        <f aca="false">IF(OR(I145="",I145&lt;12,O145=""),"",O145+330)</f>
        <v/>
      </c>
      <c r="AC145" s="19" t="str">
        <f aca="false">IF(OR(I145="",I145&lt;13,O145=""),"",O145+360)</f>
        <v/>
      </c>
      <c r="AD145" s="19" t="str">
        <f aca="false">IF(OR(I145="",I145&lt;14,O145=""),"",O145+390)</f>
        <v/>
      </c>
      <c r="AE145" s="19" t="str">
        <f aca="false">IF(OR(I145="",I145&lt;15,O145=""),"",O145+420)</f>
        <v/>
      </c>
      <c r="AF145" s="19" t="str">
        <f aca="false">IF(OR(I145="",I145&lt;16,O145=""),"",O145+450)</f>
        <v/>
      </c>
      <c r="AG145" s="19" t="str">
        <f aca="false">IF(OR(I145="",I145&lt;17,O145=""),"",O145+480)</f>
        <v/>
      </c>
      <c r="AH145" s="19" t="str">
        <f aca="false">IF(OR(I145="",I145&lt;18,O145=""),"",O145+510)</f>
        <v/>
      </c>
      <c r="AI145" s="19" t="str">
        <f aca="false">IF(OR(I145="",I145&lt;19,O145=""),"",O145+540)</f>
        <v/>
      </c>
      <c r="AJ145" s="19" t="str">
        <f aca="false">IF(OR(I145="",I145&lt;20,O145=""),"",O145+570)</f>
        <v/>
      </c>
      <c r="AK145" s="19" t="str">
        <f aca="false">IF(OR(I145="",I145&lt;21,O145=""),"",O145+600)</f>
        <v/>
      </c>
      <c r="AL145" s="19" t="str">
        <f aca="false">IF(OR(I145="",I145&lt;22,O145=""),"",O145+630)</f>
        <v/>
      </c>
      <c r="AM145" s="19" t="str">
        <f aca="false">IF(OR(I145="",I145&lt;23,O145=""),"",O145+660)</f>
        <v/>
      </c>
      <c r="AN145" s="19" t="str">
        <f aca="false">IF(OR(I145="",I145&lt;24,O145=""),"",O145+690)</f>
        <v/>
      </c>
      <c r="AO145" s="15" t="str">
        <f aca="false">IF(J145="","",COUNTIF(Q145:AN145,TRUE())*J145)</f>
        <v/>
      </c>
      <c r="AP145" s="15" t="str">
        <f aca="false">IF(K145="","",K145-AO145)</f>
        <v/>
      </c>
      <c r="AQ145" s="15" t="str">
        <f aca="false">IF(K145="","",K145-F145-IF(N145="",0,N145))</f>
        <v/>
      </c>
    </row>
    <row r="146" customFormat="false" ht="15" hidden="false" customHeight="false" outlineLevel="0" collapsed="false">
      <c r="A146" s="4"/>
      <c r="B146" s="4"/>
      <c r="C146" s="4"/>
      <c r="D146" s="5"/>
      <c r="E146" s="5"/>
      <c r="F146" s="6"/>
      <c r="G146" s="4"/>
      <c r="H146" s="4"/>
      <c r="I146" s="4"/>
      <c r="J146" s="6"/>
      <c r="K146" s="7" t="str">
        <f aca="false">IF(OR(I146="",J146=""),"",I146*J146)</f>
        <v/>
      </c>
      <c r="L146" s="4"/>
      <c r="M146" s="8"/>
      <c r="N146" s="7" t="str">
        <f aca="false">IF(OR(L146="",M146="",K146=""),"",IF(L146="GANANCIA",(K146-F146)*M146,IF(L146="BRUTO",K146*M146,"")))</f>
        <v/>
      </c>
      <c r="O146" s="9" t="str">
        <f aca="false">IF(D146="","",D146+30)</f>
        <v/>
      </c>
      <c r="P146" s="10" t="str">
        <f aca="false">IF(I146="","",IF(COUNTIF(Q146:AN146,TRUE())&gt;=I146,"PAGADO",IF(COUNTIF(Q146:AN146,TRUE())&gt;0,"PARCIAL","VIGENTE")))</f>
        <v/>
      </c>
      <c r="Q146" s="11" t="str">
        <f aca="false">IF(OR(I146="",I146&lt;1,O146=""),"",O146+0)</f>
        <v/>
      </c>
      <c r="R146" s="11" t="str">
        <f aca="false">IF(OR(I146="",I146&lt;2,O146=""),"",O146+30)</f>
        <v/>
      </c>
      <c r="S146" s="11" t="str">
        <f aca="false">IF(OR(I146="",I146&lt;3,O146=""),"",O146+60)</f>
        <v/>
      </c>
      <c r="T146" s="11" t="str">
        <f aca="false">IF(OR(I146="",I146&lt;4,O146=""),"",O146+90)</f>
        <v/>
      </c>
      <c r="U146" s="11" t="str">
        <f aca="false">IF(OR(I146="",I146&lt;5,O146=""),"",O146+120)</f>
        <v/>
      </c>
      <c r="V146" s="11" t="str">
        <f aca="false">IF(OR(I146="",I146&lt;6,O146=""),"",O146+150)</f>
        <v/>
      </c>
      <c r="W146" s="11" t="str">
        <f aca="false">IF(OR(I146="",I146&lt;7,O146=""),"",O146+180)</f>
        <v/>
      </c>
      <c r="X146" s="11" t="str">
        <f aca="false">IF(OR(I146="",I146&lt;8,O146=""),"",O146+210)</f>
        <v/>
      </c>
      <c r="Y146" s="11" t="str">
        <f aca="false">IF(OR(I146="",I146&lt;9,O146=""),"",O146+240)</f>
        <v/>
      </c>
      <c r="Z146" s="11" t="str">
        <f aca="false">IF(OR(I146="",I146&lt;10,O146=""),"",O146+270)</f>
        <v/>
      </c>
      <c r="AA146" s="11" t="str">
        <f aca="false">IF(OR(I146="",I146&lt;11,O146=""),"",O146+300)</f>
        <v/>
      </c>
      <c r="AB146" s="11" t="str">
        <f aca="false">IF(OR(I146="",I146&lt;12,O146=""),"",O146+330)</f>
        <v/>
      </c>
      <c r="AC146" s="11" t="str">
        <f aca="false">IF(OR(I146="",I146&lt;13,O146=""),"",O146+360)</f>
        <v/>
      </c>
      <c r="AD146" s="11" t="str">
        <f aca="false">IF(OR(I146="",I146&lt;14,O146=""),"",O146+390)</f>
        <v/>
      </c>
      <c r="AE146" s="11" t="str">
        <f aca="false">IF(OR(I146="",I146&lt;15,O146=""),"",O146+420)</f>
        <v/>
      </c>
      <c r="AF146" s="11" t="str">
        <f aca="false">IF(OR(I146="",I146&lt;16,O146=""),"",O146+450)</f>
        <v/>
      </c>
      <c r="AG146" s="11" t="str">
        <f aca="false">IF(OR(I146="",I146&lt;17,O146=""),"",O146+480)</f>
        <v/>
      </c>
      <c r="AH146" s="11" t="str">
        <f aca="false">IF(OR(I146="",I146&lt;18,O146=""),"",O146+510)</f>
        <v/>
      </c>
      <c r="AI146" s="11" t="str">
        <f aca="false">IF(OR(I146="",I146&lt;19,O146=""),"",O146+540)</f>
        <v/>
      </c>
      <c r="AJ146" s="11" t="str">
        <f aca="false">IF(OR(I146="",I146&lt;20,O146=""),"",O146+570)</f>
        <v/>
      </c>
      <c r="AK146" s="11" t="str">
        <f aca="false">IF(OR(I146="",I146&lt;21,O146=""),"",O146+600)</f>
        <v/>
      </c>
      <c r="AL146" s="11" t="str">
        <f aca="false">IF(OR(I146="",I146&lt;22,O146=""),"",O146+630)</f>
        <v/>
      </c>
      <c r="AM146" s="11" t="str">
        <f aca="false">IF(OR(I146="",I146&lt;23,O146=""),"",O146+660)</f>
        <v/>
      </c>
      <c r="AN146" s="11" t="str">
        <f aca="false">IF(OR(I146="",I146&lt;24,O146=""),"",O146+690)</f>
        <v/>
      </c>
      <c r="AO146" s="7" t="str">
        <f aca="false">IF(J146="","",COUNTIF(Q146:AN146,TRUE())*J146)</f>
        <v/>
      </c>
      <c r="AP146" s="7" t="str">
        <f aca="false">IF(K146="","",K146-AO146)</f>
        <v/>
      </c>
      <c r="AQ146" s="7" t="str">
        <f aca="false">IF(K146="","",K146-F146-IF(N146="",0,N146))</f>
        <v/>
      </c>
    </row>
    <row r="147" customFormat="false" ht="15" hidden="false" customHeight="false" outlineLevel="0" collapsed="false">
      <c r="A147" s="12"/>
      <c r="B147" s="12"/>
      <c r="C147" s="12"/>
      <c r="D147" s="13"/>
      <c r="E147" s="13"/>
      <c r="F147" s="14"/>
      <c r="G147" s="12"/>
      <c r="H147" s="12"/>
      <c r="I147" s="12"/>
      <c r="J147" s="14"/>
      <c r="K147" s="15" t="str">
        <f aca="false">IF(OR(I147="",J147=""),"",I147*J147)</f>
        <v/>
      </c>
      <c r="L147" s="12"/>
      <c r="M147" s="16"/>
      <c r="N147" s="15" t="str">
        <f aca="false">IF(OR(L147="",M147="",K147=""),"",IF(L147="GANANCIA",(K147-F147)*M147,IF(L147="BRUTO",K147*M147,"")))</f>
        <v/>
      </c>
      <c r="O147" s="17" t="str">
        <f aca="false">IF(D147="","",D147+30)</f>
        <v/>
      </c>
      <c r="P147" s="18" t="str">
        <f aca="false">IF(I147="","",IF(COUNTIF(Q147:AN147,TRUE())&gt;=I147,"PAGADO",IF(COUNTIF(Q147:AN147,TRUE())&gt;0,"PARCIAL","VIGENTE")))</f>
        <v/>
      </c>
      <c r="Q147" s="19" t="str">
        <f aca="false">IF(OR(I147="",I147&lt;1,O147=""),"",O147+0)</f>
        <v/>
      </c>
      <c r="R147" s="19" t="str">
        <f aca="false">IF(OR(I147="",I147&lt;2,O147=""),"",O147+30)</f>
        <v/>
      </c>
      <c r="S147" s="19" t="str">
        <f aca="false">IF(OR(I147="",I147&lt;3,O147=""),"",O147+60)</f>
        <v/>
      </c>
      <c r="T147" s="19" t="str">
        <f aca="false">IF(OR(I147="",I147&lt;4,O147=""),"",O147+90)</f>
        <v/>
      </c>
      <c r="U147" s="19" t="str">
        <f aca="false">IF(OR(I147="",I147&lt;5,O147=""),"",O147+120)</f>
        <v/>
      </c>
      <c r="V147" s="19" t="str">
        <f aca="false">IF(OR(I147="",I147&lt;6,O147=""),"",O147+150)</f>
        <v/>
      </c>
      <c r="W147" s="19" t="str">
        <f aca="false">IF(OR(I147="",I147&lt;7,O147=""),"",O147+180)</f>
        <v/>
      </c>
      <c r="X147" s="19" t="str">
        <f aca="false">IF(OR(I147="",I147&lt;8,O147=""),"",O147+210)</f>
        <v/>
      </c>
      <c r="Y147" s="19" t="str">
        <f aca="false">IF(OR(I147="",I147&lt;9,O147=""),"",O147+240)</f>
        <v/>
      </c>
      <c r="Z147" s="19" t="str">
        <f aca="false">IF(OR(I147="",I147&lt;10,O147=""),"",O147+270)</f>
        <v/>
      </c>
      <c r="AA147" s="19" t="str">
        <f aca="false">IF(OR(I147="",I147&lt;11,O147=""),"",O147+300)</f>
        <v/>
      </c>
      <c r="AB147" s="19" t="str">
        <f aca="false">IF(OR(I147="",I147&lt;12,O147=""),"",O147+330)</f>
        <v/>
      </c>
      <c r="AC147" s="19" t="str">
        <f aca="false">IF(OR(I147="",I147&lt;13,O147=""),"",O147+360)</f>
        <v/>
      </c>
      <c r="AD147" s="19" t="str">
        <f aca="false">IF(OR(I147="",I147&lt;14,O147=""),"",O147+390)</f>
        <v/>
      </c>
      <c r="AE147" s="19" t="str">
        <f aca="false">IF(OR(I147="",I147&lt;15,O147=""),"",O147+420)</f>
        <v/>
      </c>
      <c r="AF147" s="19" t="str">
        <f aca="false">IF(OR(I147="",I147&lt;16,O147=""),"",O147+450)</f>
        <v/>
      </c>
      <c r="AG147" s="19" t="str">
        <f aca="false">IF(OR(I147="",I147&lt;17,O147=""),"",O147+480)</f>
        <v/>
      </c>
      <c r="AH147" s="19" t="str">
        <f aca="false">IF(OR(I147="",I147&lt;18,O147=""),"",O147+510)</f>
        <v/>
      </c>
      <c r="AI147" s="19" t="str">
        <f aca="false">IF(OR(I147="",I147&lt;19,O147=""),"",O147+540)</f>
        <v/>
      </c>
      <c r="AJ147" s="19" t="str">
        <f aca="false">IF(OR(I147="",I147&lt;20,O147=""),"",O147+570)</f>
        <v/>
      </c>
      <c r="AK147" s="19" t="str">
        <f aca="false">IF(OR(I147="",I147&lt;21,O147=""),"",O147+600)</f>
        <v/>
      </c>
      <c r="AL147" s="19" t="str">
        <f aca="false">IF(OR(I147="",I147&lt;22,O147=""),"",O147+630)</f>
        <v/>
      </c>
      <c r="AM147" s="19" t="str">
        <f aca="false">IF(OR(I147="",I147&lt;23,O147=""),"",O147+660)</f>
        <v/>
      </c>
      <c r="AN147" s="19" t="str">
        <f aca="false">IF(OR(I147="",I147&lt;24,O147=""),"",O147+690)</f>
        <v/>
      </c>
      <c r="AO147" s="15" t="str">
        <f aca="false">IF(J147="","",COUNTIF(Q147:AN147,TRUE())*J147)</f>
        <v/>
      </c>
      <c r="AP147" s="15" t="str">
        <f aca="false">IF(K147="","",K147-AO147)</f>
        <v/>
      </c>
      <c r="AQ147" s="15" t="str">
        <f aca="false">IF(K147="","",K147-F147-IF(N147="",0,N147))</f>
        <v/>
      </c>
    </row>
    <row r="148" customFormat="false" ht="15" hidden="false" customHeight="false" outlineLevel="0" collapsed="false">
      <c r="A148" s="4"/>
      <c r="B148" s="4"/>
      <c r="C148" s="4"/>
      <c r="D148" s="5"/>
      <c r="E148" s="5"/>
      <c r="F148" s="6"/>
      <c r="G148" s="4"/>
      <c r="H148" s="4"/>
      <c r="I148" s="4"/>
      <c r="J148" s="6"/>
      <c r="K148" s="7" t="str">
        <f aca="false">IF(OR(I148="",J148=""),"",I148*J148)</f>
        <v/>
      </c>
      <c r="L148" s="4"/>
      <c r="M148" s="8"/>
      <c r="N148" s="7" t="str">
        <f aca="false">IF(OR(L148="",M148="",K148=""),"",IF(L148="GANANCIA",(K148-F148)*M148,IF(L148="BRUTO",K148*M148,"")))</f>
        <v/>
      </c>
      <c r="O148" s="9" t="str">
        <f aca="false">IF(D148="","",D148+30)</f>
        <v/>
      </c>
      <c r="P148" s="10" t="str">
        <f aca="false">IF(I148="","",IF(COUNTIF(Q148:AN148,TRUE())&gt;=I148,"PAGADO",IF(COUNTIF(Q148:AN148,TRUE())&gt;0,"PARCIAL","VIGENTE")))</f>
        <v/>
      </c>
      <c r="Q148" s="11" t="str">
        <f aca="false">IF(OR(I148="",I148&lt;1,O148=""),"",O148+0)</f>
        <v/>
      </c>
      <c r="R148" s="11" t="str">
        <f aca="false">IF(OR(I148="",I148&lt;2,O148=""),"",O148+30)</f>
        <v/>
      </c>
      <c r="S148" s="11" t="str">
        <f aca="false">IF(OR(I148="",I148&lt;3,O148=""),"",O148+60)</f>
        <v/>
      </c>
      <c r="T148" s="11" t="str">
        <f aca="false">IF(OR(I148="",I148&lt;4,O148=""),"",O148+90)</f>
        <v/>
      </c>
      <c r="U148" s="11" t="str">
        <f aca="false">IF(OR(I148="",I148&lt;5,O148=""),"",O148+120)</f>
        <v/>
      </c>
      <c r="V148" s="11" t="str">
        <f aca="false">IF(OR(I148="",I148&lt;6,O148=""),"",O148+150)</f>
        <v/>
      </c>
      <c r="W148" s="11" t="str">
        <f aca="false">IF(OR(I148="",I148&lt;7,O148=""),"",O148+180)</f>
        <v/>
      </c>
      <c r="X148" s="11" t="str">
        <f aca="false">IF(OR(I148="",I148&lt;8,O148=""),"",O148+210)</f>
        <v/>
      </c>
      <c r="Y148" s="11" t="str">
        <f aca="false">IF(OR(I148="",I148&lt;9,O148=""),"",O148+240)</f>
        <v/>
      </c>
      <c r="Z148" s="11" t="str">
        <f aca="false">IF(OR(I148="",I148&lt;10,O148=""),"",O148+270)</f>
        <v/>
      </c>
      <c r="AA148" s="11" t="str">
        <f aca="false">IF(OR(I148="",I148&lt;11,O148=""),"",O148+300)</f>
        <v/>
      </c>
      <c r="AB148" s="11" t="str">
        <f aca="false">IF(OR(I148="",I148&lt;12,O148=""),"",O148+330)</f>
        <v/>
      </c>
      <c r="AC148" s="11" t="str">
        <f aca="false">IF(OR(I148="",I148&lt;13,O148=""),"",O148+360)</f>
        <v/>
      </c>
      <c r="AD148" s="11" t="str">
        <f aca="false">IF(OR(I148="",I148&lt;14,O148=""),"",O148+390)</f>
        <v/>
      </c>
      <c r="AE148" s="11" t="str">
        <f aca="false">IF(OR(I148="",I148&lt;15,O148=""),"",O148+420)</f>
        <v/>
      </c>
      <c r="AF148" s="11" t="str">
        <f aca="false">IF(OR(I148="",I148&lt;16,O148=""),"",O148+450)</f>
        <v/>
      </c>
      <c r="AG148" s="11" t="str">
        <f aca="false">IF(OR(I148="",I148&lt;17,O148=""),"",O148+480)</f>
        <v/>
      </c>
      <c r="AH148" s="11" t="str">
        <f aca="false">IF(OR(I148="",I148&lt;18,O148=""),"",O148+510)</f>
        <v/>
      </c>
      <c r="AI148" s="11" t="str">
        <f aca="false">IF(OR(I148="",I148&lt;19,O148=""),"",O148+540)</f>
        <v/>
      </c>
      <c r="AJ148" s="11" t="str">
        <f aca="false">IF(OR(I148="",I148&lt;20,O148=""),"",O148+570)</f>
        <v/>
      </c>
      <c r="AK148" s="11" t="str">
        <f aca="false">IF(OR(I148="",I148&lt;21,O148=""),"",O148+600)</f>
        <v/>
      </c>
      <c r="AL148" s="11" t="str">
        <f aca="false">IF(OR(I148="",I148&lt;22,O148=""),"",O148+630)</f>
        <v/>
      </c>
      <c r="AM148" s="11" t="str">
        <f aca="false">IF(OR(I148="",I148&lt;23,O148=""),"",O148+660)</f>
        <v/>
      </c>
      <c r="AN148" s="11" t="str">
        <f aca="false">IF(OR(I148="",I148&lt;24,O148=""),"",O148+690)</f>
        <v/>
      </c>
      <c r="AO148" s="7" t="str">
        <f aca="false">IF(J148="","",COUNTIF(Q148:AN148,TRUE())*J148)</f>
        <v/>
      </c>
      <c r="AP148" s="7" t="str">
        <f aca="false">IF(K148="","",K148-AO148)</f>
        <v/>
      </c>
      <c r="AQ148" s="7" t="str">
        <f aca="false">IF(K148="","",K148-F148-IF(N148="",0,N148))</f>
        <v/>
      </c>
    </row>
    <row r="149" customFormat="false" ht="15" hidden="false" customHeight="false" outlineLevel="0" collapsed="false">
      <c r="A149" s="12"/>
      <c r="B149" s="12"/>
      <c r="C149" s="12"/>
      <c r="D149" s="13"/>
      <c r="E149" s="13"/>
      <c r="F149" s="14"/>
      <c r="G149" s="12"/>
      <c r="H149" s="12"/>
      <c r="I149" s="12"/>
      <c r="J149" s="14"/>
      <c r="K149" s="15" t="str">
        <f aca="false">IF(OR(I149="",J149=""),"",I149*J149)</f>
        <v/>
      </c>
      <c r="L149" s="12"/>
      <c r="M149" s="16"/>
      <c r="N149" s="15" t="str">
        <f aca="false">IF(OR(L149="",M149="",K149=""),"",IF(L149="GANANCIA",(K149-F149)*M149,IF(L149="BRUTO",K149*M149,"")))</f>
        <v/>
      </c>
      <c r="O149" s="17" t="str">
        <f aca="false">IF(D149="","",D149+30)</f>
        <v/>
      </c>
      <c r="P149" s="18" t="str">
        <f aca="false">IF(I149="","",IF(COUNTIF(Q149:AN149,TRUE())&gt;=I149,"PAGADO",IF(COUNTIF(Q149:AN149,TRUE())&gt;0,"PARCIAL","VIGENTE")))</f>
        <v/>
      </c>
      <c r="Q149" s="19" t="str">
        <f aca="false">IF(OR(I149="",I149&lt;1,O149=""),"",O149+0)</f>
        <v/>
      </c>
      <c r="R149" s="19" t="str">
        <f aca="false">IF(OR(I149="",I149&lt;2,O149=""),"",O149+30)</f>
        <v/>
      </c>
      <c r="S149" s="19" t="str">
        <f aca="false">IF(OR(I149="",I149&lt;3,O149=""),"",O149+60)</f>
        <v/>
      </c>
      <c r="T149" s="19" t="str">
        <f aca="false">IF(OR(I149="",I149&lt;4,O149=""),"",O149+90)</f>
        <v/>
      </c>
      <c r="U149" s="19" t="str">
        <f aca="false">IF(OR(I149="",I149&lt;5,O149=""),"",O149+120)</f>
        <v/>
      </c>
      <c r="V149" s="19" t="str">
        <f aca="false">IF(OR(I149="",I149&lt;6,O149=""),"",O149+150)</f>
        <v/>
      </c>
      <c r="W149" s="19" t="str">
        <f aca="false">IF(OR(I149="",I149&lt;7,O149=""),"",O149+180)</f>
        <v/>
      </c>
      <c r="X149" s="19" t="str">
        <f aca="false">IF(OR(I149="",I149&lt;8,O149=""),"",O149+210)</f>
        <v/>
      </c>
      <c r="Y149" s="19" t="str">
        <f aca="false">IF(OR(I149="",I149&lt;9,O149=""),"",O149+240)</f>
        <v/>
      </c>
      <c r="Z149" s="19" t="str">
        <f aca="false">IF(OR(I149="",I149&lt;10,O149=""),"",O149+270)</f>
        <v/>
      </c>
      <c r="AA149" s="19" t="str">
        <f aca="false">IF(OR(I149="",I149&lt;11,O149=""),"",O149+300)</f>
        <v/>
      </c>
      <c r="AB149" s="19" t="str">
        <f aca="false">IF(OR(I149="",I149&lt;12,O149=""),"",O149+330)</f>
        <v/>
      </c>
      <c r="AC149" s="19" t="str">
        <f aca="false">IF(OR(I149="",I149&lt;13,O149=""),"",O149+360)</f>
        <v/>
      </c>
      <c r="AD149" s="19" t="str">
        <f aca="false">IF(OR(I149="",I149&lt;14,O149=""),"",O149+390)</f>
        <v/>
      </c>
      <c r="AE149" s="19" t="str">
        <f aca="false">IF(OR(I149="",I149&lt;15,O149=""),"",O149+420)</f>
        <v/>
      </c>
      <c r="AF149" s="19" t="str">
        <f aca="false">IF(OR(I149="",I149&lt;16,O149=""),"",O149+450)</f>
        <v/>
      </c>
      <c r="AG149" s="19" t="str">
        <f aca="false">IF(OR(I149="",I149&lt;17,O149=""),"",O149+480)</f>
        <v/>
      </c>
      <c r="AH149" s="19" t="str">
        <f aca="false">IF(OR(I149="",I149&lt;18,O149=""),"",O149+510)</f>
        <v/>
      </c>
      <c r="AI149" s="19" t="str">
        <f aca="false">IF(OR(I149="",I149&lt;19,O149=""),"",O149+540)</f>
        <v/>
      </c>
      <c r="AJ149" s="19" t="str">
        <f aca="false">IF(OR(I149="",I149&lt;20,O149=""),"",O149+570)</f>
        <v/>
      </c>
      <c r="AK149" s="19" t="str">
        <f aca="false">IF(OR(I149="",I149&lt;21,O149=""),"",O149+600)</f>
        <v/>
      </c>
      <c r="AL149" s="19" t="str">
        <f aca="false">IF(OR(I149="",I149&lt;22,O149=""),"",O149+630)</f>
        <v/>
      </c>
      <c r="AM149" s="19" t="str">
        <f aca="false">IF(OR(I149="",I149&lt;23,O149=""),"",O149+660)</f>
        <v/>
      </c>
      <c r="AN149" s="19" t="str">
        <f aca="false">IF(OR(I149="",I149&lt;24,O149=""),"",O149+690)</f>
        <v/>
      </c>
      <c r="AO149" s="15" t="str">
        <f aca="false">IF(J149="","",COUNTIF(Q149:AN149,TRUE())*J149)</f>
        <v/>
      </c>
      <c r="AP149" s="15" t="str">
        <f aca="false">IF(K149="","",K149-AO149)</f>
        <v/>
      </c>
      <c r="AQ149" s="15" t="str">
        <f aca="false">IF(K149="","",K149-F149-IF(N149="",0,N149))</f>
        <v/>
      </c>
    </row>
    <row r="150" customFormat="false" ht="15" hidden="false" customHeight="false" outlineLevel="0" collapsed="false">
      <c r="A150" s="4"/>
      <c r="B150" s="4"/>
      <c r="C150" s="4"/>
      <c r="D150" s="5"/>
      <c r="E150" s="5"/>
      <c r="F150" s="6"/>
      <c r="G150" s="4"/>
      <c r="H150" s="4"/>
      <c r="I150" s="4"/>
      <c r="J150" s="6"/>
      <c r="K150" s="7" t="str">
        <f aca="false">IF(OR(I150="",J150=""),"",I150*J150)</f>
        <v/>
      </c>
      <c r="L150" s="4"/>
      <c r="M150" s="8"/>
      <c r="N150" s="7" t="str">
        <f aca="false">IF(OR(L150="",M150="",K150=""),"",IF(L150="GANANCIA",(K150-F150)*M150,IF(L150="BRUTO",K150*M150,"")))</f>
        <v/>
      </c>
      <c r="O150" s="9" t="str">
        <f aca="false">IF(D150="","",D150+30)</f>
        <v/>
      </c>
      <c r="P150" s="10" t="str">
        <f aca="false">IF(I150="","",IF(COUNTIF(Q150:AN150,TRUE())&gt;=I150,"PAGADO",IF(COUNTIF(Q150:AN150,TRUE())&gt;0,"PARCIAL","VIGENTE")))</f>
        <v/>
      </c>
      <c r="Q150" s="11" t="str">
        <f aca="false">IF(OR(I150="",I150&lt;1,O150=""),"",O150+0)</f>
        <v/>
      </c>
      <c r="R150" s="11" t="str">
        <f aca="false">IF(OR(I150="",I150&lt;2,O150=""),"",O150+30)</f>
        <v/>
      </c>
      <c r="S150" s="11" t="str">
        <f aca="false">IF(OR(I150="",I150&lt;3,O150=""),"",O150+60)</f>
        <v/>
      </c>
      <c r="T150" s="11" t="str">
        <f aca="false">IF(OR(I150="",I150&lt;4,O150=""),"",O150+90)</f>
        <v/>
      </c>
      <c r="U150" s="11" t="str">
        <f aca="false">IF(OR(I150="",I150&lt;5,O150=""),"",O150+120)</f>
        <v/>
      </c>
      <c r="V150" s="11" t="str">
        <f aca="false">IF(OR(I150="",I150&lt;6,O150=""),"",O150+150)</f>
        <v/>
      </c>
      <c r="W150" s="11" t="str">
        <f aca="false">IF(OR(I150="",I150&lt;7,O150=""),"",O150+180)</f>
        <v/>
      </c>
      <c r="X150" s="11" t="str">
        <f aca="false">IF(OR(I150="",I150&lt;8,O150=""),"",O150+210)</f>
        <v/>
      </c>
      <c r="Y150" s="11" t="str">
        <f aca="false">IF(OR(I150="",I150&lt;9,O150=""),"",O150+240)</f>
        <v/>
      </c>
      <c r="Z150" s="11" t="str">
        <f aca="false">IF(OR(I150="",I150&lt;10,O150=""),"",O150+270)</f>
        <v/>
      </c>
      <c r="AA150" s="11" t="str">
        <f aca="false">IF(OR(I150="",I150&lt;11,O150=""),"",O150+300)</f>
        <v/>
      </c>
      <c r="AB150" s="11" t="str">
        <f aca="false">IF(OR(I150="",I150&lt;12,O150=""),"",O150+330)</f>
        <v/>
      </c>
      <c r="AC150" s="11" t="str">
        <f aca="false">IF(OR(I150="",I150&lt;13,O150=""),"",O150+360)</f>
        <v/>
      </c>
      <c r="AD150" s="11" t="str">
        <f aca="false">IF(OR(I150="",I150&lt;14,O150=""),"",O150+390)</f>
        <v/>
      </c>
      <c r="AE150" s="11" t="str">
        <f aca="false">IF(OR(I150="",I150&lt;15,O150=""),"",O150+420)</f>
        <v/>
      </c>
      <c r="AF150" s="11" t="str">
        <f aca="false">IF(OR(I150="",I150&lt;16,O150=""),"",O150+450)</f>
        <v/>
      </c>
      <c r="AG150" s="11" t="str">
        <f aca="false">IF(OR(I150="",I150&lt;17,O150=""),"",O150+480)</f>
        <v/>
      </c>
      <c r="AH150" s="11" t="str">
        <f aca="false">IF(OR(I150="",I150&lt;18,O150=""),"",O150+510)</f>
        <v/>
      </c>
      <c r="AI150" s="11" t="str">
        <f aca="false">IF(OR(I150="",I150&lt;19,O150=""),"",O150+540)</f>
        <v/>
      </c>
      <c r="AJ150" s="11" t="str">
        <f aca="false">IF(OR(I150="",I150&lt;20,O150=""),"",O150+570)</f>
        <v/>
      </c>
      <c r="AK150" s="11" t="str">
        <f aca="false">IF(OR(I150="",I150&lt;21,O150=""),"",O150+600)</f>
        <v/>
      </c>
      <c r="AL150" s="11" t="str">
        <f aca="false">IF(OR(I150="",I150&lt;22,O150=""),"",O150+630)</f>
        <v/>
      </c>
      <c r="AM150" s="11" t="str">
        <f aca="false">IF(OR(I150="",I150&lt;23,O150=""),"",O150+660)</f>
        <v/>
      </c>
      <c r="AN150" s="11" t="str">
        <f aca="false">IF(OR(I150="",I150&lt;24,O150=""),"",O150+690)</f>
        <v/>
      </c>
      <c r="AO150" s="7" t="str">
        <f aca="false">IF(J150="","",COUNTIF(Q150:AN150,TRUE())*J150)</f>
        <v/>
      </c>
      <c r="AP150" s="7" t="str">
        <f aca="false">IF(K150="","",K150-AO150)</f>
        <v/>
      </c>
      <c r="AQ150" s="7" t="str">
        <f aca="false">IF(K150="","",K150-F150-IF(N150="",0,N150))</f>
        <v/>
      </c>
    </row>
    <row r="151" customFormat="false" ht="15" hidden="false" customHeight="false" outlineLevel="0" collapsed="false">
      <c r="A151" s="12"/>
      <c r="B151" s="12"/>
      <c r="C151" s="12"/>
      <c r="D151" s="13"/>
      <c r="E151" s="13"/>
      <c r="F151" s="14"/>
      <c r="G151" s="12"/>
      <c r="H151" s="12"/>
      <c r="I151" s="12"/>
      <c r="J151" s="14"/>
      <c r="K151" s="15" t="str">
        <f aca="false">IF(OR(I151="",J151=""),"",I151*J151)</f>
        <v/>
      </c>
      <c r="L151" s="12"/>
      <c r="M151" s="16"/>
      <c r="N151" s="15" t="str">
        <f aca="false">IF(OR(L151="",M151="",K151=""),"",IF(L151="GANANCIA",(K151-F151)*M151,IF(L151="BRUTO",K151*M151,"")))</f>
        <v/>
      </c>
      <c r="O151" s="17" t="str">
        <f aca="false">IF(D151="","",D151+30)</f>
        <v/>
      </c>
      <c r="P151" s="18" t="str">
        <f aca="false">IF(I151="","",IF(COUNTIF(Q151:AN151,TRUE())&gt;=I151,"PAGADO",IF(COUNTIF(Q151:AN151,TRUE())&gt;0,"PARCIAL","VIGENTE")))</f>
        <v/>
      </c>
      <c r="Q151" s="19" t="str">
        <f aca="false">IF(OR(I151="",I151&lt;1,O151=""),"",O151+0)</f>
        <v/>
      </c>
      <c r="R151" s="19" t="str">
        <f aca="false">IF(OR(I151="",I151&lt;2,O151=""),"",O151+30)</f>
        <v/>
      </c>
      <c r="S151" s="19" t="str">
        <f aca="false">IF(OR(I151="",I151&lt;3,O151=""),"",O151+60)</f>
        <v/>
      </c>
      <c r="T151" s="19" t="str">
        <f aca="false">IF(OR(I151="",I151&lt;4,O151=""),"",O151+90)</f>
        <v/>
      </c>
      <c r="U151" s="19" t="str">
        <f aca="false">IF(OR(I151="",I151&lt;5,O151=""),"",O151+120)</f>
        <v/>
      </c>
      <c r="V151" s="19" t="str">
        <f aca="false">IF(OR(I151="",I151&lt;6,O151=""),"",O151+150)</f>
        <v/>
      </c>
      <c r="W151" s="19" t="str">
        <f aca="false">IF(OR(I151="",I151&lt;7,O151=""),"",O151+180)</f>
        <v/>
      </c>
      <c r="X151" s="19" t="str">
        <f aca="false">IF(OR(I151="",I151&lt;8,O151=""),"",O151+210)</f>
        <v/>
      </c>
      <c r="Y151" s="19" t="str">
        <f aca="false">IF(OR(I151="",I151&lt;9,O151=""),"",O151+240)</f>
        <v/>
      </c>
      <c r="Z151" s="19" t="str">
        <f aca="false">IF(OR(I151="",I151&lt;10,O151=""),"",O151+270)</f>
        <v/>
      </c>
      <c r="AA151" s="19" t="str">
        <f aca="false">IF(OR(I151="",I151&lt;11,O151=""),"",O151+300)</f>
        <v/>
      </c>
      <c r="AB151" s="19" t="str">
        <f aca="false">IF(OR(I151="",I151&lt;12,O151=""),"",O151+330)</f>
        <v/>
      </c>
      <c r="AC151" s="19" t="str">
        <f aca="false">IF(OR(I151="",I151&lt;13,O151=""),"",O151+360)</f>
        <v/>
      </c>
      <c r="AD151" s="19" t="str">
        <f aca="false">IF(OR(I151="",I151&lt;14,O151=""),"",O151+390)</f>
        <v/>
      </c>
      <c r="AE151" s="19" t="str">
        <f aca="false">IF(OR(I151="",I151&lt;15,O151=""),"",O151+420)</f>
        <v/>
      </c>
      <c r="AF151" s="19" t="str">
        <f aca="false">IF(OR(I151="",I151&lt;16,O151=""),"",O151+450)</f>
        <v/>
      </c>
      <c r="AG151" s="19" t="str">
        <f aca="false">IF(OR(I151="",I151&lt;17,O151=""),"",O151+480)</f>
        <v/>
      </c>
      <c r="AH151" s="19" t="str">
        <f aca="false">IF(OR(I151="",I151&lt;18,O151=""),"",O151+510)</f>
        <v/>
      </c>
      <c r="AI151" s="19" t="str">
        <f aca="false">IF(OR(I151="",I151&lt;19,O151=""),"",O151+540)</f>
        <v/>
      </c>
      <c r="AJ151" s="19" t="str">
        <f aca="false">IF(OR(I151="",I151&lt;20,O151=""),"",O151+570)</f>
        <v/>
      </c>
      <c r="AK151" s="19" t="str">
        <f aca="false">IF(OR(I151="",I151&lt;21,O151=""),"",O151+600)</f>
        <v/>
      </c>
      <c r="AL151" s="19" t="str">
        <f aca="false">IF(OR(I151="",I151&lt;22,O151=""),"",O151+630)</f>
        <v/>
      </c>
      <c r="AM151" s="19" t="str">
        <f aca="false">IF(OR(I151="",I151&lt;23,O151=""),"",O151+660)</f>
        <v/>
      </c>
      <c r="AN151" s="19" t="str">
        <f aca="false">IF(OR(I151="",I151&lt;24,O151=""),"",O151+690)</f>
        <v/>
      </c>
      <c r="AO151" s="15" t="str">
        <f aca="false">IF(J151="","",COUNTIF(Q151:AN151,TRUE())*J151)</f>
        <v/>
      </c>
      <c r="AP151" s="15" t="str">
        <f aca="false">IF(K151="","",K151-AO151)</f>
        <v/>
      </c>
      <c r="AQ151" s="15" t="str">
        <f aca="false">IF(K151="","",K151-F151-IF(N151="",0,N151))</f>
        <v/>
      </c>
    </row>
    <row r="152" customFormat="false" ht="15" hidden="false" customHeight="false" outlineLevel="0" collapsed="false">
      <c r="A152" s="4"/>
      <c r="B152" s="4"/>
      <c r="C152" s="4"/>
      <c r="D152" s="5"/>
      <c r="E152" s="5"/>
      <c r="F152" s="6"/>
      <c r="G152" s="4"/>
      <c r="H152" s="4"/>
      <c r="I152" s="4"/>
      <c r="J152" s="6"/>
      <c r="K152" s="7" t="str">
        <f aca="false">IF(OR(I152="",J152=""),"",I152*J152)</f>
        <v/>
      </c>
      <c r="L152" s="4"/>
      <c r="M152" s="8"/>
      <c r="N152" s="7" t="str">
        <f aca="false">IF(OR(L152="",M152="",K152=""),"",IF(L152="GANANCIA",(K152-F152)*M152,IF(L152="BRUTO",K152*M152,"")))</f>
        <v/>
      </c>
      <c r="O152" s="9" t="str">
        <f aca="false">IF(D152="","",D152+30)</f>
        <v/>
      </c>
      <c r="P152" s="10" t="str">
        <f aca="false">IF(I152="","",IF(COUNTIF(Q152:AN152,TRUE())&gt;=I152,"PAGADO",IF(COUNTIF(Q152:AN152,TRUE())&gt;0,"PARCIAL","VIGENTE")))</f>
        <v/>
      </c>
      <c r="Q152" s="11" t="str">
        <f aca="false">IF(OR(I152="",I152&lt;1,O152=""),"",O152+0)</f>
        <v/>
      </c>
      <c r="R152" s="11" t="str">
        <f aca="false">IF(OR(I152="",I152&lt;2,O152=""),"",O152+30)</f>
        <v/>
      </c>
      <c r="S152" s="11" t="str">
        <f aca="false">IF(OR(I152="",I152&lt;3,O152=""),"",O152+60)</f>
        <v/>
      </c>
      <c r="T152" s="11" t="str">
        <f aca="false">IF(OR(I152="",I152&lt;4,O152=""),"",O152+90)</f>
        <v/>
      </c>
      <c r="U152" s="11" t="str">
        <f aca="false">IF(OR(I152="",I152&lt;5,O152=""),"",O152+120)</f>
        <v/>
      </c>
      <c r="V152" s="11" t="str">
        <f aca="false">IF(OR(I152="",I152&lt;6,O152=""),"",O152+150)</f>
        <v/>
      </c>
      <c r="W152" s="11" t="str">
        <f aca="false">IF(OR(I152="",I152&lt;7,O152=""),"",O152+180)</f>
        <v/>
      </c>
      <c r="X152" s="11" t="str">
        <f aca="false">IF(OR(I152="",I152&lt;8,O152=""),"",O152+210)</f>
        <v/>
      </c>
      <c r="Y152" s="11" t="str">
        <f aca="false">IF(OR(I152="",I152&lt;9,O152=""),"",O152+240)</f>
        <v/>
      </c>
      <c r="Z152" s="11" t="str">
        <f aca="false">IF(OR(I152="",I152&lt;10,O152=""),"",O152+270)</f>
        <v/>
      </c>
      <c r="AA152" s="11" t="str">
        <f aca="false">IF(OR(I152="",I152&lt;11,O152=""),"",O152+300)</f>
        <v/>
      </c>
      <c r="AB152" s="11" t="str">
        <f aca="false">IF(OR(I152="",I152&lt;12,O152=""),"",O152+330)</f>
        <v/>
      </c>
      <c r="AC152" s="11" t="str">
        <f aca="false">IF(OR(I152="",I152&lt;13,O152=""),"",O152+360)</f>
        <v/>
      </c>
      <c r="AD152" s="11" t="str">
        <f aca="false">IF(OR(I152="",I152&lt;14,O152=""),"",O152+390)</f>
        <v/>
      </c>
      <c r="AE152" s="11" t="str">
        <f aca="false">IF(OR(I152="",I152&lt;15,O152=""),"",O152+420)</f>
        <v/>
      </c>
      <c r="AF152" s="11" t="str">
        <f aca="false">IF(OR(I152="",I152&lt;16,O152=""),"",O152+450)</f>
        <v/>
      </c>
      <c r="AG152" s="11" t="str">
        <f aca="false">IF(OR(I152="",I152&lt;17,O152=""),"",O152+480)</f>
        <v/>
      </c>
      <c r="AH152" s="11" t="str">
        <f aca="false">IF(OR(I152="",I152&lt;18,O152=""),"",O152+510)</f>
        <v/>
      </c>
      <c r="AI152" s="11" t="str">
        <f aca="false">IF(OR(I152="",I152&lt;19,O152=""),"",O152+540)</f>
        <v/>
      </c>
      <c r="AJ152" s="11" t="str">
        <f aca="false">IF(OR(I152="",I152&lt;20,O152=""),"",O152+570)</f>
        <v/>
      </c>
      <c r="AK152" s="11" t="str">
        <f aca="false">IF(OR(I152="",I152&lt;21,O152=""),"",O152+600)</f>
        <v/>
      </c>
      <c r="AL152" s="11" t="str">
        <f aca="false">IF(OR(I152="",I152&lt;22,O152=""),"",O152+630)</f>
        <v/>
      </c>
      <c r="AM152" s="11" t="str">
        <f aca="false">IF(OR(I152="",I152&lt;23,O152=""),"",O152+660)</f>
        <v/>
      </c>
      <c r="AN152" s="11" t="str">
        <f aca="false">IF(OR(I152="",I152&lt;24,O152=""),"",O152+690)</f>
        <v/>
      </c>
      <c r="AO152" s="7" t="str">
        <f aca="false">IF(J152="","",COUNTIF(Q152:AN152,TRUE())*J152)</f>
        <v/>
      </c>
      <c r="AP152" s="7" t="str">
        <f aca="false">IF(K152="","",K152-AO152)</f>
        <v/>
      </c>
      <c r="AQ152" s="7" t="str">
        <f aca="false">IF(K152="","",K152-F152-IF(N152="",0,N152))</f>
        <v/>
      </c>
    </row>
    <row r="153" customFormat="false" ht="15" hidden="false" customHeight="false" outlineLevel="0" collapsed="false">
      <c r="A153" s="12"/>
      <c r="B153" s="12"/>
      <c r="C153" s="12"/>
      <c r="D153" s="13"/>
      <c r="E153" s="13"/>
      <c r="F153" s="14"/>
      <c r="G153" s="12"/>
      <c r="H153" s="12"/>
      <c r="I153" s="12"/>
      <c r="J153" s="14"/>
      <c r="K153" s="15" t="str">
        <f aca="false">IF(OR(I153="",J153=""),"",I153*J153)</f>
        <v/>
      </c>
      <c r="L153" s="12"/>
      <c r="M153" s="16"/>
      <c r="N153" s="15" t="str">
        <f aca="false">IF(OR(L153="",M153="",K153=""),"",IF(L153="GANANCIA",(K153-F153)*M153,IF(L153="BRUTO",K153*M153,"")))</f>
        <v/>
      </c>
      <c r="O153" s="17" t="str">
        <f aca="false">IF(D153="","",D153+30)</f>
        <v/>
      </c>
      <c r="P153" s="18" t="str">
        <f aca="false">IF(I153="","",IF(COUNTIF(Q153:AN153,TRUE())&gt;=I153,"PAGADO",IF(COUNTIF(Q153:AN153,TRUE())&gt;0,"PARCIAL","VIGENTE")))</f>
        <v/>
      </c>
      <c r="Q153" s="19" t="str">
        <f aca="false">IF(OR(I153="",I153&lt;1,O153=""),"",O153+0)</f>
        <v/>
      </c>
      <c r="R153" s="19" t="str">
        <f aca="false">IF(OR(I153="",I153&lt;2,O153=""),"",O153+30)</f>
        <v/>
      </c>
      <c r="S153" s="19" t="str">
        <f aca="false">IF(OR(I153="",I153&lt;3,O153=""),"",O153+60)</f>
        <v/>
      </c>
      <c r="T153" s="19" t="str">
        <f aca="false">IF(OR(I153="",I153&lt;4,O153=""),"",O153+90)</f>
        <v/>
      </c>
      <c r="U153" s="19" t="str">
        <f aca="false">IF(OR(I153="",I153&lt;5,O153=""),"",O153+120)</f>
        <v/>
      </c>
      <c r="V153" s="19" t="str">
        <f aca="false">IF(OR(I153="",I153&lt;6,O153=""),"",O153+150)</f>
        <v/>
      </c>
      <c r="W153" s="19" t="str">
        <f aca="false">IF(OR(I153="",I153&lt;7,O153=""),"",O153+180)</f>
        <v/>
      </c>
      <c r="X153" s="19" t="str">
        <f aca="false">IF(OR(I153="",I153&lt;8,O153=""),"",O153+210)</f>
        <v/>
      </c>
      <c r="Y153" s="19" t="str">
        <f aca="false">IF(OR(I153="",I153&lt;9,O153=""),"",O153+240)</f>
        <v/>
      </c>
      <c r="Z153" s="19" t="str">
        <f aca="false">IF(OR(I153="",I153&lt;10,O153=""),"",O153+270)</f>
        <v/>
      </c>
      <c r="AA153" s="19" t="str">
        <f aca="false">IF(OR(I153="",I153&lt;11,O153=""),"",O153+300)</f>
        <v/>
      </c>
      <c r="AB153" s="19" t="str">
        <f aca="false">IF(OR(I153="",I153&lt;12,O153=""),"",O153+330)</f>
        <v/>
      </c>
      <c r="AC153" s="19" t="str">
        <f aca="false">IF(OR(I153="",I153&lt;13,O153=""),"",O153+360)</f>
        <v/>
      </c>
      <c r="AD153" s="19" t="str">
        <f aca="false">IF(OR(I153="",I153&lt;14,O153=""),"",O153+390)</f>
        <v/>
      </c>
      <c r="AE153" s="19" t="str">
        <f aca="false">IF(OR(I153="",I153&lt;15,O153=""),"",O153+420)</f>
        <v/>
      </c>
      <c r="AF153" s="19" t="str">
        <f aca="false">IF(OR(I153="",I153&lt;16,O153=""),"",O153+450)</f>
        <v/>
      </c>
      <c r="AG153" s="19" t="str">
        <f aca="false">IF(OR(I153="",I153&lt;17,O153=""),"",O153+480)</f>
        <v/>
      </c>
      <c r="AH153" s="19" t="str">
        <f aca="false">IF(OR(I153="",I153&lt;18,O153=""),"",O153+510)</f>
        <v/>
      </c>
      <c r="AI153" s="19" t="str">
        <f aca="false">IF(OR(I153="",I153&lt;19,O153=""),"",O153+540)</f>
        <v/>
      </c>
      <c r="AJ153" s="19" t="str">
        <f aca="false">IF(OR(I153="",I153&lt;20,O153=""),"",O153+570)</f>
        <v/>
      </c>
      <c r="AK153" s="19" t="str">
        <f aca="false">IF(OR(I153="",I153&lt;21,O153=""),"",O153+600)</f>
        <v/>
      </c>
      <c r="AL153" s="19" t="str">
        <f aca="false">IF(OR(I153="",I153&lt;22,O153=""),"",O153+630)</f>
        <v/>
      </c>
      <c r="AM153" s="19" t="str">
        <f aca="false">IF(OR(I153="",I153&lt;23,O153=""),"",O153+660)</f>
        <v/>
      </c>
      <c r="AN153" s="19" t="str">
        <f aca="false">IF(OR(I153="",I153&lt;24,O153=""),"",O153+690)</f>
        <v/>
      </c>
      <c r="AO153" s="15" t="str">
        <f aca="false">IF(J153="","",COUNTIF(Q153:AN153,TRUE())*J153)</f>
        <v/>
      </c>
      <c r="AP153" s="15" t="str">
        <f aca="false">IF(K153="","",K153-AO153)</f>
        <v/>
      </c>
      <c r="AQ153" s="15" t="str">
        <f aca="false">IF(K153="","",K153-F153-IF(N153="",0,N153))</f>
        <v/>
      </c>
    </row>
    <row r="154" customFormat="false" ht="15" hidden="false" customHeight="false" outlineLevel="0" collapsed="false">
      <c r="A154" s="4"/>
      <c r="B154" s="4"/>
      <c r="C154" s="4"/>
      <c r="D154" s="5"/>
      <c r="E154" s="5"/>
      <c r="F154" s="6"/>
      <c r="G154" s="4"/>
      <c r="H154" s="4"/>
      <c r="I154" s="4"/>
      <c r="J154" s="6"/>
      <c r="K154" s="7" t="str">
        <f aca="false">IF(OR(I154="",J154=""),"",I154*J154)</f>
        <v/>
      </c>
      <c r="L154" s="4"/>
      <c r="M154" s="8"/>
      <c r="N154" s="7" t="str">
        <f aca="false">IF(OR(L154="",M154="",K154=""),"",IF(L154="GANANCIA",(K154-F154)*M154,IF(L154="BRUTO",K154*M154,"")))</f>
        <v/>
      </c>
      <c r="O154" s="9" t="str">
        <f aca="false">IF(D154="","",D154+30)</f>
        <v/>
      </c>
      <c r="P154" s="10" t="str">
        <f aca="false">IF(I154="","",IF(COUNTIF(Q154:AN154,TRUE())&gt;=I154,"PAGADO",IF(COUNTIF(Q154:AN154,TRUE())&gt;0,"PARCIAL","VIGENTE")))</f>
        <v/>
      </c>
      <c r="Q154" s="11" t="str">
        <f aca="false">IF(OR(I154="",I154&lt;1,O154=""),"",O154+0)</f>
        <v/>
      </c>
      <c r="R154" s="11" t="str">
        <f aca="false">IF(OR(I154="",I154&lt;2,O154=""),"",O154+30)</f>
        <v/>
      </c>
      <c r="S154" s="11" t="str">
        <f aca="false">IF(OR(I154="",I154&lt;3,O154=""),"",O154+60)</f>
        <v/>
      </c>
      <c r="T154" s="11" t="str">
        <f aca="false">IF(OR(I154="",I154&lt;4,O154=""),"",O154+90)</f>
        <v/>
      </c>
      <c r="U154" s="11" t="str">
        <f aca="false">IF(OR(I154="",I154&lt;5,O154=""),"",O154+120)</f>
        <v/>
      </c>
      <c r="V154" s="11" t="str">
        <f aca="false">IF(OR(I154="",I154&lt;6,O154=""),"",O154+150)</f>
        <v/>
      </c>
      <c r="W154" s="11" t="str">
        <f aca="false">IF(OR(I154="",I154&lt;7,O154=""),"",O154+180)</f>
        <v/>
      </c>
      <c r="X154" s="11" t="str">
        <f aca="false">IF(OR(I154="",I154&lt;8,O154=""),"",O154+210)</f>
        <v/>
      </c>
      <c r="Y154" s="11" t="str">
        <f aca="false">IF(OR(I154="",I154&lt;9,O154=""),"",O154+240)</f>
        <v/>
      </c>
      <c r="Z154" s="11" t="str">
        <f aca="false">IF(OR(I154="",I154&lt;10,O154=""),"",O154+270)</f>
        <v/>
      </c>
      <c r="AA154" s="11" t="str">
        <f aca="false">IF(OR(I154="",I154&lt;11,O154=""),"",O154+300)</f>
        <v/>
      </c>
      <c r="AB154" s="11" t="str">
        <f aca="false">IF(OR(I154="",I154&lt;12,O154=""),"",O154+330)</f>
        <v/>
      </c>
      <c r="AC154" s="11" t="str">
        <f aca="false">IF(OR(I154="",I154&lt;13,O154=""),"",O154+360)</f>
        <v/>
      </c>
      <c r="AD154" s="11" t="str">
        <f aca="false">IF(OR(I154="",I154&lt;14,O154=""),"",O154+390)</f>
        <v/>
      </c>
      <c r="AE154" s="11" t="str">
        <f aca="false">IF(OR(I154="",I154&lt;15,O154=""),"",O154+420)</f>
        <v/>
      </c>
      <c r="AF154" s="11" t="str">
        <f aca="false">IF(OR(I154="",I154&lt;16,O154=""),"",O154+450)</f>
        <v/>
      </c>
      <c r="AG154" s="11" t="str">
        <f aca="false">IF(OR(I154="",I154&lt;17,O154=""),"",O154+480)</f>
        <v/>
      </c>
      <c r="AH154" s="11" t="str">
        <f aca="false">IF(OR(I154="",I154&lt;18,O154=""),"",O154+510)</f>
        <v/>
      </c>
      <c r="AI154" s="11" t="str">
        <f aca="false">IF(OR(I154="",I154&lt;19,O154=""),"",O154+540)</f>
        <v/>
      </c>
      <c r="AJ154" s="11" t="str">
        <f aca="false">IF(OR(I154="",I154&lt;20,O154=""),"",O154+570)</f>
        <v/>
      </c>
      <c r="AK154" s="11" t="str">
        <f aca="false">IF(OR(I154="",I154&lt;21,O154=""),"",O154+600)</f>
        <v/>
      </c>
      <c r="AL154" s="11" t="str">
        <f aca="false">IF(OR(I154="",I154&lt;22,O154=""),"",O154+630)</f>
        <v/>
      </c>
      <c r="AM154" s="11" t="str">
        <f aca="false">IF(OR(I154="",I154&lt;23,O154=""),"",O154+660)</f>
        <v/>
      </c>
      <c r="AN154" s="11" t="str">
        <f aca="false">IF(OR(I154="",I154&lt;24,O154=""),"",O154+690)</f>
        <v/>
      </c>
      <c r="AO154" s="7" t="str">
        <f aca="false">IF(J154="","",COUNTIF(Q154:AN154,TRUE())*J154)</f>
        <v/>
      </c>
      <c r="AP154" s="7" t="str">
        <f aca="false">IF(K154="","",K154-AO154)</f>
        <v/>
      </c>
      <c r="AQ154" s="7" t="str">
        <f aca="false">IF(K154="","",K154-F154-IF(N154="",0,N154))</f>
        <v/>
      </c>
    </row>
    <row r="155" customFormat="false" ht="15" hidden="false" customHeight="false" outlineLevel="0" collapsed="false">
      <c r="A155" s="12"/>
      <c r="B155" s="12"/>
      <c r="C155" s="12"/>
      <c r="D155" s="13"/>
      <c r="E155" s="13"/>
      <c r="F155" s="14"/>
      <c r="G155" s="12"/>
      <c r="H155" s="12"/>
      <c r="I155" s="12"/>
      <c r="J155" s="14"/>
      <c r="K155" s="15" t="str">
        <f aca="false">IF(OR(I155="",J155=""),"",I155*J155)</f>
        <v/>
      </c>
      <c r="L155" s="12"/>
      <c r="M155" s="16"/>
      <c r="N155" s="15" t="str">
        <f aca="false">IF(OR(L155="",M155="",K155=""),"",IF(L155="GANANCIA",(K155-F155)*M155,IF(L155="BRUTO",K155*M155,"")))</f>
        <v/>
      </c>
      <c r="O155" s="17" t="str">
        <f aca="false">IF(D155="","",D155+30)</f>
        <v/>
      </c>
      <c r="P155" s="18" t="str">
        <f aca="false">IF(I155="","",IF(COUNTIF(Q155:AN155,TRUE())&gt;=I155,"PAGADO",IF(COUNTIF(Q155:AN155,TRUE())&gt;0,"PARCIAL","VIGENTE")))</f>
        <v/>
      </c>
      <c r="Q155" s="19" t="str">
        <f aca="false">IF(OR(I155="",I155&lt;1,O155=""),"",O155+0)</f>
        <v/>
      </c>
      <c r="R155" s="19" t="str">
        <f aca="false">IF(OR(I155="",I155&lt;2,O155=""),"",O155+30)</f>
        <v/>
      </c>
      <c r="S155" s="19" t="str">
        <f aca="false">IF(OR(I155="",I155&lt;3,O155=""),"",O155+60)</f>
        <v/>
      </c>
      <c r="T155" s="19" t="str">
        <f aca="false">IF(OR(I155="",I155&lt;4,O155=""),"",O155+90)</f>
        <v/>
      </c>
      <c r="U155" s="19" t="str">
        <f aca="false">IF(OR(I155="",I155&lt;5,O155=""),"",O155+120)</f>
        <v/>
      </c>
      <c r="V155" s="19" t="str">
        <f aca="false">IF(OR(I155="",I155&lt;6,O155=""),"",O155+150)</f>
        <v/>
      </c>
      <c r="W155" s="19" t="str">
        <f aca="false">IF(OR(I155="",I155&lt;7,O155=""),"",O155+180)</f>
        <v/>
      </c>
      <c r="X155" s="19" t="str">
        <f aca="false">IF(OR(I155="",I155&lt;8,O155=""),"",O155+210)</f>
        <v/>
      </c>
      <c r="Y155" s="19" t="str">
        <f aca="false">IF(OR(I155="",I155&lt;9,O155=""),"",O155+240)</f>
        <v/>
      </c>
      <c r="Z155" s="19" t="str">
        <f aca="false">IF(OR(I155="",I155&lt;10,O155=""),"",O155+270)</f>
        <v/>
      </c>
      <c r="AA155" s="19" t="str">
        <f aca="false">IF(OR(I155="",I155&lt;11,O155=""),"",O155+300)</f>
        <v/>
      </c>
      <c r="AB155" s="19" t="str">
        <f aca="false">IF(OR(I155="",I155&lt;12,O155=""),"",O155+330)</f>
        <v/>
      </c>
      <c r="AC155" s="19" t="str">
        <f aca="false">IF(OR(I155="",I155&lt;13,O155=""),"",O155+360)</f>
        <v/>
      </c>
      <c r="AD155" s="19" t="str">
        <f aca="false">IF(OR(I155="",I155&lt;14,O155=""),"",O155+390)</f>
        <v/>
      </c>
      <c r="AE155" s="19" t="str">
        <f aca="false">IF(OR(I155="",I155&lt;15,O155=""),"",O155+420)</f>
        <v/>
      </c>
      <c r="AF155" s="19" t="str">
        <f aca="false">IF(OR(I155="",I155&lt;16,O155=""),"",O155+450)</f>
        <v/>
      </c>
      <c r="AG155" s="19" t="str">
        <f aca="false">IF(OR(I155="",I155&lt;17,O155=""),"",O155+480)</f>
        <v/>
      </c>
      <c r="AH155" s="19" t="str">
        <f aca="false">IF(OR(I155="",I155&lt;18,O155=""),"",O155+510)</f>
        <v/>
      </c>
      <c r="AI155" s="19" t="str">
        <f aca="false">IF(OR(I155="",I155&lt;19,O155=""),"",O155+540)</f>
        <v/>
      </c>
      <c r="AJ155" s="19" t="str">
        <f aca="false">IF(OR(I155="",I155&lt;20,O155=""),"",O155+570)</f>
        <v/>
      </c>
      <c r="AK155" s="19" t="str">
        <f aca="false">IF(OR(I155="",I155&lt;21,O155=""),"",O155+600)</f>
        <v/>
      </c>
      <c r="AL155" s="19" t="str">
        <f aca="false">IF(OR(I155="",I155&lt;22,O155=""),"",O155+630)</f>
        <v/>
      </c>
      <c r="AM155" s="19" t="str">
        <f aca="false">IF(OR(I155="",I155&lt;23,O155=""),"",O155+660)</f>
        <v/>
      </c>
      <c r="AN155" s="19" t="str">
        <f aca="false">IF(OR(I155="",I155&lt;24,O155=""),"",O155+690)</f>
        <v/>
      </c>
      <c r="AO155" s="15" t="str">
        <f aca="false">IF(J155="","",COUNTIF(Q155:AN155,TRUE())*J155)</f>
        <v/>
      </c>
      <c r="AP155" s="15" t="str">
        <f aca="false">IF(K155="","",K155-AO155)</f>
        <v/>
      </c>
      <c r="AQ155" s="15" t="str">
        <f aca="false">IF(K155="","",K155-F155-IF(N155="",0,N155))</f>
        <v/>
      </c>
    </row>
    <row r="156" customFormat="false" ht="15" hidden="false" customHeight="false" outlineLevel="0" collapsed="false">
      <c r="A156" s="4"/>
      <c r="B156" s="4"/>
      <c r="C156" s="4"/>
      <c r="D156" s="5"/>
      <c r="E156" s="5"/>
      <c r="F156" s="6"/>
      <c r="G156" s="4"/>
      <c r="H156" s="4"/>
      <c r="I156" s="4"/>
      <c r="J156" s="6"/>
      <c r="K156" s="7" t="str">
        <f aca="false">IF(OR(I156="",J156=""),"",I156*J156)</f>
        <v/>
      </c>
      <c r="L156" s="4"/>
      <c r="M156" s="8"/>
      <c r="N156" s="7" t="str">
        <f aca="false">IF(OR(L156="",M156="",K156=""),"",IF(L156="GANANCIA",(K156-F156)*M156,IF(L156="BRUTO",K156*M156,"")))</f>
        <v/>
      </c>
      <c r="O156" s="9" t="str">
        <f aca="false">IF(D156="","",D156+30)</f>
        <v/>
      </c>
      <c r="P156" s="10" t="str">
        <f aca="false">IF(I156="","",IF(COUNTIF(Q156:AN156,TRUE())&gt;=I156,"PAGADO",IF(COUNTIF(Q156:AN156,TRUE())&gt;0,"PARCIAL","VIGENTE")))</f>
        <v/>
      </c>
      <c r="Q156" s="11" t="str">
        <f aca="false">IF(OR(I156="",I156&lt;1,O156=""),"",O156+0)</f>
        <v/>
      </c>
      <c r="R156" s="11" t="str">
        <f aca="false">IF(OR(I156="",I156&lt;2,O156=""),"",O156+30)</f>
        <v/>
      </c>
      <c r="S156" s="11" t="str">
        <f aca="false">IF(OR(I156="",I156&lt;3,O156=""),"",O156+60)</f>
        <v/>
      </c>
      <c r="T156" s="11" t="str">
        <f aca="false">IF(OR(I156="",I156&lt;4,O156=""),"",O156+90)</f>
        <v/>
      </c>
      <c r="U156" s="11" t="str">
        <f aca="false">IF(OR(I156="",I156&lt;5,O156=""),"",O156+120)</f>
        <v/>
      </c>
      <c r="V156" s="11" t="str">
        <f aca="false">IF(OR(I156="",I156&lt;6,O156=""),"",O156+150)</f>
        <v/>
      </c>
      <c r="W156" s="11" t="str">
        <f aca="false">IF(OR(I156="",I156&lt;7,O156=""),"",O156+180)</f>
        <v/>
      </c>
      <c r="X156" s="11" t="str">
        <f aca="false">IF(OR(I156="",I156&lt;8,O156=""),"",O156+210)</f>
        <v/>
      </c>
      <c r="Y156" s="11" t="str">
        <f aca="false">IF(OR(I156="",I156&lt;9,O156=""),"",O156+240)</f>
        <v/>
      </c>
      <c r="Z156" s="11" t="str">
        <f aca="false">IF(OR(I156="",I156&lt;10,O156=""),"",O156+270)</f>
        <v/>
      </c>
      <c r="AA156" s="11" t="str">
        <f aca="false">IF(OR(I156="",I156&lt;11,O156=""),"",O156+300)</f>
        <v/>
      </c>
      <c r="AB156" s="11" t="str">
        <f aca="false">IF(OR(I156="",I156&lt;12,O156=""),"",O156+330)</f>
        <v/>
      </c>
      <c r="AC156" s="11" t="str">
        <f aca="false">IF(OR(I156="",I156&lt;13,O156=""),"",O156+360)</f>
        <v/>
      </c>
      <c r="AD156" s="11" t="str">
        <f aca="false">IF(OR(I156="",I156&lt;14,O156=""),"",O156+390)</f>
        <v/>
      </c>
      <c r="AE156" s="11" t="str">
        <f aca="false">IF(OR(I156="",I156&lt;15,O156=""),"",O156+420)</f>
        <v/>
      </c>
      <c r="AF156" s="11" t="str">
        <f aca="false">IF(OR(I156="",I156&lt;16,O156=""),"",O156+450)</f>
        <v/>
      </c>
      <c r="AG156" s="11" t="str">
        <f aca="false">IF(OR(I156="",I156&lt;17,O156=""),"",O156+480)</f>
        <v/>
      </c>
      <c r="AH156" s="11" t="str">
        <f aca="false">IF(OR(I156="",I156&lt;18,O156=""),"",O156+510)</f>
        <v/>
      </c>
      <c r="AI156" s="11" t="str">
        <f aca="false">IF(OR(I156="",I156&lt;19,O156=""),"",O156+540)</f>
        <v/>
      </c>
      <c r="AJ156" s="11" t="str">
        <f aca="false">IF(OR(I156="",I156&lt;20,O156=""),"",O156+570)</f>
        <v/>
      </c>
      <c r="AK156" s="11" t="str">
        <f aca="false">IF(OR(I156="",I156&lt;21,O156=""),"",O156+600)</f>
        <v/>
      </c>
      <c r="AL156" s="11" t="str">
        <f aca="false">IF(OR(I156="",I156&lt;22,O156=""),"",O156+630)</f>
        <v/>
      </c>
      <c r="AM156" s="11" t="str">
        <f aca="false">IF(OR(I156="",I156&lt;23,O156=""),"",O156+660)</f>
        <v/>
      </c>
      <c r="AN156" s="11" t="str">
        <f aca="false">IF(OR(I156="",I156&lt;24,O156=""),"",O156+690)</f>
        <v/>
      </c>
      <c r="AO156" s="7" t="str">
        <f aca="false">IF(J156="","",COUNTIF(Q156:AN156,TRUE())*J156)</f>
        <v/>
      </c>
      <c r="AP156" s="7" t="str">
        <f aca="false">IF(K156="","",K156-AO156)</f>
        <v/>
      </c>
      <c r="AQ156" s="7" t="str">
        <f aca="false">IF(K156="","",K156-F156-IF(N156="",0,N156))</f>
        <v/>
      </c>
    </row>
    <row r="157" customFormat="false" ht="15" hidden="false" customHeight="false" outlineLevel="0" collapsed="false">
      <c r="A157" s="12"/>
      <c r="B157" s="12"/>
      <c r="C157" s="12"/>
      <c r="D157" s="13"/>
      <c r="E157" s="13"/>
      <c r="F157" s="14"/>
      <c r="G157" s="12"/>
      <c r="H157" s="12"/>
      <c r="I157" s="12"/>
      <c r="J157" s="14"/>
      <c r="K157" s="15" t="str">
        <f aca="false">IF(OR(I157="",J157=""),"",I157*J157)</f>
        <v/>
      </c>
      <c r="L157" s="12"/>
      <c r="M157" s="16"/>
      <c r="N157" s="15" t="str">
        <f aca="false">IF(OR(L157="",M157="",K157=""),"",IF(L157="GANANCIA",(K157-F157)*M157,IF(L157="BRUTO",K157*M157,"")))</f>
        <v/>
      </c>
      <c r="O157" s="17" t="str">
        <f aca="false">IF(D157="","",D157+30)</f>
        <v/>
      </c>
      <c r="P157" s="18" t="str">
        <f aca="false">IF(I157="","",IF(COUNTIF(Q157:AN157,TRUE())&gt;=I157,"PAGADO",IF(COUNTIF(Q157:AN157,TRUE())&gt;0,"PARCIAL","VIGENTE")))</f>
        <v/>
      </c>
      <c r="Q157" s="19" t="str">
        <f aca="false">IF(OR(I157="",I157&lt;1,O157=""),"",O157+0)</f>
        <v/>
      </c>
      <c r="R157" s="19" t="str">
        <f aca="false">IF(OR(I157="",I157&lt;2,O157=""),"",O157+30)</f>
        <v/>
      </c>
      <c r="S157" s="19" t="str">
        <f aca="false">IF(OR(I157="",I157&lt;3,O157=""),"",O157+60)</f>
        <v/>
      </c>
      <c r="T157" s="19" t="str">
        <f aca="false">IF(OR(I157="",I157&lt;4,O157=""),"",O157+90)</f>
        <v/>
      </c>
      <c r="U157" s="19" t="str">
        <f aca="false">IF(OR(I157="",I157&lt;5,O157=""),"",O157+120)</f>
        <v/>
      </c>
      <c r="V157" s="19" t="str">
        <f aca="false">IF(OR(I157="",I157&lt;6,O157=""),"",O157+150)</f>
        <v/>
      </c>
      <c r="W157" s="19" t="str">
        <f aca="false">IF(OR(I157="",I157&lt;7,O157=""),"",O157+180)</f>
        <v/>
      </c>
      <c r="X157" s="19" t="str">
        <f aca="false">IF(OR(I157="",I157&lt;8,O157=""),"",O157+210)</f>
        <v/>
      </c>
      <c r="Y157" s="19" t="str">
        <f aca="false">IF(OR(I157="",I157&lt;9,O157=""),"",O157+240)</f>
        <v/>
      </c>
      <c r="Z157" s="19" t="str">
        <f aca="false">IF(OR(I157="",I157&lt;10,O157=""),"",O157+270)</f>
        <v/>
      </c>
      <c r="AA157" s="19" t="str">
        <f aca="false">IF(OR(I157="",I157&lt;11,O157=""),"",O157+300)</f>
        <v/>
      </c>
      <c r="AB157" s="19" t="str">
        <f aca="false">IF(OR(I157="",I157&lt;12,O157=""),"",O157+330)</f>
        <v/>
      </c>
      <c r="AC157" s="19" t="str">
        <f aca="false">IF(OR(I157="",I157&lt;13,O157=""),"",O157+360)</f>
        <v/>
      </c>
      <c r="AD157" s="19" t="str">
        <f aca="false">IF(OR(I157="",I157&lt;14,O157=""),"",O157+390)</f>
        <v/>
      </c>
      <c r="AE157" s="19" t="str">
        <f aca="false">IF(OR(I157="",I157&lt;15,O157=""),"",O157+420)</f>
        <v/>
      </c>
      <c r="AF157" s="19" t="str">
        <f aca="false">IF(OR(I157="",I157&lt;16,O157=""),"",O157+450)</f>
        <v/>
      </c>
      <c r="AG157" s="19" t="str">
        <f aca="false">IF(OR(I157="",I157&lt;17,O157=""),"",O157+480)</f>
        <v/>
      </c>
      <c r="AH157" s="19" t="str">
        <f aca="false">IF(OR(I157="",I157&lt;18,O157=""),"",O157+510)</f>
        <v/>
      </c>
      <c r="AI157" s="19" t="str">
        <f aca="false">IF(OR(I157="",I157&lt;19,O157=""),"",O157+540)</f>
        <v/>
      </c>
      <c r="AJ157" s="19" t="str">
        <f aca="false">IF(OR(I157="",I157&lt;20,O157=""),"",O157+570)</f>
        <v/>
      </c>
      <c r="AK157" s="19" t="str">
        <f aca="false">IF(OR(I157="",I157&lt;21,O157=""),"",O157+600)</f>
        <v/>
      </c>
      <c r="AL157" s="19" t="str">
        <f aca="false">IF(OR(I157="",I157&lt;22,O157=""),"",O157+630)</f>
        <v/>
      </c>
      <c r="AM157" s="19" t="str">
        <f aca="false">IF(OR(I157="",I157&lt;23,O157=""),"",O157+660)</f>
        <v/>
      </c>
      <c r="AN157" s="19" t="str">
        <f aca="false">IF(OR(I157="",I157&lt;24,O157=""),"",O157+690)</f>
        <v/>
      </c>
      <c r="AO157" s="15" t="str">
        <f aca="false">IF(J157="","",COUNTIF(Q157:AN157,TRUE())*J157)</f>
        <v/>
      </c>
      <c r="AP157" s="15" t="str">
        <f aca="false">IF(K157="","",K157-AO157)</f>
        <v/>
      </c>
      <c r="AQ157" s="15" t="str">
        <f aca="false">IF(K157="","",K157-F157-IF(N157="",0,N157))</f>
        <v/>
      </c>
    </row>
    <row r="158" customFormat="false" ht="15" hidden="false" customHeight="false" outlineLevel="0" collapsed="false">
      <c r="A158" s="4"/>
      <c r="B158" s="4"/>
      <c r="C158" s="4"/>
      <c r="D158" s="5"/>
      <c r="E158" s="5"/>
      <c r="F158" s="6"/>
      <c r="G158" s="4"/>
      <c r="H158" s="4"/>
      <c r="I158" s="4"/>
      <c r="J158" s="6"/>
      <c r="K158" s="7" t="str">
        <f aca="false">IF(OR(I158="",J158=""),"",I158*J158)</f>
        <v/>
      </c>
      <c r="L158" s="4"/>
      <c r="M158" s="8"/>
      <c r="N158" s="7" t="str">
        <f aca="false">IF(OR(L158="",M158="",K158=""),"",IF(L158="GANANCIA",(K158-F158)*M158,IF(L158="BRUTO",K158*M158,"")))</f>
        <v/>
      </c>
      <c r="O158" s="9" t="str">
        <f aca="false">IF(D158="","",D158+30)</f>
        <v/>
      </c>
      <c r="P158" s="10" t="str">
        <f aca="false">IF(I158="","",IF(COUNTIF(Q158:AN158,TRUE())&gt;=I158,"PAGADO",IF(COUNTIF(Q158:AN158,TRUE())&gt;0,"PARCIAL","VIGENTE")))</f>
        <v/>
      </c>
      <c r="Q158" s="11" t="str">
        <f aca="false">IF(OR(I158="",I158&lt;1,O158=""),"",O158+0)</f>
        <v/>
      </c>
      <c r="R158" s="11" t="str">
        <f aca="false">IF(OR(I158="",I158&lt;2,O158=""),"",O158+30)</f>
        <v/>
      </c>
      <c r="S158" s="11" t="str">
        <f aca="false">IF(OR(I158="",I158&lt;3,O158=""),"",O158+60)</f>
        <v/>
      </c>
      <c r="T158" s="11" t="str">
        <f aca="false">IF(OR(I158="",I158&lt;4,O158=""),"",O158+90)</f>
        <v/>
      </c>
      <c r="U158" s="11" t="str">
        <f aca="false">IF(OR(I158="",I158&lt;5,O158=""),"",O158+120)</f>
        <v/>
      </c>
      <c r="V158" s="11" t="str">
        <f aca="false">IF(OR(I158="",I158&lt;6,O158=""),"",O158+150)</f>
        <v/>
      </c>
      <c r="W158" s="11" t="str">
        <f aca="false">IF(OR(I158="",I158&lt;7,O158=""),"",O158+180)</f>
        <v/>
      </c>
      <c r="X158" s="11" t="str">
        <f aca="false">IF(OR(I158="",I158&lt;8,O158=""),"",O158+210)</f>
        <v/>
      </c>
      <c r="Y158" s="11" t="str">
        <f aca="false">IF(OR(I158="",I158&lt;9,O158=""),"",O158+240)</f>
        <v/>
      </c>
      <c r="Z158" s="11" t="str">
        <f aca="false">IF(OR(I158="",I158&lt;10,O158=""),"",O158+270)</f>
        <v/>
      </c>
      <c r="AA158" s="11" t="str">
        <f aca="false">IF(OR(I158="",I158&lt;11,O158=""),"",O158+300)</f>
        <v/>
      </c>
      <c r="AB158" s="11" t="str">
        <f aca="false">IF(OR(I158="",I158&lt;12,O158=""),"",O158+330)</f>
        <v/>
      </c>
      <c r="AC158" s="11" t="str">
        <f aca="false">IF(OR(I158="",I158&lt;13,O158=""),"",O158+360)</f>
        <v/>
      </c>
      <c r="AD158" s="11" t="str">
        <f aca="false">IF(OR(I158="",I158&lt;14,O158=""),"",O158+390)</f>
        <v/>
      </c>
      <c r="AE158" s="11" t="str">
        <f aca="false">IF(OR(I158="",I158&lt;15,O158=""),"",O158+420)</f>
        <v/>
      </c>
      <c r="AF158" s="11" t="str">
        <f aca="false">IF(OR(I158="",I158&lt;16,O158=""),"",O158+450)</f>
        <v/>
      </c>
      <c r="AG158" s="11" t="str">
        <f aca="false">IF(OR(I158="",I158&lt;17,O158=""),"",O158+480)</f>
        <v/>
      </c>
      <c r="AH158" s="11" t="str">
        <f aca="false">IF(OR(I158="",I158&lt;18,O158=""),"",O158+510)</f>
        <v/>
      </c>
      <c r="AI158" s="11" t="str">
        <f aca="false">IF(OR(I158="",I158&lt;19,O158=""),"",O158+540)</f>
        <v/>
      </c>
      <c r="AJ158" s="11" t="str">
        <f aca="false">IF(OR(I158="",I158&lt;20,O158=""),"",O158+570)</f>
        <v/>
      </c>
      <c r="AK158" s="11" t="str">
        <f aca="false">IF(OR(I158="",I158&lt;21,O158=""),"",O158+600)</f>
        <v/>
      </c>
      <c r="AL158" s="11" t="str">
        <f aca="false">IF(OR(I158="",I158&lt;22,O158=""),"",O158+630)</f>
        <v/>
      </c>
      <c r="AM158" s="11" t="str">
        <f aca="false">IF(OR(I158="",I158&lt;23,O158=""),"",O158+660)</f>
        <v/>
      </c>
      <c r="AN158" s="11" t="str">
        <f aca="false">IF(OR(I158="",I158&lt;24,O158=""),"",O158+690)</f>
        <v/>
      </c>
      <c r="AO158" s="7" t="str">
        <f aca="false">IF(J158="","",COUNTIF(Q158:AN158,TRUE())*J158)</f>
        <v/>
      </c>
      <c r="AP158" s="7" t="str">
        <f aca="false">IF(K158="","",K158-AO158)</f>
        <v/>
      </c>
      <c r="AQ158" s="7" t="str">
        <f aca="false">IF(K158="","",K158-F158-IF(N158="",0,N158))</f>
        <v/>
      </c>
    </row>
    <row r="159" customFormat="false" ht="15" hidden="false" customHeight="false" outlineLevel="0" collapsed="false">
      <c r="A159" s="12"/>
      <c r="B159" s="12"/>
      <c r="C159" s="12"/>
      <c r="D159" s="13"/>
      <c r="E159" s="13"/>
      <c r="F159" s="14"/>
      <c r="G159" s="12"/>
      <c r="H159" s="12"/>
      <c r="I159" s="12"/>
      <c r="J159" s="14"/>
      <c r="K159" s="15" t="str">
        <f aca="false">IF(OR(I159="",J159=""),"",I159*J159)</f>
        <v/>
      </c>
      <c r="L159" s="12"/>
      <c r="M159" s="16"/>
      <c r="N159" s="15" t="str">
        <f aca="false">IF(OR(L159="",M159="",K159=""),"",IF(L159="GANANCIA",(K159-F159)*M159,IF(L159="BRUTO",K159*M159,"")))</f>
        <v/>
      </c>
      <c r="O159" s="17" t="str">
        <f aca="false">IF(D159="","",D159+30)</f>
        <v/>
      </c>
      <c r="P159" s="18" t="str">
        <f aca="false">IF(I159="","",IF(COUNTIF(Q159:AN159,TRUE())&gt;=I159,"PAGADO",IF(COUNTIF(Q159:AN159,TRUE())&gt;0,"PARCIAL","VIGENTE")))</f>
        <v/>
      </c>
      <c r="Q159" s="19" t="str">
        <f aca="false">IF(OR(I159="",I159&lt;1,O159=""),"",O159+0)</f>
        <v/>
      </c>
      <c r="R159" s="19" t="str">
        <f aca="false">IF(OR(I159="",I159&lt;2,O159=""),"",O159+30)</f>
        <v/>
      </c>
      <c r="S159" s="19" t="str">
        <f aca="false">IF(OR(I159="",I159&lt;3,O159=""),"",O159+60)</f>
        <v/>
      </c>
      <c r="T159" s="19" t="str">
        <f aca="false">IF(OR(I159="",I159&lt;4,O159=""),"",O159+90)</f>
        <v/>
      </c>
      <c r="U159" s="19" t="str">
        <f aca="false">IF(OR(I159="",I159&lt;5,O159=""),"",O159+120)</f>
        <v/>
      </c>
      <c r="V159" s="19" t="str">
        <f aca="false">IF(OR(I159="",I159&lt;6,O159=""),"",O159+150)</f>
        <v/>
      </c>
      <c r="W159" s="19" t="str">
        <f aca="false">IF(OR(I159="",I159&lt;7,O159=""),"",O159+180)</f>
        <v/>
      </c>
      <c r="X159" s="19" t="str">
        <f aca="false">IF(OR(I159="",I159&lt;8,O159=""),"",O159+210)</f>
        <v/>
      </c>
      <c r="Y159" s="19" t="str">
        <f aca="false">IF(OR(I159="",I159&lt;9,O159=""),"",O159+240)</f>
        <v/>
      </c>
      <c r="Z159" s="19" t="str">
        <f aca="false">IF(OR(I159="",I159&lt;10,O159=""),"",O159+270)</f>
        <v/>
      </c>
      <c r="AA159" s="19" t="str">
        <f aca="false">IF(OR(I159="",I159&lt;11,O159=""),"",O159+300)</f>
        <v/>
      </c>
      <c r="AB159" s="19" t="str">
        <f aca="false">IF(OR(I159="",I159&lt;12,O159=""),"",O159+330)</f>
        <v/>
      </c>
      <c r="AC159" s="19" t="str">
        <f aca="false">IF(OR(I159="",I159&lt;13,O159=""),"",O159+360)</f>
        <v/>
      </c>
      <c r="AD159" s="19" t="str">
        <f aca="false">IF(OR(I159="",I159&lt;14,O159=""),"",O159+390)</f>
        <v/>
      </c>
      <c r="AE159" s="19" t="str">
        <f aca="false">IF(OR(I159="",I159&lt;15,O159=""),"",O159+420)</f>
        <v/>
      </c>
      <c r="AF159" s="19" t="str">
        <f aca="false">IF(OR(I159="",I159&lt;16,O159=""),"",O159+450)</f>
        <v/>
      </c>
      <c r="AG159" s="19" t="str">
        <f aca="false">IF(OR(I159="",I159&lt;17,O159=""),"",O159+480)</f>
        <v/>
      </c>
      <c r="AH159" s="19" t="str">
        <f aca="false">IF(OR(I159="",I159&lt;18,O159=""),"",O159+510)</f>
        <v/>
      </c>
      <c r="AI159" s="19" t="str">
        <f aca="false">IF(OR(I159="",I159&lt;19,O159=""),"",O159+540)</f>
        <v/>
      </c>
      <c r="AJ159" s="19" t="str">
        <f aca="false">IF(OR(I159="",I159&lt;20,O159=""),"",O159+570)</f>
        <v/>
      </c>
      <c r="AK159" s="19" t="str">
        <f aca="false">IF(OR(I159="",I159&lt;21,O159=""),"",O159+600)</f>
        <v/>
      </c>
      <c r="AL159" s="19" t="str">
        <f aca="false">IF(OR(I159="",I159&lt;22,O159=""),"",O159+630)</f>
        <v/>
      </c>
      <c r="AM159" s="19" t="str">
        <f aca="false">IF(OR(I159="",I159&lt;23,O159=""),"",O159+660)</f>
        <v/>
      </c>
      <c r="AN159" s="19" t="str">
        <f aca="false">IF(OR(I159="",I159&lt;24,O159=""),"",O159+690)</f>
        <v/>
      </c>
      <c r="AO159" s="15" t="str">
        <f aca="false">IF(J159="","",COUNTIF(Q159:AN159,TRUE())*J159)</f>
        <v/>
      </c>
      <c r="AP159" s="15" t="str">
        <f aca="false">IF(K159="","",K159-AO159)</f>
        <v/>
      </c>
      <c r="AQ159" s="15" t="str">
        <f aca="false">IF(K159="","",K159-F159-IF(N159="",0,N159))</f>
        <v/>
      </c>
    </row>
    <row r="160" customFormat="false" ht="15" hidden="false" customHeight="false" outlineLevel="0" collapsed="false">
      <c r="A160" s="4"/>
      <c r="B160" s="4"/>
      <c r="C160" s="4"/>
      <c r="D160" s="5"/>
      <c r="E160" s="5"/>
      <c r="F160" s="6"/>
      <c r="G160" s="4"/>
      <c r="H160" s="4"/>
      <c r="I160" s="4"/>
      <c r="J160" s="6"/>
      <c r="K160" s="7" t="str">
        <f aca="false">IF(OR(I160="",J160=""),"",I160*J160)</f>
        <v/>
      </c>
      <c r="L160" s="4"/>
      <c r="M160" s="8"/>
      <c r="N160" s="7" t="str">
        <f aca="false">IF(OR(L160="",M160="",K160=""),"",IF(L160="GANANCIA",(K160-F160)*M160,IF(L160="BRUTO",K160*M160,"")))</f>
        <v/>
      </c>
      <c r="O160" s="9" t="str">
        <f aca="false">IF(D160="","",D160+30)</f>
        <v/>
      </c>
      <c r="P160" s="10" t="str">
        <f aca="false">IF(I160="","",IF(COUNTIF(Q160:AN160,TRUE())&gt;=I160,"PAGADO",IF(COUNTIF(Q160:AN160,TRUE())&gt;0,"PARCIAL","VIGENTE")))</f>
        <v/>
      </c>
      <c r="Q160" s="11" t="str">
        <f aca="false">IF(OR(I160="",I160&lt;1,O160=""),"",O160+0)</f>
        <v/>
      </c>
      <c r="R160" s="11" t="str">
        <f aca="false">IF(OR(I160="",I160&lt;2,O160=""),"",O160+30)</f>
        <v/>
      </c>
      <c r="S160" s="11" t="str">
        <f aca="false">IF(OR(I160="",I160&lt;3,O160=""),"",O160+60)</f>
        <v/>
      </c>
      <c r="T160" s="11" t="str">
        <f aca="false">IF(OR(I160="",I160&lt;4,O160=""),"",O160+90)</f>
        <v/>
      </c>
      <c r="U160" s="11" t="str">
        <f aca="false">IF(OR(I160="",I160&lt;5,O160=""),"",O160+120)</f>
        <v/>
      </c>
      <c r="V160" s="11" t="str">
        <f aca="false">IF(OR(I160="",I160&lt;6,O160=""),"",O160+150)</f>
        <v/>
      </c>
      <c r="W160" s="11" t="str">
        <f aca="false">IF(OR(I160="",I160&lt;7,O160=""),"",O160+180)</f>
        <v/>
      </c>
      <c r="X160" s="11" t="str">
        <f aca="false">IF(OR(I160="",I160&lt;8,O160=""),"",O160+210)</f>
        <v/>
      </c>
      <c r="Y160" s="11" t="str">
        <f aca="false">IF(OR(I160="",I160&lt;9,O160=""),"",O160+240)</f>
        <v/>
      </c>
      <c r="Z160" s="11" t="str">
        <f aca="false">IF(OR(I160="",I160&lt;10,O160=""),"",O160+270)</f>
        <v/>
      </c>
      <c r="AA160" s="11" t="str">
        <f aca="false">IF(OR(I160="",I160&lt;11,O160=""),"",O160+300)</f>
        <v/>
      </c>
      <c r="AB160" s="11" t="str">
        <f aca="false">IF(OR(I160="",I160&lt;12,O160=""),"",O160+330)</f>
        <v/>
      </c>
      <c r="AC160" s="11" t="str">
        <f aca="false">IF(OR(I160="",I160&lt;13,O160=""),"",O160+360)</f>
        <v/>
      </c>
      <c r="AD160" s="11" t="str">
        <f aca="false">IF(OR(I160="",I160&lt;14,O160=""),"",O160+390)</f>
        <v/>
      </c>
      <c r="AE160" s="11" t="str">
        <f aca="false">IF(OR(I160="",I160&lt;15,O160=""),"",O160+420)</f>
        <v/>
      </c>
      <c r="AF160" s="11" t="str">
        <f aca="false">IF(OR(I160="",I160&lt;16,O160=""),"",O160+450)</f>
        <v/>
      </c>
      <c r="AG160" s="11" t="str">
        <f aca="false">IF(OR(I160="",I160&lt;17,O160=""),"",O160+480)</f>
        <v/>
      </c>
      <c r="AH160" s="11" t="str">
        <f aca="false">IF(OR(I160="",I160&lt;18,O160=""),"",O160+510)</f>
        <v/>
      </c>
      <c r="AI160" s="11" t="str">
        <f aca="false">IF(OR(I160="",I160&lt;19,O160=""),"",O160+540)</f>
        <v/>
      </c>
      <c r="AJ160" s="11" t="str">
        <f aca="false">IF(OR(I160="",I160&lt;20,O160=""),"",O160+570)</f>
        <v/>
      </c>
      <c r="AK160" s="11" t="str">
        <f aca="false">IF(OR(I160="",I160&lt;21,O160=""),"",O160+600)</f>
        <v/>
      </c>
      <c r="AL160" s="11" t="str">
        <f aca="false">IF(OR(I160="",I160&lt;22,O160=""),"",O160+630)</f>
        <v/>
      </c>
      <c r="AM160" s="11" t="str">
        <f aca="false">IF(OR(I160="",I160&lt;23,O160=""),"",O160+660)</f>
        <v/>
      </c>
      <c r="AN160" s="11" t="str">
        <f aca="false">IF(OR(I160="",I160&lt;24,O160=""),"",O160+690)</f>
        <v/>
      </c>
      <c r="AO160" s="7" t="str">
        <f aca="false">IF(J160="","",COUNTIF(Q160:AN160,TRUE())*J160)</f>
        <v/>
      </c>
      <c r="AP160" s="7" t="str">
        <f aca="false">IF(K160="","",K160-AO160)</f>
        <v/>
      </c>
      <c r="AQ160" s="7" t="str">
        <f aca="false">IF(K160="","",K160-F160-IF(N160="",0,N160))</f>
        <v/>
      </c>
    </row>
    <row r="161" customFormat="false" ht="15" hidden="false" customHeight="false" outlineLevel="0" collapsed="false">
      <c r="A161" s="12"/>
      <c r="B161" s="12"/>
      <c r="C161" s="12"/>
      <c r="D161" s="13"/>
      <c r="E161" s="13"/>
      <c r="F161" s="14"/>
      <c r="G161" s="12"/>
      <c r="H161" s="12"/>
      <c r="I161" s="12"/>
      <c r="J161" s="14"/>
      <c r="K161" s="15" t="str">
        <f aca="false">IF(OR(I161="",J161=""),"",I161*J161)</f>
        <v/>
      </c>
      <c r="L161" s="12"/>
      <c r="M161" s="16"/>
      <c r="N161" s="15" t="str">
        <f aca="false">IF(OR(L161="",M161="",K161=""),"",IF(L161="GANANCIA",(K161-F161)*M161,IF(L161="BRUTO",K161*M161,"")))</f>
        <v/>
      </c>
      <c r="O161" s="17" t="str">
        <f aca="false">IF(D161="","",D161+30)</f>
        <v/>
      </c>
      <c r="P161" s="18" t="str">
        <f aca="false">IF(I161="","",IF(COUNTIF(Q161:AN161,TRUE())&gt;=I161,"PAGADO",IF(COUNTIF(Q161:AN161,TRUE())&gt;0,"PARCIAL","VIGENTE")))</f>
        <v/>
      </c>
      <c r="Q161" s="19" t="str">
        <f aca="false">IF(OR(I161="",I161&lt;1,O161=""),"",O161+0)</f>
        <v/>
      </c>
      <c r="R161" s="19" t="str">
        <f aca="false">IF(OR(I161="",I161&lt;2,O161=""),"",O161+30)</f>
        <v/>
      </c>
      <c r="S161" s="19" t="str">
        <f aca="false">IF(OR(I161="",I161&lt;3,O161=""),"",O161+60)</f>
        <v/>
      </c>
      <c r="T161" s="19" t="str">
        <f aca="false">IF(OR(I161="",I161&lt;4,O161=""),"",O161+90)</f>
        <v/>
      </c>
      <c r="U161" s="19" t="str">
        <f aca="false">IF(OR(I161="",I161&lt;5,O161=""),"",O161+120)</f>
        <v/>
      </c>
      <c r="V161" s="19" t="str">
        <f aca="false">IF(OR(I161="",I161&lt;6,O161=""),"",O161+150)</f>
        <v/>
      </c>
      <c r="W161" s="19" t="str">
        <f aca="false">IF(OR(I161="",I161&lt;7,O161=""),"",O161+180)</f>
        <v/>
      </c>
      <c r="X161" s="19" t="str">
        <f aca="false">IF(OR(I161="",I161&lt;8,O161=""),"",O161+210)</f>
        <v/>
      </c>
      <c r="Y161" s="19" t="str">
        <f aca="false">IF(OR(I161="",I161&lt;9,O161=""),"",O161+240)</f>
        <v/>
      </c>
      <c r="Z161" s="19" t="str">
        <f aca="false">IF(OR(I161="",I161&lt;10,O161=""),"",O161+270)</f>
        <v/>
      </c>
      <c r="AA161" s="19" t="str">
        <f aca="false">IF(OR(I161="",I161&lt;11,O161=""),"",O161+300)</f>
        <v/>
      </c>
      <c r="AB161" s="19" t="str">
        <f aca="false">IF(OR(I161="",I161&lt;12,O161=""),"",O161+330)</f>
        <v/>
      </c>
      <c r="AC161" s="19" t="str">
        <f aca="false">IF(OR(I161="",I161&lt;13,O161=""),"",O161+360)</f>
        <v/>
      </c>
      <c r="AD161" s="19" t="str">
        <f aca="false">IF(OR(I161="",I161&lt;14,O161=""),"",O161+390)</f>
        <v/>
      </c>
      <c r="AE161" s="19" t="str">
        <f aca="false">IF(OR(I161="",I161&lt;15,O161=""),"",O161+420)</f>
        <v/>
      </c>
      <c r="AF161" s="19" t="str">
        <f aca="false">IF(OR(I161="",I161&lt;16,O161=""),"",O161+450)</f>
        <v/>
      </c>
      <c r="AG161" s="19" t="str">
        <f aca="false">IF(OR(I161="",I161&lt;17,O161=""),"",O161+480)</f>
        <v/>
      </c>
      <c r="AH161" s="19" t="str">
        <f aca="false">IF(OR(I161="",I161&lt;18,O161=""),"",O161+510)</f>
        <v/>
      </c>
      <c r="AI161" s="19" t="str">
        <f aca="false">IF(OR(I161="",I161&lt;19,O161=""),"",O161+540)</f>
        <v/>
      </c>
      <c r="AJ161" s="19" t="str">
        <f aca="false">IF(OR(I161="",I161&lt;20,O161=""),"",O161+570)</f>
        <v/>
      </c>
      <c r="AK161" s="19" t="str">
        <f aca="false">IF(OR(I161="",I161&lt;21,O161=""),"",O161+600)</f>
        <v/>
      </c>
      <c r="AL161" s="19" t="str">
        <f aca="false">IF(OR(I161="",I161&lt;22,O161=""),"",O161+630)</f>
        <v/>
      </c>
      <c r="AM161" s="19" t="str">
        <f aca="false">IF(OR(I161="",I161&lt;23,O161=""),"",O161+660)</f>
        <v/>
      </c>
      <c r="AN161" s="19" t="str">
        <f aca="false">IF(OR(I161="",I161&lt;24,O161=""),"",O161+690)</f>
        <v/>
      </c>
      <c r="AO161" s="15" t="str">
        <f aca="false">IF(J161="","",COUNTIF(Q161:AN161,TRUE())*J161)</f>
        <v/>
      </c>
      <c r="AP161" s="15" t="str">
        <f aca="false">IF(K161="","",K161-AO161)</f>
        <v/>
      </c>
      <c r="AQ161" s="15" t="str">
        <f aca="false">IF(K161="","",K161-F161-IF(N161="",0,N161))</f>
        <v/>
      </c>
    </row>
    <row r="162" customFormat="false" ht="15" hidden="false" customHeight="false" outlineLevel="0" collapsed="false">
      <c r="A162" s="4"/>
      <c r="B162" s="4"/>
      <c r="C162" s="4"/>
      <c r="D162" s="5"/>
      <c r="E162" s="5"/>
      <c r="F162" s="6"/>
      <c r="G162" s="4"/>
      <c r="H162" s="4"/>
      <c r="I162" s="4"/>
      <c r="J162" s="6"/>
      <c r="K162" s="7" t="str">
        <f aca="false">IF(OR(I162="",J162=""),"",I162*J162)</f>
        <v/>
      </c>
      <c r="L162" s="4"/>
      <c r="M162" s="8"/>
      <c r="N162" s="7" t="str">
        <f aca="false">IF(OR(L162="",M162="",K162=""),"",IF(L162="GANANCIA",(K162-F162)*M162,IF(L162="BRUTO",K162*M162,"")))</f>
        <v/>
      </c>
      <c r="O162" s="9" t="str">
        <f aca="false">IF(D162="","",D162+30)</f>
        <v/>
      </c>
      <c r="P162" s="10" t="str">
        <f aca="false">IF(I162="","",IF(COUNTIF(Q162:AN162,TRUE())&gt;=I162,"PAGADO",IF(COUNTIF(Q162:AN162,TRUE())&gt;0,"PARCIAL","VIGENTE")))</f>
        <v/>
      </c>
      <c r="Q162" s="11" t="str">
        <f aca="false">IF(OR(I162="",I162&lt;1,O162=""),"",O162+0)</f>
        <v/>
      </c>
      <c r="R162" s="11" t="str">
        <f aca="false">IF(OR(I162="",I162&lt;2,O162=""),"",O162+30)</f>
        <v/>
      </c>
      <c r="S162" s="11" t="str">
        <f aca="false">IF(OR(I162="",I162&lt;3,O162=""),"",O162+60)</f>
        <v/>
      </c>
      <c r="T162" s="11" t="str">
        <f aca="false">IF(OR(I162="",I162&lt;4,O162=""),"",O162+90)</f>
        <v/>
      </c>
      <c r="U162" s="11" t="str">
        <f aca="false">IF(OR(I162="",I162&lt;5,O162=""),"",O162+120)</f>
        <v/>
      </c>
      <c r="V162" s="11" t="str">
        <f aca="false">IF(OR(I162="",I162&lt;6,O162=""),"",O162+150)</f>
        <v/>
      </c>
      <c r="W162" s="11" t="str">
        <f aca="false">IF(OR(I162="",I162&lt;7,O162=""),"",O162+180)</f>
        <v/>
      </c>
      <c r="X162" s="11" t="str">
        <f aca="false">IF(OR(I162="",I162&lt;8,O162=""),"",O162+210)</f>
        <v/>
      </c>
      <c r="Y162" s="11" t="str">
        <f aca="false">IF(OR(I162="",I162&lt;9,O162=""),"",O162+240)</f>
        <v/>
      </c>
      <c r="Z162" s="11" t="str">
        <f aca="false">IF(OR(I162="",I162&lt;10,O162=""),"",O162+270)</f>
        <v/>
      </c>
      <c r="AA162" s="11" t="str">
        <f aca="false">IF(OR(I162="",I162&lt;11,O162=""),"",O162+300)</f>
        <v/>
      </c>
      <c r="AB162" s="11" t="str">
        <f aca="false">IF(OR(I162="",I162&lt;12,O162=""),"",O162+330)</f>
        <v/>
      </c>
      <c r="AC162" s="11" t="str">
        <f aca="false">IF(OR(I162="",I162&lt;13,O162=""),"",O162+360)</f>
        <v/>
      </c>
      <c r="AD162" s="11" t="str">
        <f aca="false">IF(OR(I162="",I162&lt;14,O162=""),"",O162+390)</f>
        <v/>
      </c>
      <c r="AE162" s="11" t="str">
        <f aca="false">IF(OR(I162="",I162&lt;15,O162=""),"",O162+420)</f>
        <v/>
      </c>
      <c r="AF162" s="11" t="str">
        <f aca="false">IF(OR(I162="",I162&lt;16,O162=""),"",O162+450)</f>
        <v/>
      </c>
      <c r="AG162" s="11" t="str">
        <f aca="false">IF(OR(I162="",I162&lt;17,O162=""),"",O162+480)</f>
        <v/>
      </c>
      <c r="AH162" s="11" t="str">
        <f aca="false">IF(OR(I162="",I162&lt;18,O162=""),"",O162+510)</f>
        <v/>
      </c>
      <c r="AI162" s="11" t="str">
        <f aca="false">IF(OR(I162="",I162&lt;19,O162=""),"",O162+540)</f>
        <v/>
      </c>
      <c r="AJ162" s="11" t="str">
        <f aca="false">IF(OR(I162="",I162&lt;20,O162=""),"",O162+570)</f>
        <v/>
      </c>
      <c r="AK162" s="11" t="str">
        <f aca="false">IF(OR(I162="",I162&lt;21,O162=""),"",O162+600)</f>
        <v/>
      </c>
      <c r="AL162" s="11" t="str">
        <f aca="false">IF(OR(I162="",I162&lt;22,O162=""),"",O162+630)</f>
        <v/>
      </c>
      <c r="AM162" s="11" t="str">
        <f aca="false">IF(OR(I162="",I162&lt;23,O162=""),"",O162+660)</f>
        <v/>
      </c>
      <c r="AN162" s="11" t="str">
        <f aca="false">IF(OR(I162="",I162&lt;24,O162=""),"",O162+690)</f>
        <v/>
      </c>
      <c r="AO162" s="7" t="str">
        <f aca="false">IF(J162="","",COUNTIF(Q162:AN162,TRUE())*J162)</f>
        <v/>
      </c>
      <c r="AP162" s="7" t="str">
        <f aca="false">IF(K162="","",K162-AO162)</f>
        <v/>
      </c>
      <c r="AQ162" s="7" t="str">
        <f aca="false">IF(K162="","",K162-F162-IF(N162="",0,N162))</f>
        <v/>
      </c>
    </row>
    <row r="163" customFormat="false" ht="15" hidden="false" customHeight="false" outlineLevel="0" collapsed="false">
      <c r="A163" s="12"/>
      <c r="B163" s="12"/>
      <c r="C163" s="12"/>
      <c r="D163" s="13"/>
      <c r="E163" s="13"/>
      <c r="F163" s="14"/>
      <c r="G163" s="12"/>
      <c r="H163" s="12"/>
      <c r="I163" s="12"/>
      <c r="J163" s="14"/>
      <c r="K163" s="15" t="str">
        <f aca="false">IF(OR(I163="",J163=""),"",I163*J163)</f>
        <v/>
      </c>
      <c r="L163" s="12"/>
      <c r="M163" s="16"/>
      <c r="N163" s="15" t="str">
        <f aca="false">IF(OR(L163="",M163="",K163=""),"",IF(L163="GANANCIA",(K163-F163)*M163,IF(L163="BRUTO",K163*M163,"")))</f>
        <v/>
      </c>
      <c r="O163" s="17" t="str">
        <f aca="false">IF(D163="","",D163+30)</f>
        <v/>
      </c>
      <c r="P163" s="18" t="str">
        <f aca="false">IF(I163="","",IF(COUNTIF(Q163:AN163,TRUE())&gt;=I163,"PAGADO",IF(COUNTIF(Q163:AN163,TRUE())&gt;0,"PARCIAL","VIGENTE")))</f>
        <v/>
      </c>
      <c r="Q163" s="19" t="str">
        <f aca="false">IF(OR(I163="",I163&lt;1,O163=""),"",O163+0)</f>
        <v/>
      </c>
      <c r="R163" s="19" t="str">
        <f aca="false">IF(OR(I163="",I163&lt;2,O163=""),"",O163+30)</f>
        <v/>
      </c>
      <c r="S163" s="19" t="str">
        <f aca="false">IF(OR(I163="",I163&lt;3,O163=""),"",O163+60)</f>
        <v/>
      </c>
      <c r="T163" s="19" t="str">
        <f aca="false">IF(OR(I163="",I163&lt;4,O163=""),"",O163+90)</f>
        <v/>
      </c>
      <c r="U163" s="19" t="str">
        <f aca="false">IF(OR(I163="",I163&lt;5,O163=""),"",O163+120)</f>
        <v/>
      </c>
      <c r="V163" s="19" t="str">
        <f aca="false">IF(OR(I163="",I163&lt;6,O163=""),"",O163+150)</f>
        <v/>
      </c>
      <c r="W163" s="19" t="str">
        <f aca="false">IF(OR(I163="",I163&lt;7,O163=""),"",O163+180)</f>
        <v/>
      </c>
      <c r="X163" s="19" t="str">
        <f aca="false">IF(OR(I163="",I163&lt;8,O163=""),"",O163+210)</f>
        <v/>
      </c>
      <c r="Y163" s="19" t="str">
        <f aca="false">IF(OR(I163="",I163&lt;9,O163=""),"",O163+240)</f>
        <v/>
      </c>
      <c r="Z163" s="19" t="str">
        <f aca="false">IF(OR(I163="",I163&lt;10,O163=""),"",O163+270)</f>
        <v/>
      </c>
      <c r="AA163" s="19" t="str">
        <f aca="false">IF(OR(I163="",I163&lt;11,O163=""),"",O163+300)</f>
        <v/>
      </c>
      <c r="AB163" s="19" t="str">
        <f aca="false">IF(OR(I163="",I163&lt;12,O163=""),"",O163+330)</f>
        <v/>
      </c>
      <c r="AC163" s="19" t="str">
        <f aca="false">IF(OR(I163="",I163&lt;13,O163=""),"",O163+360)</f>
        <v/>
      </c>
      <c r="AD163" s="19" t="str">
        <f aca="false">IF(OR(I163="",I163&lt;14,O163=""),"",O163+390)</f>
        <v/>
      </c>
      <c r="AE163" s="19" t="str">
        <f aca="false">IF(OR(I163="",I163&lt;15,O163=""),"",O163+420)</f>
        <v/>
      </c>
      <c r="AF163" s="19" t="str">
        <f aca="false">IF(OR(I163="",I163&lt;16,O163=""),"",O163+450)</f>
        <v/>
      </c>
      <c r="AG163" s="19" t="str">
        <f aca="false">IF(OR(I163="",I163&lt;17,O163=""),"",O163+480)</f>
        <v/>
      </c>
      <c r="AH163" s="19" t="str">
        <f aca="false">IF(OR(I163="",I163&lt;18,O163=""),"",O163+510)</f>
        <v/>
      </c>
      <c r="AI163" s="19" t="str">
        <f aca="false">IF(OR(I163="",I163&lt;19,O163=""),"",O163+540)</f>
        <v/>
      </c>
      <c r="AJ163" s="19" t="str">
        <f aca="false">IF(OR(I163="",I163&lt;20,O163=""),"",O163+570)</f>
        <v/>
      </c>
      <c r="AK163" s="19" t="str">
        <f aca="false">IF(OR(I163="",I163&lt;21,O163=""),"",O163+600)</f>
        <v/>
      </c>
      <c r="AL163" s="19" t="str">
        <f aca="false">IF(OR(I163="",I163&lt;22,O163=""),"",O163+630)</f>
        <v/>
      </c>
      <c r="AM163" s="19" t="str">
        <f aca="false">IF(OR(I163="",I163&lt;23,O163=""),"",O163+660)</f>
        <v/>
      </c>
      <c r="AN163" s="19" t="str">
        <f aca="false">IF(OR(I163="",I163&lt;24,O163=""),"",O163+690)</f>
        <v/>
      </c>
      <c r="AO163" s="15" t="str">
        <f aca="false">IF(J163="","",COUNTIF(Q163:AN163,TRUE())*J163)</f>
        <v/>
      </c>
      <c r="AP163" s="15" t="str">
        <f aca="false">IF(K163="","",K163-AO163)</f>
        <v/>
      </c>
      <c r="AQ163" s="15" t="str">
        <f aca="false">IF(K163="","",K163-F163-IF(N163="",0,N163))</f>
        <v/>
      </c>
    </row>
    <row r="164" customFormat="false" ht="15" hidden="false" customHeight="false" outlineLevel="0" collapsed="false">
      <c r="A164" s="4"/>
      <c r="B164" s="4"/>
      <c r="C164" s="4"/>
      <c r="D164" s="5"/>
      <c r="E164" s="5"/>
      <c r="F164" s="6"/>
      <c r="G164" s="4"/>
      <c r="H164" s="4"/>
      <c r="I164" s="4"/>
      <c r="J164" s="6"/>
      <c r="K164" s="7" t="str">
        <f aca="false">IF(OR(I164="",J164=""),"",I164*J164)</f>
        <v/>
      </c>
      <c r="L164" s="4"/>
      <c r="M164" s="8"/>
      <c r="N164" s="7" t="str">
        <f aca="false">IF(OR(L164="",M164="",K164=""),"",IF(L164="GANANCIA",(K164-F164)*M164,IF(L164="BRUTO",K164*M164,"")))</f>
        <v/>
      </c>
      <c r="O164" s="9" t="str">
        <f aca="false">IF(D164="","",D164+30)</f>
        <v/>
      </c>
      <c r="P164" s="10" t="str">
        <f aca="false">IF(I164="","",IF(COUNTIF(Q164:AN164,TRUE())&gt;=I164,"PAGADO",IF(COUNTIF(Q164:AN164,TRUE())&gt;0,"PARCIAL","VIGENTE")))</f>
        <v/>
      </c>
      <c r="Q164" s="11" t="str">
        <f aca="false">IF(OR(I164="",I164&lt;1,O164=""),"",O164+0)</f>
        <v/>
      </c>
      <c r="R164" s="11" t="str">
        <f aca="false">IF(OR(I164="",I164&lt;2,O164=""),"",O164+30)</f>
        <v/>
      </c>
      <c r="S164" s="11" t="str">
        <f aca="false">IF(OR(I164="",I164&lt;3,O164=""),"",O164+60)</f>
        <v/>
      </c>
      <c r="T164" s="11" t="str">
        <f aca="false">IF(OR(I164="",I164&lt;4,O164=""),"",O164+90)</f>
        <v/>
      </c>
      <c r="U164" s="11" t="str">
        <f aca="false">IF(OR(I164="",I164&lt;5,O164=""),"",O164+120)</f>
        <v/>
      </c>
      <c r="V164" s="11" t="str">
        <f aca="false">IF(OR(I164="",I164&lt;6,O164=""),"",O164+150)</f>
        <v/>
      </c>
      <c r="W164" s="11" t="str">
        <f aca="false">IF(OR(I164="",I164&lt;7,O164=""),"",O164+180)</f>
        <v/>
      </c>
      <c r="X164" s="11" t="str">
        <f aca="false">IF(OR(I164="",I164&lt;8,O164=""),"",O164+210)</f>
        <v/>
      </c>
      <c r="Y164" s="11" t="str">
        <f aca="false">IF(OR(I164="",I164&lt;9,O164=""),"",O164+240)</f>
        <v/>
      </c>
      <c r="Z164" s="11" t="str">
        <f aca="false">IF(OR(I164="",I164&lt;10,O164=""),"",O164+270)</f>
        <v/>
      </c>
      <c r="AA164" s="11" t="str">
        <f aca="false">IF(OR(I164="",I164&lt;11,O164=""),"",O164+300)</f>
        <v/>
      </c>
      <c r="AB164" s="11" t="str">
        <f aca="false">IF(OR(I164="",I164&lt;12,O164=""),"",O164+330)</f>
        <v/>
      </c>
      <c r="AC164" s="11" t="str">
        <f aca="false">IF(OR(I164="",I164&lt;13,O164=""),"",O164+360)</f>
        <v/>
      </c>
      <c r="AD164" s="11" t="str">
        <f aca="false">IF(OR(I164="",I164&lt;14,O164=""),"",O164+390)</f>
        <v/>
      </c>
      <c r="AE164" s="11" t="str">
        <f aca="false">IF(OR(I164="",I164&lt;15,O164=""),"",O164+420)</f>
        <v/>
      </c>
      <c r="AF164" s="11" t="str">
        <f aca="false">IF(OR(I164="",I164&lt;16,O164=""),"",O164+450)</f>
        <v/>
      </c>
      <c r="AG164" s="11" t="str">
        <f aca="false">IF(OR(I164="",I164&lt;17,O164=""),"",O164+480)</f>
        <v/>
      </c>
      <c r="AH164" s="11" t="str">
        <f aca="false">IF(OR(I164="",I164&lt;18,O164=""),"",O164+510)</f>
        <v/>
      </c>
      <c r="AI164" s="11" t="str">
        <f aca="false">IF(OR(I164="",I164&lt;19,O164=""),"",O164+540)</f>
        <v/>
      </c>
      <c r="AJ164" s="11" t="str">
        <f aca="false">IF(OR(I164="",I164&lt;20,O164=""),"",O164+570)</f>
        <v/>
      </c>
      <c r="AK164" s="11" t="str">
        <f aca="false">IF(OR(I164="",I164&lt;21,O164=""),"",O164+600)</f>
        <v/>
      </c>
      <c r="AL164" s="11" t="str">
        <f aca="false">IF(OR(I164="",I164&lt;22,O164=""),"",O164+630)</f>
        <v/>
      </c>
      <c r="AM164" s="11" t="str">
        <f aca="false">IF(OR(I164="",I164&lt;23,O164=""),"",O164+660)</f>
        <v/>
      </c>
      <c r="AN164" s="11" t="str">
        <f aca="false">IF(OR(I164="",I164&lt;24,O164=""),"",O164+690)</f>
        <v/>
      </c>
      <c r="AO164" s="7" t="str">
        <f aca="false">IF(J164="","",COUNTIF(Q164:AN164,TRUE())*J164)</f>
        <v/>
      </c>
      <c r="AP164" s="7" t="str">
        <f aca="false">IF(K164="","",K164-AO164)</f>
        <v/>
      </c>
      <c r="AQ164" s="7" t="str">
        <f aca="false">IF(K164="","",K164-F164-IF(N164="",0,N164))</f>
        <v/>
      </c>
    </row>
    <row r="165" customFormat="false" ht="15" hidden="false" customHeight="false" outlineLevel="0" collapsed="false">
      <c r="A165" s="12"/>
      <c r="B165" s="12"/>
      <c r="C165" s="12"/>
      <c r="D165" s="13"/>
      <c r="E165" s="13"/>
      <c r="F165" s="14"/>
      <c r="G165" s="12"/>
      <c r="H165" s="12"/>
      <c r="I165" s="12"/>
      <c r="J165" s="14"/>
      <c r="K165" s="15" t="str">
        <f aca="false">IF(OR(I165="",J165=""),"",I165*J165)</f>
        <v/>
      </c>
      <c r="L165" s="12"/>
      <c r="M165" s="16"/>
      <c r="N165" s="15" t="str">
        <f aca="false">IF(OR(L165="",M165="",K165=""),"",IF(L165="GANANCIA",(K165-F165)*M165,IF(L165="BRUTO",K165*M165,"")))</f>
        <v/>
      </c>
      <c r="O165" s="17" t="str">
        <f aca="false">IF(D165="","",D165+30)</f>
        <v/>
      </c>
      <c r="P165" s="18" t="str">
        <f aca="false">IF(I165="","",IF(COUNTIF(Q165:AN165,TRUE())&gt;=I165,"PAGADO",IF(COUNTIF(Q165:AN165,TRUE())&gt;0,"PARCIAL","VIGENTE")))</f>
        <v/>
      </c>
      <c r="Q165" s="19" t="str">
        <f aca="false">IF(OR(I165="",I165&lt;1,O165=""),"",O165+0)</f>
        <v/>
      </c>
      <c r="R165" s="19" t="str">
        <f aca="false">IF(OR(I165="",I165&lt;2,O165=""),"",O165+30)</f>
        <v/>
      </c>
      <c r="S165" s="19" t="str">
        <f aca="false">IF(OR(I165="",I165&lt;3,O165=""),"",O165+60)</f>
        <v/>
      </c>
      <c r="T165" s="19" t="str">
        <f aca="false">IF(OR(I165="",I165&lt;4,O165=""),"",O165+90)</f>
        <v/>
      </c>
      <c r="U165" s="19" t="str">
        <f aca="false">IF(OR(I165="",I165&lt;5,O165=""),"",O165+120)</f>
        <v/>
      </c>
      <c r="V165" s="19" t="str">
        <f aca="false">IF(OR(I165="",I165&lt;6,O165=""),"",O165+150)</f>
        <v/>
      </c>
      <c r="W165" s="19" t="str">
        <f aca="false">IF(OR(I165="",I165&lt;7,O165=""),"",O165+180)</f>
        <v/>
      </c>
      <c r="X165" s="19" t="str">
        <f aca="false">IF(OR(I165="",I165&lt;8,O165=""),"",O165+210)</f>
        <v/>
      </c>
      <c r="Y165" s="19" t="str">
        <f aca="false">IF(OR(I165="",I165&lt;9,O165=""),"",O165+240)</f>
        <v/>
      </c>
      <c r="Z165" s="19" t="str">
        <f aca="false">IF(OR(I165="",I165&lt;10,O165=""),"",O165+270)</f>
        <v/>
      </c>
      <c r="AA165" s="19" t="str">
        <f aca="false">IF(OR(I165="",I165&lt;11,O165=""),"",O165+300)</f>
        <v/>
      </c>
      <c r="AB165" s="19" t="str">
        <f aca="false">IF(OR(I165="",I165&lt;12,O165=""),"",O165+330)</f>
        <v/>
      </c>
      <c r="AC165" s="19" t="str">
        <f aca="false">IF(OR(I165="",I165&lt;13,O165=""),"",O165+360)</f>
        <v/>
      </c>
      <c r="AD165" s="19" t="str">
        <f aca="false">IF(OR(I165="",I165&lt;14,O165=""),"",O165+390)</f>
        <v/>
      </c>
      <c r="AE165" s="19" t="str">
        <f aca="false">IF(OR(I165="",I165&lt;15,O165=""),"",O165+420)</f>
        <v/>
      </c>
      <c r="AF165" s="19" t="str">
        <f aca="false">IF(OR(I165="",I165&lt;16,O165=""),"",O165+450)</f>
        <v/>
      </c>
      <c r="AG165" s="19" t="str">
        <f aca="false">IF(OR(I165="",I165&lt;17,O165=""),"",O165+480)</f>
        <v/>
      </c>
      <c r="AH165" s="19" t="str">
        <f aca="false">IF(OR(I165="",I165&lt;18,O165=""),"",O165+510)</f>
        <v/>
      </c>
      <c r="AI165" s="19" t="str">
        <f aca="false">IF(OR(I165="",I165&lt;19,O165=""),"",O165+540)</f>
        <v/>
      </c>
      <c r="AJ165" s="19" t="str">
        <f aca="false">IF(OR(I165="",I165&lt;20,O165=""),"",O165+570)</f>
        <v/>
      </c>
      <c r="AK165" s="19" t="str">
        <f aca="false">IF(OR(I165="",I165&lt;21,O165=""),"",O165+600)</f>
        <v/>
      </c>
      <c r="AL165" s="19" t="str">
        <f aca="false">IF(OR(I165="",I165&lt;22,O165=""),"",O165+630)</f>
        <v/>
      </c>
      <c r="AM165" s="19" t="str">
        <f aca="false">IF(OR(I165="",I165&lt;23,O165=""),"",O165+660)</f>
        <v/>
      </c>
      <c r="AN165" s="19" t="str">
        <f aca="false">IF(OR(I165="",I165&lt;24,O165=""),"",O165+690)</f>
        <v/>
      </c>
      <c r="AO165" s="15" t="str">
        <f aca="false">IF(J165="","",COUNTIF(Q165:AN165,TRUE())*J165)</f>
        <v/>
      </c>
      <c r="AP165" s="15" t="str">
        <f aca="false">IF(K165="","",K165-AO165)</f>
        <v/>
      </c>
      <c r="AQ165" s="15" t="str">
        <f aca="false">IF(K165="","",K165-F165-IF(N165="",0,N165))</f>
        <v/>
      </c>
    </row>
    <row r="166" customFormat="false" ht="15" hidden="false" customHeight="false" outlineLevel="0" collapsed="false">
      <c r="A166" s="4"/>
      <c r="B166" s="4"/>
      <c r="C166" s="4"/>
      <c r="D166" s="5"/>
      <c r="E166" s="5"/>
      <c r="F166" s="6"/>
      <c r="G166" s="4"/>
      <c r="H166" s="4"/>
      <c r="I166" s="4"/>
      <c r="J166" s="6"/>
      <c r="K166" s="7" t="str">
        <f aca="false">IF(OR(I166="",J166=""),"",I166*J166)</f>
        <v/>
      </c>
      <c r="L166" s="4"/>
      <c r="M166" s="8"/>
      <c r="N166" s="7" t="str">
        <f aca="false">IF(OR(L166="",M166="",K166=""),"",IF(L166="GANANCIA",(K166-F166)*M166,IF(L166="BRUTO",K166*M166,"")))</f>
        <v/>
      </c>
      <c r="O166" s="9" t="str">
        <f aca="false">IF(D166="","",D166+30)</f>
        <v/>
      </c>
      <c r="P166" s="10" t="str">
        <f aca="false">IF(I166="","",IF(COUNTIF(Q166:AN166,TRUE())&gt;=I166,"PAGADO",IF(COUNTIF(Q166:AN166,TRUE())&gt;0,"PARCIAL","VIGENTE")))</f>
        <v/>
      </c>
      <c r="Q166" s="11" t="str">
        <f aca="false">IF(OR(I166="",I166&lt;1,O166=""),"",O166+0)</f>
        <v/>
      </c>
      <c r="R166" s="11" t="str">
        <f aca="false">IF(OR(I166="",I166&lt;2,O166=""),"",O166+30)</f>
        <v/>
      </c>
      <c r="S166" s="11" t="str">
        <f aca="false">IF(OR(I166="",I166&lt;3,O166=""),"",O166+60)</f>
        <v/>
      </c>
      <c r="T166" s="11" t="str">
        <f aca="false">IF(OR(I166="",I166&lt;4,O166=""),"",O166+90)</f>
        <v/>
      </c>
      <c r="U166" s="11" t="str">
        <f aca="false">IF(OR(I166="",I166&lt;5,O166=""),"",O166+120)</f>
        <v/>
      </c>
      <c r="V166" s="11" t="str">
        <f aca="false">IF(OR(I166="",I166&lt;6,O166=""),"",O166+150)</f>
        <v/>
      </c>
      <c r="W166" s="11" t="str">
        <f aca="false">IF(OR(I166="",I166&lt;7,O166=""),"",O166+180)</f>
        <v/>
      </c>
      <c r="X166" s="11" t="str">
        <f aca="false">IF(OR(I166="",I166&lt;8,O166=""),"",O166+210)</f>
        <v/>
      </c>
      <c r="Y166" s="11" t="str">
        <f aca="false">IF(OR(I166="",I166&lt;9,O166=""),"",O166+240)</f>
        <v/>
      </c>
      <c r="Z166" s="11" t="str">
        <f aca="false">IF(OR(I166="",I166&lt;10,O166=""),"",O166+270)</f>
        <v/>
      </c>
      <c r="AA166" s="11" t="str">
        <f aca="false">IF(OR(I166="",I166&lt;11,O166=""),"",O166+300)</f>
        <v/>
      </c>
      <c r="AB166" s="11" t="str">
        <f aca="false">IF(OR(I166="",I166&lt;12,O166=""),"",O166+330)</f>
        <v/>
      </c>
      <c r="AC166" s="11" t="str">
        <f aca="false">IF(OR(I166="",I166&lt;13,O166=""),"",O166+360)</f>
        <v/>
      </c>
      <c r="AD166" s="11" t="str">
        <f aca="false">IF(OR(I166="",I166&lt;14,O166=""),"",O166+390)</f>
        <v/>
      </c>
      <c r="AE166" s="11" t="str">
        <f aca="false">IF(OR(I166="",I166&lt;15,O166=""),"",O166+420)</f>
        <v/>
      </c>
      <c r="AF166" s="11" t="str">
        <f aca="false">IF(OR(I166="",I166&lt;16,O166=""),"",O166+450)</f>
        <v/>
      </c>
      <c r="AG166" s="11" t="str">
        <f aca="false">IF(OR(I166="",I166&lt;17,O166=""),"",O166+480)</f>
        <v/>
      </c>
      <c r="AH166" s="11" t="str">
        <f aca="false">IF(OR(I166="",I166&lt;18,O166=""),"",O166+510)</f>
        <v/>
      </c>
      <c r="AI166" s="11" t="str">
        <f aca="false">IF(OR(I166="",I166&lt;19,O166=""),"",O166+540)</f>
        <v/>
      </c>
      <c r="AJ166" s="11" t="str">
        <f aca="false">IF(OR(I166="",I166&lt;20,O166=""),"",O166+570)</f>
        <v/>
      </c>
      <c r="AK166" s="11" t="str">
        <f aca="false">IF(OR(I166="",I166&lt;21,O166=""),"",O166+600)</f>
        <v/>
      </c>
      <c r="AL166" s="11" t="str">
        <f aca="false">IF(OR(I166="",I166&lt;22,O166=""),"",O166+630)</f>
        <v/>
      </c>
      <c r="AM166" s="11" t="str">
        <f aca="false">IF(OR(I166="",I166&lt;23,O166=""),"",O166+660)</f>
        <v/>
      </c>
      <c r="AN166" s="11" t="str">
        <f aca="false">IF(OR(I166="",I166&lt;24,O166=""),"",O166+690)</f>
        <v/>
      </c>
      <c r="AO166" s="7" t="str">
        <f aca="false">IF(J166="","",COUNTIF(Q166:AN166,TRUE())*J166)</f>
        <v/>
      </c>
      <c r="AP166" s="7" t="str">
        <f aca="false">IF(K166="","",K166-AO166)</f>
        <v/>
      </c>
      <c r="AQ166" s="7" t="str">
        <f aca="false">IF(K166="","",K166-F166-IF(N166="",0,N166))</f>
        <v/>
      </c>
    </row>
    <row r="167" customFormat="false" ht="15" hidden="false" customHeight="false" outlineLevel="0" collapsed="false">
      <c r="A167" s="12"/>
      <c r="B167" s="12"/>
      <c r="C167" s="12"/>
      <c r="D167" s="13"/>
      <c r="E167" s="13"/>
      <c r="F167" s="14"/>
      <c r="G167" s="12"/>
      <c r="H167" s="12"/>
      <c r="I167" s="12"/>
      <c r="J167" s="14"/>
      <c r="K167" s="15" t="str">
        <f aca="false">IF(OR(I167="",J167=""),"",I167*J167)</f>
        <v/>
      </c>
      <c r="L167" s="12"/>
      <c r="M167" s="16"/>
      <c r="N167" s="15" t="str">
        <f aca="false">IF(OR(L167="",M167="",K167=""),"",IF(L167="GANANCIA",(K167-F167)*M167,IF(L167="BRUTO",K167*M167,"")))</f>
        <v/>
      </c>
      <c r="O167" s="17" t="str">
        <f aca="false">IF(D167="","",D167+30)</f>
        <v/>
      </c>
      <c r="P167" s="18" t="str">
        <f aca="false">IF(I167="","",IF(COUNTIF(Q167:AN167,TRUE())&gt;=I167,"PAGADO",IF(COUNTIF(Q167:AN167,TRUE())&gt;0,"PARCIAL","VIGENTE")))</f>
        <v/>
      </c>
      <c r="Q167" s="19" t="str">
        <f aca="false">IF(OR(I167="",I167&lt;1,O167=""),"",O167+0)</f>
        <v/>
      </c>
      <c r="R167" s="19" t="str">
        <f aca="false">IF(OR(I167="",I167&lt;2,O167=""),"",O167+30)</f>
        <v/>
      </c>
      <c r="S167" s="19" t="str">
        <f aca="false">IF(OR(I167="",I167&lt;3,O167=""),"",O167+60)</f>
        <v/>
      </c>
      <c r="T167" s="19" t="str">
        <f aca="false">IF(OR(I167="",I167&lt;4,O167=""),"",O167+90)</f>
        <v/>
      </c>
      <c r="U167" s="19" t="str">
        <f aca="false">IF(OR(I167="",I167&lt;5,O167=""),"",O167+120)</f>
        <v/>
      </c>
      <c r="V167" s="19" t="str">
        <f aca="false">IF(OR(I167="",I167&lt;6,O167=""),"",O167+150)</f>
        <v/>
      </c>
      <c r="W167" s="19" t="str">
        <f aca="false">IF(OR(I167="",I167&lt;7,O167=""),"",O167+180)</f>
        <v/>
      </c>
      <c r="X167" s="19" t="str">
        <f aca="false">IF(OR(I167="",I167&lt;8,O167=""),"",O167+210)</f>
        <v/>
      </c>
      <c r="Y167" s="19" t="str">
        <f aca="false">IF(OR(I167="",I167&lt;9,O167=""),"",O167+240)</f>
        <v/>
      </c>
      <c r="Z167" s="19" t="str">
        <f aca="false">IF(OR(I167="",I167&lt;10,O167=""),"",O167+270)</f>
        <v/>
      </c>
      <c r="AA167" s="19" t="str">
        <f aca="false">IF(OR(I167="",I167&lt;11,O167=""),"",O167+300)</f>
        <v/>
      </c>
      <c r="AB167" s="19" t="str">
        <f aca="false">IF(OR(I167="",I167&lt;12,O167=""),"",O167+330)</f>
        <v/>
      </c>
      <c r="AC167" s="19" t="str">
        <f aca="false">IF(OR(I167="",I167&lt;13,O167=""),"",O167+360)</f>
        <v/>
      </c>
      <c r="AD167" s="19" t="str">
        <f aca="false">IF(OR(I167="",I167&lt;14,O167=""),"",O167+390)</f>
        <v/>
      </c>
      <c r="AE167" s="19" t="str">
        <f aca="false">IF(OR(I167="",I167&lt;15,O167=""),"",O167+420)</f>
        <v/>
      </c>
      <c r="AF167" s="19" t="str">
        <f aca="false">IF(OR(I167="",I167&lt;16,O167=""),"",O167+450)</f>
        <v/>
      </c>
      <c r="AG167" s="19" t="str">
        <f aca="false">IF(OR(I167="",I167&lt;17,O167=""),"",O167+480)</f>
        <v/>
      </c>
      <c r="AH167" s="19" t="str">
        <f aca="false">IF(OR(I167="",I167&lt;18,O167=""),"",O167+510)</f>
        <v/>
      </c>
      <c r="AI167" s="19" t="str">
        <f aca="false">IF(OR(I167="",I167&lt;19,O167=""),"",O167+540)</f>
        <v/>
      </c>
      <c r="AJ167" s="19" t="str">
        <f aca="false">IF(OR(I167="",I167&lt;20,O167=""),"",O167+570)</f>
        <v/>
      </c>
      <c r="AK167" s="19" t="str">
        <f aca="false">IF(OR(I167="",I167&lt;21,O167=""),"",O167+600)</f>
        <v/>
      </c>
      <c r="AL167" s="19" t="str">
        <f aca="false">IF(OR(I167="",I167&lt;22,O167=""),"",O167+630)</f>
        <v/>
      </c>
      <c r="AM167" s="19" t="str">
        <f aca="false">IF(OR(I167="",I167&lt;23,O167=""),"",O167+660)</f>
        <v/>
      </c>
      <c r="AN167" s="19" t="str">
        <f aca="false">IF(OR(I167="",I167&lt;24,O167=""),"",O167+690)</f>
        <v/>
      </c>
      <c r="AO167" s="15" t="str">
        <f aca="false">IF(J167="","",COUNTIF(Q167:AN167,TRUE())*J167)</f>
        <v/>
      </c>
      <c r="AP167" s="15" t="str">
        <f aca="false">IF(K167="","",K167-AO167)</f>
        <v/>
      </c>
      <c r="AQ167" s="15" t="str">
        <f aca="false">IF(K167="","",K167-F167-IF(N167="",0,N167))</f>
        <v/>
      </c>
    </row>
    <row r="168" customFormat="false" ht="15" hidden="false" customHeight="false" outlineLevel="0" collapsed="false">
      <c r="A168" s="4"/>
      <c r="B168" s="4"/>
      <c r="C168" s="4"/>
      <c r="D168" s="5"/>
      <c r="E168" s="5"/>
      <c r="F168" s="6"/>
      <c r="G168" s="4"/>
      <c r="H168" s="4"/>
      <c r="I168" s="4"/>
      <c r="J168" s="6"/>
      <c r="K168" s="7" t="str">
        <f aca="false">IF(OR(I168="",J168=""),"",I168*J168)</f>
        <v/>
      </c>
      <c r="L168" s="4"/>
      <c r="M168" s="8"/>
      <c r="N168" s="7" t="str">
        <f aca="false">IF(OR(L168="",M168="",K168=""),"",IF(L168="GANANCIA",(K168-F168)*M168,IF(L168="BRUTO",K168*M168,"")))</f>
        <v/>
      </c>
      <c r="O168" s="9" t="str">
        <f aca="false">IF(D168="","",D168+30)</f>
        <v/>
      </c>
      <c r="P168" s="10" t="str">
        <f aca="false">IF(I168="","",IF(COUNTIF(Q168:AN168,TRUE())&gt;=I168,"PAGADO",IF(COUNTIF(Q168:AN168,TRUE())&gt;0,"PARCIAL","VIGENTE")))</f>
        <v/>
      </c>
      <c r="Q168" s="11" t="str">
        <f aca="false">IF(OR(I168="",I168&lt;1,O168=""),"",O168+0)</f>
        <v/>
      </c>
      <c r="R168" s="11" t="str">
        <f aca="false">IF(OR(I168="",I168&lt;2,O168=""),"",O168+30)</f>
        <v/>
      </c>
      <c r="S168" s="11" t="str">
        <f aca="false">IF(OR(I168="",I168&lt;3,O168=""),"",O168+60)</f>
        <v/>
      </c>
      <c r="T168" s="11" t="str">
        <f aca="false">IF(OR(I168="",I168&lt;4,O168=""),"",O168+90)</f>
        <v/>
      </c>
      <c r="U168" s="11" t="str">
        <f aca="false">IF(OR(I168="",I168&lt;5,O168=""),"",O168+120)</f>
        <v/>
      </c>
      <c r="V168" s="11" t="str">
        <f aca="false">IF(OR(I168="",I168&lt;6,O168=""),"",O168+150)</f>
        <v/>
      </c>
      <c r="W168" s="11" t="str">
        <f aca="false">IF(OR(I168="",I168&lt;7,O168=""),"",O168+180)</f>
        <v/>
      </c>
      <c r="X168" s="11" t="str">
        <f aca="false">IF(OR(I168="",I168&lt;8,O168=""),"",O168+210)</f>
        <v/>
      </c>
      <c r="Y168" s="11" t="str">
        <f aca="false">IF(OR(I168="",I168&lt;9,O168=""),"",O168+240)</f>
        <v/>
      </c>
      <c r="Z168" s="11" t="str">
        <f aca="false">IF(OR(I168="",I168&lt;10,O168=""),"",O168+270)</f>
        <v/>
      </c>
      <c r="AA168" s="11" t="str">
        <f aca="false">IF(OR(I168="",I168&lt;11,O168=""),"",O168+300)</f>
        <v/>
      </c>
      <c r="AB168" s="11" t="str">
        <f aca="false">IF(OR(I168="",I168&lt;12,O168=""),"",O168+330)</f>
        <v/>
      </c>
      <c r="AC168" s="11" t="str">
        <f aca="false">IF(OR(I168="",I168&lt;13,O168=""),"",O168+360)</f>
        <v/>
      </c>
      <c r="AD168" s="11" t="str">
        <f aca="false">IF(OR(I168="",I168&lt;14,O168=""),"",O168+390)</f>
        <v/>
      </c>
      <c r="AE168" s="11" t="str">
        <f aca="false">IF(OR(I168="",I168&lt;15,O168=""),"",O168+420)</f>
        <v/>
      </c>
      <c r="AF168" s="11" t="str">
        <f aca="false">IF(OR(I168="",I168&lt;16,O168=""),"",O168+450)</f>
        <v/>
      </c>
      <c r="AG168" s="11" t="str">
        <f aca="false">IF(OR(I168="",I168&lt;17,O168=""),"",O168+480)</f>
        <v/>
      </c>
      <c r="AH168" s="11" t="str">
        <f aca="false">IF(OR(I168="",I168&lt;18,O168=""),"",O168+510)</f>
        <v/>
      </c>
      <c r="AI168" s="11" t="str">
        <f aca="false">IF(OR(I168="",I168&lt;19,O168=""),"",O168+540)</f>
        <v/>
      </c>
      <c r="AJ168" s="11" t="str">
        <f aca="false">IF(OR(I168="",I168&lt;20,O168=""),"",O168+570)</f>
        <v/>
      </c>
      <c r="AK168" s="11" t="str">
        <f aca="false">IF(OR(I168="",I168&lt;21,O168=""),"",O168+600)</f>
        <v/>
      </c>
      <c r="AL168" s="11" t="str">
        <f aca="false">IF(OR(I168="",I168&lt;22,O168=""),"",O168+630)</f>
        <v/>
      </c>
      <c r="AM168" s="11" t="str">
        <f aca="false">IF(OR(I168="",I168&lt;23,O168=""),"",O168+660)</f>
        <v/>
      </c>
      <c r="AN168" s="11" t="str">
        <f aca="false">IF(OR(I168="",I168&lt;24,O168=""),"",O168+690)</f>
        <v/>
      </c>
      <c r="AO168" s="7" t="str">
        <f aca="false">IF(J168="","",COUNTIF(Q168:AN168,TRUE())*J168)</f>
        <v/>
      </c>
      <c r="AP168" s="7" t="str">
        <f aca="false">IF(K168="","",K168-AO168)</f>
        <v/>
      </c>
      <c r="AQ168" s="7" t="str">
        <f aca="false">IF(K168="","",K168-F168-IF(N168="",0,N168))</f>
        <v/>
      </c>
    </row>
    <row r="169" customFormat="false" ht="15" hidden="false" customHeight="false" outlineLevel="0" collapsed="false">
      <c r="A169" s="12"/>
      <c r="B169" s="12"/>
      <c r="C169" s="12"/>
      <c r="D169" s="13"/>
      <c r="E169" s="13"/>
      <c r="F169" s="14"/>
      <c r="G169" s="12"/>
      <c r="H169" s="12"/>
      <c r="I169" s="12"/>
      <c r="J169" s="14"/>
      <c r="K169" s="15" t="str">
        <f aca="false">IF(OR(I169="",J169=""),"",I169*J169)</f>
        <v/>
      </c>
      <c r="L169" s="12"/>
      <c r="M169" s="16"/>
      <c r="N169" s="15" t="str">
        <f aca="false">IF(OR(L169="",M169="",K169=""),"",IF(L169="GANANCIA",(K169-F169)*M169,IF(L169="BRUTO",K169*M169,"")))</f>
        <v/>
      </c>
      <c r="O169" s="17" t="str">
        <f aca="false">IF(D169="","",D169+30)</f>
        <v/>
      </c>
      <c r="P169" s="18" t="str">
        <f aca="false">IF(I169="","",IF(COUNTIF(Q169:AN169,TRUE())&gt;=I169,"PAGADO",IF(COUNTIF(Q169:AN169,TRUE())&gt;0,"PARCIAL","VIGENTE")))</f>
        <v/>
      </c>
      <c r="Q169" s="19" t="str">
        <f aca="false">IF(OR(I169="",I169&lt;1,O169=""),"",O169+0)</f>
        <v/>
      </c>
      <c r="R169" s="19" t="str">
        <f aca="false">IF(OR(I169="",I169&lt;2,O169=""),"",O169+30)</f>
        <v/>
      </c>
      <c r="S169" s="19" t="str">
        <f aca="false">IF(OR(I169="",I169&lt;3,O169=""),"",O169+60)</f>
        <v/>
      </c>
      <c r="T169" s="19" t="str">
        <f aca="false">IF(OR(I169="",I169&lt;4,O169=""),"",O169+90)</f>
        <v/>
      </c>
      <c r="U169" s="19" t="str">
        <f aca="false">IF(OR(I169="",I169&lt;5,O169=""),"",O169+120)</f>
        <v/>
      </c>
      <c r="V169" s="19" t="str">
        <f aca="false">IF(OR(I169="",I169&lt;6,O169=""),"",O169+150)</f>
        <v/>
      </c>
      <c r="W169" s="19" t="str">
        <f aca="false">IF(OR(I169="",I169&lt;7,O169=""),"",O169+180)</f>
        <v/>
      </c>
      <c r="X169" s="19" t="str">
        <f aca="false">IF(OR(I169="",I169&lt;8,O169=""),"",O169+210)</f>
        <v/>
      </c>
      <c r="Y169" s="19" t="str">
        <f aca="false">IF(OR(I169="",I169&lt;9,O169=""),"",O169+240)</f>
        <v/>
      </c>
      <c r="Z169" s="19" t="str">
        <f aca="false">IF(OR(I169="",I169&lt;10,O169=""),"",O169+270)</f>
        <v/>
      </c>
      <c r="AA169" s="19" t="str">
        <f aca="false">IF(OR(I169="",I169&lt;11,O169=""),"",O169+300)</f>
        <v/>
      </c>
      <c r="AB169" s="19" t="str">
        <f aca="false">IF(OR(I169="",I169&lt;12,O169=""),"",O169+330)</f>
        <v/>
      </c>
      <c r="AC169" s="19" t="str">
        <f aca="false">IF(OR(I169="",I169&lt;13,O169=""),"",O169+360)</f>
        <v/>
      </c>
      <c r="AD169" s="19" t="str">
        <f aca="false">IF(OR(I169="",I169&lt;14,O169=""),"",O169+390)</f>
        <v/>
      </c>
      <c r="AE169" s="19" t="str">
        <f aca="false">IF(OR(I169="",I169&lt;15,O169=""),"",O169+420)</f>
        <v/>
      </c>
      <c r="AF169" s="19" t="str">
        <f aca="false">IF(OR(I169="",I169&lt;16,O169=""),"",O169+450)</f>
        <v/>
      </c>
      <c r="AG169" s="19" t="str">
        <f aca="false">IF(OR(I169="",I169&lt;17,O169=""),"",O169+480)</f>
        <v/>
      </c>
      <c r="AH169" s="19" t="str">
        <f aca="false">IF(OR(I169="",I169&lt;18,O169=""),"",O169+510)</f>
        <v/>
      </c>
      <c r="AI169" s="19" t="str">
        <f aca="false">IF(OR(I169="",I169&lt;19,O169=""),"",O169+540)</f>
        <v/>
      </c>
      <c r="AJ169" s="19" t="str">
        <f aca="false">IF(OR(I169="",I169&lt;20,O169=""),"",O169+570)</f>
        <v/>
      </c>
      <c r="AK169" s="19" t="str">
        <f aca="false">IF(OR(I169="",I169&lt;21,O169=""),"",O169+600)</f>
        <v/>
      </c>
      <c r="AL169" s="19" t="str">
        <f aca="false">IF(OR(I169="",I169&lt;22,O169=""),"",O169+630)</f>
        <v/>
      </c>
      <c r="AM169" s="19" t="str">
        <f aca="false">IF(OR(I169="",I169&lt;23,O169=""),"",O169+660)</f>
        <v/>
      </c>
      <c r="AN169" s="19" t="str">
        <f aca="false">IF(OR(I169="",I169&lt;24,O169=""),"",O169+690)</f>
        <v/>
      </c>
      <c r="AO169" s="15" t="str">
        <f aca="false">IF(J169="","",COUNTIF(Q169:AN169,TRUE())*J169)</f>
        <v/>
      </c>
      <c r="AP169" s="15" t="str">
        <f aca="false">IF(K169="","",K169-AO169)</f>
        <v/>
      </c>
      <c r="AQ169" s="15" t="str">
        <f aca="false">IF(K169="","",K169-F169-IF(N169="",0,N169))</f>
        <v/>
      </c>
    </row>
    <row r="170" customFormat="false" ht="15" hidden="false" customHeight="false" outlineLevel="0" collapsed="false">
      <c r="A170" s="4"/>
      <c r="B170" s="4"/>
      <c r="C170" s="4"/>
      <c r="D170" s="5"/>
      <c r="E170" s="5"/>
      <c r="F170" s="6"/>
      <c r="G170" s="4"/>
      <c r="H170" s="4"/>
      <c r="I170" s="4"/>
      <c r="J170" s="6"/>
      <c r="K170" s="7" t="str">
        <f aca="false">IF(OR(I170="",J170=""),"",I170*J170)</f>
        <v/>
      </c>
      <c r="L170" s="4"/>
      <c r="M170" s="8"/>
      <c r="N170" s="7" t="str">
        <f aca="false">IF(OR(L170="",M170="",K170=""),"",IF(L170="GANANCIA",(K170-F170)*M170,IF(L170="BRUTO",K170*M170,"")))</f>
        <v/>
      </c>
      <c r="O170" s="9" t="str">
        <f aca="false">IF(D170="","",D170+30)</f>
        <v/>
      </c>
      <c r="P170" s="10" t="str">
        <f aca="false">IF(I170="","",IF(COUNTIF(Q170:AN170,TRUE())&gt;=I170,"PAGADO",IF(COUNTIF(Q170:AN170,TRUE())&gt;0,"PARCIAL","VIGENTE")))</f>
        <v/>
      </c>
      <c r="Q170" s="11" t="str">
        <f aca="false">IF(OR(I170="",I170&lt;1,O170=""),"",O170+0)</f>
        <v/>
      </c>
      <c r="R170" s="11" t="str">
        <f aca="false">IF(OR(I170="",I170&lt;2,O170=""),"",O170+30)</f>
        <v/>
      </c>
      <c r="S170" s="11" t="str">
        <f aca="false">IF(OR(I170="",I170&lt;3,O170=""),"",O170+60)</f>
        <v/>
      </c>
      <c r="T170" s="11" t="str">
        <f aca="false">IF(OR(I170="",I170&lt;4,O170=""),"",O170+90)</f>
        <v/>
      </c>
      <c r="U170" s="11" t="str">
        <f aca="false">IF(OR(I170="",I170&lt;5,O170=""),"",O170+120)</f>
        <v/>
      </c>
      <c r="V170" s="11" t="str">
        <f aca="false">IF(OR(I170="",I170&lt;6,O170=""),"",O170+150)</f>
        <v/>
      </c>
      <c r="W170" s="11" t="str">
        <f aca="false">IF(OR(I170="",I170&lt;7,O170=""),"",O170+180)</f>
        <v/>
      </c>
      <c r="X170" s="11" t="str">
        <f aca="false">IF(OR(I170="",I170&lt;8,O170=""),"",O170+210)</f>
        <v/>
      </c>
      <c r="Y170" s="11" t="str">
        <f aca="false">IF(OR(I170="",I170&lt;9,O170=""),"",O170+240)</f>
        <v/>
      </c>
      <c r="Z170" s="11" t="str">
        <f aca="false">IF(OR(I170="",I170&lt;10,O170=""),"",O170+270)</f>
        <v/>
      </c>
      <c r="AA170" s="11" t="str">
        <f aca="false">IF(OR(I170="",I170&lt;11,O170=""),"",O170+300)</f>
        <v/>
      </c>
      <c r="AB170" s="11" t="str">
        <f aca="false">IF(OR(I170="",I170&lt;12,O170=""),"",O170+330)</f>
        <v/>
      </c>
      <c r="AC170" s="11" t="str">
        <f aca="false">IF(OR(I170="",I170&lt;13,O170=""),"",O170+360)</f>
        <v/>
      </c>
      <c r="AD170" s="11" t="str">
        <f aca="false">IF(OR(I170="",I170&lt;14,O170=""),"",O170+390)</f>
        <v/>
      </c>
      <c r="AE170" s="11" t="str">
        <f aca="false">IF(OR(I170="",I170&lt;15,O170=""),"",O170+420)</f>
        <v/>
      </c>
      <c r="AF170" s="11" t="str">
        <f aca="false">IF(OR(I170="",I170&lt;16,O170=""),"",O170+450)</f>
        <v/>
      </c>
      <c r="AG170" s="11" t="str">
        <f aca="false">IF(OR(I170="",I170&lt;17,O170=""),"",O170+480)</f>
        <v/>
      </c>
      <c r="AH170" s="11" t="str">
        <f aca="false">IF(OR(I170="",I170&lt;18,O170=""),"",O170+510)</f>
        <v/>
      </c>
      <c r="AI170" s="11" t="str">
        <f aca="false">IF(OR(I170="",I170&lt;19,O170=""),"",O170+540)</f>
        <v/>
      </c>
      <c r="AJ170" s="11" t="str">
        <f aca="false">IF(OR(I170="",I170&lt;20,O170=""),"",O170+570)</f>
        <v/>
      </c>
      <c r="AK170" s="11" t="str">
        <f aca="false">IF(OR(I170="",I170&lt;21,O170=""),"",O170+600)</f>
        <v/>
      </c>
      <c r="AL170" s="11" t="str">
        <f aca="false">IF(OR(I170="",I170&lt;22,O170=""),"",O170+630)</f>
        <v/>
      </c>
      <c r="AM170" s="11" t="str">
        <f aca="false">IF(OR(I170="",I170&lt;23,O170=""),"",O170+660)</f>
        <v/>
      </c>
      <c r="AN170" s="11" t="str">
        <f aca="false">IF(OR(I170="",I170&lt;24,O170=""),"",O170+690)</f>
        <v/>
      </c>
      <c r="AO170" s="7" t="str">
        <f aca="false">IF(J170="","",COUNTIF(Q170:AN170,TRUE())*J170)</f>
        <v/>
      </c>
      <c r="AP170" s="7" t="str">
        <f aca="false">IF(K170="","",K170-AO170)</f>
        <v/>
      </c>
      <c r="AQ170" s="7" t="str">
        <f aca="false">IF(K170="","",K170-F170-IF(N170="",0,N170))</f>
        <v/>
      </c>
    </row>
    <row r="171" customFormat="false" ht="15" hidden="false" customHeight="false" outlineLevel="0" collapsed="false">
      <c r="A171" s="12"/>
      <c r="B171" s="12"/>
      <c r="C171" s="12"/>
      <c r="D171" s="13"/>
      <c r="E171" s="13"/>
      <c r="F171" s="14"/>
      <c r="G171" s="12"/>
      <c r="H171" s="12"/>
      <c r="I171" s="12"/>
      <c r="J171" s="14"/>
      <c r="K171" s="15" t="str">
        <f aca="false">IF(OR(I171="",J171=""),"",I171*J171)</f>
        <v/>
      </c>
      <c r="L171" s="12"/>
      <c r="M171" s="16"/>
      <c r="N171" s="15" t="str">
        <f aca="false">IF(OR(L171="",M171="",K171=""),"",IF(L171="GANANCIA",(K171-F171)*M171,IF(L171="BRUTO",K171*M171,"")))</f>
        <v/>
      </c>
      <c r="O171" s="17" t="str">
        <f aca="false">IF(D171="","",D171+30)</f>
        <v/>
      </c>
      <c r="P171" s="18" t="str">
        <f aca="false">IF(I171="","",IF(COUNTIF(Q171:AN171,TRUE())&gt;=I171,"PAGADO",IF(COUNTIF(Q171:AN171,TRUE())&gt;0,"PARCIAL","VIGENTE")))</f>
        <v/>
      </c>
      <c r="Q171" s="19" t="str">
        <f aca="false">IF(OR(I171="",I171&lt;1,O171=""),"",O171+0)</f>
        <v/>
      </c>
      <c r="R171" s="19" t="str">
        <f aca="false">IF(OR(I171="",I171&lt;2,O171=""),"",O171+30)</f>
        <v/>
      </c>
      <c r="S171" s="19" t="str">
        <f aca="false">IF(OR(I171="",I171&lt;3,O171=""),"",O171+60)</f>
        <v/>
      </c>
      <c r="T171" s="19" t="str">
        <f aca="false">IF(OR(I171="",I171&lt;4,O171=""),"",O171+90)</f>
        <v/>
      </c>
      <c r="U171" s="19" t="str">
        <f aca="false">IF(OR(I171="",I171&lt;5,O171=""),"",O171+120)</f>
        <v/>
      </c>
      <c r="V171" s="19" t="str">
        <f aca="false">IF(OR(I171="",I171&lt;6,O171=""),"",O171+150)</f>
        <v/>
      </c>
      <c r="W171" s="19" t="str">
        <f aca="false">IF(OR(I171="",I171&lt;7,O171=""),"",O171+180)</f>
        <v/>
      </c>
      <c r="X171" s="19" t="str">
        <f aca="false">IF(OR(I171="",I171&lt;8,O171=""),"",O171+210)</f>
        <v/>
      </c>
      <c r="Y171" s="19" t="str">
        <f aca="false">IF(OR(I171="",I171&lt;9,O171=""),"",O171+240)</f>
        <v/>
      </c>
      <c r="Z171" s="19" t="str">
        <f aca="false">IF(OR(I171="",I171&lt;10,O171=""),"",O171+270)</f>
        <v/>
      </c>
      <c r="AA171" s="19" t="str">
        <f aca="false">IF(OR(I171="",I171&lt;11,O171=""),"",O171+300)</f>
        <v/>
      </c>
      <c r="AB171" s="19" t="str">
        <f aca="false">IF(OR(I171="",I171&lt;12,O171=""),"",O171+330)</f>
        <v/>
      </c>
      <c r="AC171" s="19" t="str">
        <f aca="false">IF(OR(I171="",I171&lt;13,O171=""),"",O171+360)</f>
        <v/>
      </c>
      <c r="AD171" s="19" t="str">
        <f aca="false">IF(OR(I171="",I171&lt;14,O171=""),"",O171+390)</f>
        <v/>
      </c>
      <c r="AE171" s="19" t="str">
        <f aca="false">IF(OR(I171="",I171&lt;15,O171=""),"",O171+420)</f>
        <v/>
      </c>
      <c r="AF171" s="19" t="str">
        <f aca="false">IF(OR(I171="",I171&lt;16,O171=""),"",O171+450)</f>
        <v/>
      </c>
      <c r="AG171" s="19" t="str">
        <f aca="false">IF(OR(I171="",I171&lt;17,O171=""),"",O171+480)</f>
        <v/>
      </c>
      <c r="AH171" s="19" t="str">
        <f aca="false">IF(OR(I171="",I171&lt;18,O171=""),"",O171+510)</f>
        <v/>
      </c>
      <c r="AI171" s="19" t="str">
        <f aca="false">IF(OR(I171="",I171&lt;19,O171=""),"",O171+540)</f>
        <v/>
      </c>
      <c r="AJ171" s="19" t="str">
        <f aca="false">IF(OR(I171="",I171&lt;20,O171=""),"",O171+570)</f>
        <v/>
      </c>
      <c r="AK171" s="19" t="str">
        <f aca="false">IF(OR(I171="",I171&lt;21,O171=""),"",O171+600)</f>
        <v/>
      </c>
      <c r="AL171" s="19" t="str">
        <f aca="false">IF(OR(I171="",I171&lt;22,O171=""),"",O171+630)</f>
        <v/>
      </c>
      <c r="AM171" s="19" t="str">
        <f aca="false">IF(OR(I171="",I171&lt;23,O171=""),"",O171+660)</f>
        <v/>
      </c>
      <c r="AN171" s="19" t="str">
        <f aca="false">IF(OR(I171="",I171&lt;24,O171=""),"",O171+690)</f>
        <v/>
      </c>
      <c r="AO171" s="15" t="str">
        <f aca="false">IF(J171="","",COUNTIF(Q171:AN171,TRUE())*J171)</f>
        <v/>
      </c>
      <c r="AP171" s="15" t="str">
        <f aca="false">IF(K171="","",K171-AO171)</f>
        <v/>
      </c>
      <c r="AQ171" s="15" t="str">
        <f aca="false">IF(K171="","",K171-F171-IF(N171="",0,N171))</f>
        <v/>
      </c>
    </row>
    <row r="172" customFormat="false" ht="15" hidden="false" customHeight="false" outlineLevel="0" collapsed="false">
      <c r="A172" s="4"/>
      <c r="B172" s="4"/>
      <c r="C172" s="4"/>
      <c r="D172" s="5"/>
      <c r="E172" s="5"/>
      <c r="F172" s="6"/>
      <c r="G172" s="4"/>
      <c r="H172" s="4"/>
      <c r="I172" s="4"/>
      <c r="J172" s="6"/>
      <c r="K172" s="7" t="str">
        <f aca="false">IF(OR(I172="",J172=""),"",I172*J172)</f>
        <v/>
      </c>
      <c r="L172" s="4"/>
      <c r="M172" s="8"/>
      <c r="N172" s="7" t="str">
        <f aca="false">IF(OR(L172="",M172="",K172=""),"",IF(L172="GANANCIA",(K172-F172)*M172,IF(L172="BRUTO",K172*M172,"")))</f>
        <v/>
      </c>
      <c r="O172" s="9" t="str">
        <f aca="false">IF(D172="","",D172+30)</f>
        <v/>
      </c>
      <c r="P172" s="10" t="str">
        <f aca="false">IF(I172="","",IF(COUNTIF(Q172:AN172,TRUE())&gt;=I172,"PAGADO",IF(COUNTIF(Q172:AN172,TRUE())&gt;0,"PARCIAL","VIGENTE")))</f>
        <v/>
      </c>
      <c r="Q172" s="11" t="str">
        <f aca="false">IF(OR(I172="",I172&lt;1,O172=""),"",O172+0)</f>
        <v/>
      </c>
      <c r="R172" s="11" t="str">
        <f aca="false">IF(OR(I172="",I172&lt;2,O172=""),"",O172+30)</f>
        <v/>
      </c>
      <c r="S172" s="11" t="str">
        <f aca="false">IF(OR(I172="",I172&lt;3,O172=""),"",O172+60)</f>
        <v/>
      </c>
      <c r="T172" s="11" t="str">
        <f aca="false">IF(OR(I172="",I172&lt;4,O172=""),"",O172+90)</f>
        <v/>
      </c>
      <c r="U172" s="11" t="str">
        <f aca="false">IF(OR(I172="",I172&lt;5,O172=""),"",O172+120)</f>
        <v/>
      </c>
      <c r="V172" s="11" t="str">
        <f aca="false">IF(OR(I172="",I172&lt;6,O172=""),"",O172+150)</f>
        <v/>
      </c>
      <c r="W172" s="11" t="str">
        <f aca="false">IF(OR(I172="",I172&lt;7,O172=""),"",O172+180)</f>
        <v/>
      </c>
      <c r="X172" s="11" t="str">
        <f aca="false">IF(OR(I172="",I172&lt;8,O172=""),"",O172+210)</f>
        <v/>
      </c>
      <c r="Y172" s="11" t="str">
        <f aca="false">IF(OR(I172="",I172&lt;9,O172=""),"",O172+240)</f>
        <v/>
      </c>
      <c r="Z172" s="11" t="str">
        <f aca="false">IF(OR(I172="",I172&lt;10,O172=""),"",O172+270)</f>
        <v/>
      </c>
      <c r="AA172" s="11" t="str">
        <f aca="false">IF(OR(I172="",I172&lt;11,O172=""),"",O172+300)</f>
        <v/>
      </c>
      <c r="AB172" s="11" t="str">
        <f aca="false">IF(OR(I172="",I172&lt;12,O172=""),"",O172+330)</f>
        <v/>
      </c>
      <c r="AC172" s="11" t="str">
        <f aca="false">IF(OR(I172="",I172&lt;13,O172=""),"",O172+360)</f>
        <v/>
      </c>
      <c r="AD172" s="11" t="str">
        <f aca="false">IF(OR(I172="",I172&lt;14,O172=""),"",O172+390)</f>
        <v/>
      </c>
      <c r="AE172" s="11" t="str">
        <f aca="false">IF(OR(I172="",I172&lt;15,O172=""),"",O172+420)</f>
        <v/>
      </c>
      <c r="AF172" s="11" t="str">
        <f aca="false">IF(OR(I172="",I172&lt;16,O172=""),"",O172+450)</f>
        <v/>
      </c>
      <c r="AG172" s="11" t="str">
        <f aca="false">IF(OR(I172="",I172&lt;17,O172=""),"",O172+480)</f>
        <v/>
      </c>
      <c r="AH172" s="11" t="str">
        <f aca="false">IF(OR(I172="",I172&lt;18,O172=""),"",O172+510)</f>
        <v/>
      </c>
      <c r="AI172" s="11" t="str">
        <f aca="false">IF(OR(I172="",I172&lt;19,O172=""),"",O172+540)</f>
        <v/>
      </c>
      <c r="AJ172" s="11" t="str">
        <f aca="false">IF(OR(I172="",I172&lt;20,O172=""),"",O172+570)</f>
        <v/>
      </c>
      <c r="AK172" s="11" t="str">
        <f aca="false">IF(OR(I172="",I172&lt;21,O172=""),"",O172+600)</f>
        <v/>
      </c>
      <c r="AL172" s="11" t="str">
        <f aca="false">IF(OR(I172="",I172&lt;22,O172=""),"",O172+630)</f>
        <v/>
      </c>
      <c r="AM172" s="11" t="str">
        <f aca="false">IF(OR(I172="",I172&lt;23,O172=""),"",O172+660)</f>
        <v/>
      </c>
      <c r="AN172" s="11" t="str">
        <f aca="false">IF(OR(I172="",I172&lt;24,O172=""),"",O172+690)</f>
        <v/>
      </c>
      <c r="AO172" s="7" t="str">
        <f aca="false">IF(J172="","",COUNTIF(Q172:AN172,TRUE())*J172)</f>
        <v/>
      </c>
      <c r="AP172" s="7" t="str">
        <f aca="false">IF(K172="","",K172-AO172)</f>
        <v/>
      </c>
      <c r="AQ172" s="7" t="str">
        <f aca="false">IF(K172="","",K172-F172-IF(N172="",0,N172))</f>
        <v/>
      </c>
    </row>
    <row r="173" customFormat="false" ht="15" hidden="false" customHeight="false" outlineLevel="0" collapsed="false">
      <c r="A173" s="12"/>
      <c r="B173" s="12"/>
      <c r="C173" s="12"/>
      <c r="D173" s="13"/>
      <c r="E173" s="13"/>
      <c r="F173" s="14"/>
      <c r="G173" s="12"/>
      <c r="H173" s="12"/>
      <c r="I173" s="12"/>
      <c r="J173" s="14"/>
      <c r="K173" s="15" t="str">
        <f aca="false">IF(OR(I173="",J173=""),"",I173*J173)</f>
        <v/>
      </c>
      <c r="L173" s="12"/>
      <c r="M173" s="16"/>
      <c r="N173" s="15" t="str">
        <f aca="false">IF(OR(L173="",M173="",K173=""),"",IF(L173="GANANCIA",(K173-F173)*M173,IF(L173="BRUTO",K173*M173,"")))</f>
        <v/>
      </c>
      <c r="O173" s="17" t="str">
        <f aca="false">IF(D173="","",D173+30)</f>
        <v/>
      </c>
      <c r="P173" s="18" t="str">
        <f aca="false">IF(I173="","",IF(COUNTIF(Q173:AN173,TRUE())&gt;=I173,"PAGADO",IF(COUNTIF(Q173:AN173,TRUE())&gt;0,"PARCIAL","VIGENTE")))</f>
        <v/>
      </c>
      <c r="Q173" s="19" t="str">
        <f aca="false">IF(OR(I173="",I173&lt;1,O173=""),"",O173+0)</f>
        <v/>
      </c>
      <c r="R173" s="19" t="str">
        <f aca="false">IF(OR(I173="",I173&lt;2,O173=""),"",O173+30)</f>
        <v/>
      </c>
      <c r="S173" s="19" t="str">
        <f aca="false">IF(OR(I173="",I173&lt;3,O173=""),"",O173+60)</f>
        <v/>
      </c>
      <c r="T173" s="19" t="str">
        <f aca="false">IF(OR(I173="",I173&lt;4,O173=""),"",O173+90)</f>
        <v/>
      </c>
      <c r="U173" s="19" t="str">
        <f aca="false">IF(OR(I173="",I173&lt;5,O173=""),"",O173+120)</f>
        <v/>
      </c>
      <c r="V173" s="19" t="str">
        <f aca="false">IF(OR(I173="",I173&lt;6,O173=""),"",O173+150)</f>
        <v/>
      </c>
      <c r="W173" s="19" t="str">
        <f aca="false">IF(OR(I173="",I173&lt;7,O173=""),"",O173+180)</f>
        <v/>
      </c>
      <c r="X173" s="19" t="str">
        <f aca="false">IF(OR(I173="",I173&lt;8,O173=""),"",O173+210)</f>
        <v/>
      </c>
      <c r="Y173" s="19" t="str">
        <f aca="false">IF(OR(I173="",I173&lt;9,O173=""),"",O173+240)</f>
        <v/>
      </c>
      <c r="Z173" s="19" t="str">
        <f aca="false">IF(OR(I173="",I173&lt;10,O173=""),"",O173+270)</f>
        <v/>
      </c>
      <c r="AA173" s="19" t="str">
        <f aca="false">IF(OR(I173="",I173&lt;11,O173=""),"",O173+300)</f>
        <v/>
      </c>
      <c r="AB173" s="19" t="str">
        <f aca="false">IF(OR(I173="",I173&lt;12,O173=""),"",O173+330)</f>
        <v/>
      </c>
      <c r="AC173" s="19" t="str">
        <f aca="false">IF(OR(I173="",I173&lt;13,O173=""),"",O173+360)</f>
        <v/>
      </c>
      <c r="AD173" s="19" t="str">
        <f aca="false">IF(OR(I173="",I173&lt;14,O173=""),"",O173+390)</f>
        <v/>
      </c>
      <c r="AE173" s="19" t="str">
        <f aca="false">IF(OR(I173="",I173&lt;15,O173=""),"",O173+420)</f>
        <v/>
      </c>
      <c r="AF173" s="19" t="str">
        <f aca="false">IF(OR(I173="",I173&lt;16,O173=""),"",O173+450)</f>
        <v/>
      </c>
      <c r="AG173" s="19" t="str">
        <f aca="false">IF(OR(I173="",I173&lt;17,O173=""),"",O173+480)</f>
        <v/>
      </c>
      <c r="AH173" s="19" t="str">
        <f aca="false">IF(OR(I173="",I173&lt;18,O173=""),"",O173+510)</f>
        <v/>
      </c>
      <c r="AI173" s="19" t="str">
        <f aca="false">IF(OR(I173="",I173&lt;19,O173=""),"",O173+540)</f>
        <v/>
      </c>
      <c r="AJ173" s="19" t="str">
        <f aca="false">IF(OR(I173="",I173&lt;20,O173=""),"",O173+570)</f>
        <v/>
      </c>
      <c r="AK173" s="19" t="str">
        <f aca="false">IF(OR(I173="",I173&lt;21,O173=""),"",O173+600)</f>
        <v/>
      </c>
      <c r="AL173" s="19" t="str">
        <f aca="false">IF(OR(I173="",I173&lt;22,O173=""),"",O173+630)</f>
        <v/>
      </c>
      <c r="AM173" s="19" t="str">
        <f aca="false">IF(OR(I173="",I173&lt;23,O173=""),"",O173+660)</f>
        <v/>
      </c>
      <c r="AN173" s="19" t="str">
        <f aca="false">IF(OR(I173="",I173&lt;24,O173=""),"",O173+690)</f>
        <v/>
      </c>
      <c r="AO173" s="15" t="str">
        <f aca="false">IF(J173="","",COUNTIF(Q173:AN173,TRUE())*J173)</f>
        <v/>
      </c>
      <c r="AP173" s="15" t="str">
        <f aca="false">IF(K173="","",K173-AO173)</f>
        <v/>
      </c>
      <c r="AQ173" s="15" t="str">
        <f aca="false">IF(K173="","",K173-F173-IF(N173="",0,N173))</f>
        <v/>
      </c>
    </row>
    <row r="174" customFormat="false" ht="15" hidden="false" customHeight="false" outlineLevel="0" collapsed="false">
      <c r="A174" s="4"/>
      <c r="B174" s="4"/>
      <c r="C174" s="4"/>
      <c r="D174" s="5"/>
      <c r="E174" s="5"/>
      <c r="F174" s="6"/>
      <c r="G174" s="4"/>
      <c r="H174" s="4"/>
      <c r="I174" s="4"/>
      <c r="J174" s="6"/>
      <c r="K174" s="7" t="str">
        <f aca="false">IF(OR(I174="",J174=""),"",I174*J174)</f>
        <v/>
      </c>
      <c r="L174" s="4"/>
      <c r="M174" s="8"/>
      <c r="N174" s="7" t="str">
        <f aca="false">IF(OR(L174="",M174="",K174=""),"",IF(L174="GANANCIA",(K174-F174)*M174,IF(L174="BRUTO",K174*M174,"")))</f>
        <v/>
      </c>
      <c r="O174" s="9" t="str">
        <f aca="false">IF(D174="","",D174+30)</f>
        <v/>
      </c>
      <c r="P174" s="10" t="str">
        <f aca="false">IF(I174="","",IF(COUNTIF(Q174:AN174,TRUE())&gt;=I174,"PAGADO",IF(COUNTIF(Q174:AN174,TRUE())&gt;0,"PARCIAL","VIGENTE")))</f>
        <v/>
      </c>
      <c r="Q174" s="11" t="str">
        <f aca="false">IF(OR(I174="",I174&lt;1,O174=""),"",O174+0)</f>
        <v/>
      </c>
      <c r="R174" s="11" t="str">
        <f aca="false">IF(OR(I174="",I174&lt;2,O174=""),"",O174+30)</f>
        <v/>
      </c>
      <c r="S174" s="11" t="str">
        <f aca="false">IF(OR(I174="",I174&lt;3,O174=""),"",O174+60)</f>
        <v/>
      </c>
      <c r="T174" s="11" t="str">
        <f aca="false">IF(OR(I174="",I174&lt;4,O174=""),"",O174+90)</f>
        <v/>
      </c>
      <c r="U174" s="11" t="str">
        <f aca="false">IF(OR(I174="",I174&lt;5,O174=""),"",O174+120)</f>
        <v/>
      </c>
      <c r="V174" s="11" t="str">
        <f aca="false">IF(OR(I174="",I174&lt;6,O174=""),"",O174+150)</f>
        <v/>
      </c>
      <c r="W174" s="11" t="str">
        <f aca="false">IF(OR(I174="",I174&lt;7,O174=""),"",O174+180)</f>
        <v/>
      </c>
      <c r="X174" s="11" t="str">
        <f aca="false">IF(OR(I174="",I174&lt;8,O174=""),"",O174+210)</f>
        <v/>
      </c>
      <c r="Y174" s="11" t="str">
        <f aca="false">IF(OR(I174="",I174&lt;9,O174=""),"",O174+240)</f>
        <v/>
      </c>
      <c r="Z174" s="11" t="str">
        <f aca="false">IF(OR(I174="",I174&lt;10,O174=""),"",O174+270)</f>
        <v/>
      </c>
      <c r="AA174" s="11" t="str">
        <f aca="false">IF(OR(I174="",I174&lt;11,O174=""),"",O174+300)</f>
        <v/>
      </c>
      <c r="AB174" s="11" t="str">
        <f aca="false">IF(OR(I174="",I174&lt;12,O174=""),"",O174+330)</f>
        <v/>
      </c>
      <c r="AC174" s="11" t="str">
        <f aca="false">IF(OR(I174="",I174&lt;13,O174=""),"",O174+360)</f>
        <v/>
      </c>
      <c r="AD174" s="11" t="str">
        <f aca="false">IF(OR(I174="",I174&lt;14,O174=""),"",O174+390)</f>
        <v/>
      </c>
      <c r="AE174" s="11" t="str">
        <f aca="false">IF(OR(I174="",I174&lt;15,O174=""),"",O174+420)</f>
        <v/>
      </c>
      <c r="AF174" s="11" t="str">
        <f aca="false">IF(OR(I174="",I174&lt;16,O174=""),"",O174+450)</f>
        <v/>
      </c>
      <c r="AG174" s="11" t="str">
        <f aca="false">IF(OR(I174="",I174&lt;17,O174=""),"",O174+480)</f>
        <v/>
      </c>
      <c r="AH174" s="11" t="str">
        <f aca="false">IF(OR(I174="",I174&lt;18,O174=""),"",O174+510)</f>
        <v/>
      </c>
      <c r="AI174" s="11" t="str">
        <f aca="false">IF(OR(I174="",I174&lt;19,O174=""),"",O174+540)</f>
        <v/>
      </c>
      <c r="AJ174" s="11" t="str">
        <f aca="false">IF(OR(I174="",I174&lt;20,O174=""),"",O174+570)</f>
        <v/>
      </c>
      <c r="AK174" s="11" t="str">
        <f aca="false">IF(OR(I174="",I174&lt;21,O174=""),"",O174+600)</f>
        <v/>
      </c>
      <c r="AL174" s="11" t="str">
        <f aca="false">IF(OR(I174="",I174&lt;22,O174=""),"",O174+630)</f>
        <v/>
      </c>
      <c r="AM174" s="11" t="str">
        <f aca="false">IF(OR(I174="",I174&lt;23,O174=""),"",O174+660)</f>
        <v/>
      </c>
      <c r="AN174" s="11" t="str">
        <f aca="false">IF(OR(I174="",I174&lt;24,O174=""),"",O174+690)</f>
        <v/>
      </c>
      <c r="AO174" s="7" t="str">
        <f aca="false">IF(J174="","",COUNTIF(Q174:AN174,TRUE())*J174)</f>
        <v/>
      </c>
      <c r="AP174" s="7" t="str">
        <f aca="false">IF(K174="","",K174-AO174)</f>
        <v/>
      </c>
      <c r="AQ174" s="7" t="str">
        <f aca="false">IF(K174="","",K174-F174-IF(N174="",0,N174))</f>
        <v/>
      </c>
    </row>
    <row r="175" customFormat="false" ht="15" hidden="false" customHeight="false" outlineLevel="0" collapsed="false">
      <c r="A175" s="12"/>
      <c r="B175" s="12"/>
      <c r="C175" s="12"/>
      <c r="D175" s="13"/>
      <c r="E175" s="13"/>
      <c r="F175" s="14"/>
      <c r="G175" s="12"/>
      <c r="H175" s="12"/>
      <c r="I175" s="12"/>
      <c r="J175" s="14"/>
      <c r="K175" s="15" t="str">
        <f aca="false">IF(OR(I175="",J175=""),"",I175*J175)</f>
        <v/>
      </c>
      <c r="L175" s="12"/>
      <c r="M175" s="16"/>
      <c r="N175" s="15" t="str">
        <f aca="false">IF(OR(L175="",M175="",K175=""),"",IF(L175="GANANCIA",(K175-F175)*M175,IF(L175="BRUTO",K175*M175,"")))</f>
        <v/>
      </c>
      <c r="O175" s="17" t="str">
        <f aca="false">IF(D175="","",D175+30)</f>
        <v/>
      </c>
      <c r="P175" s="18" t="str">
        <f aca="false">IF(I175="","",IF(COUNTIF(Q175:AN175,TRUE())&gt;=I175,"PAGADO",IF(COUNTIF(Q175:AN175,TRUE())&gt;0,"PARCIAL","VIGENTE")))</f>
        <v/>
      </c>
      <c r="Q175" s="19" t="str">
        <f aca="false">IF(OR(I175="",I175&lt;1,O175=""),"",O175+0)</f>
        <v/>
      </c>
      <c r="R175" s="19" t="str">
        <f aca="false">IF(OR(I175="",I175&lt;2,O175=""),"",O175+30)</f>
        <v/>
      </c>
      <c r="S175" s="19" t="str">
        <f aca="false">IF(OR(I175="",I175&lt;3,O175=""),"",O175+60)</f>
        <v/>
      </c>
      <c r="T175" s="19" t="str">
        <f aca="false">IF(OR(I175="",I175&lt;4,O175=""),"",O175+90)</f>
        <v/>
      </c>
      <c r="U175" s="19" t="str">
        <f aca="false">IF(OR(I175="",I175&lt;5,O175=""),"",O175+120)</f>
        <v/>
      </c>
      <c r="V175" s="19" t="str">
        <f aca="false">IF(OR(I175="",I175&lt;6,O175=""),"",O175+150)</f>
        <v/>
      </c>
      <c r="W175" s="19" t="str">
        <f aca="false">IF(OR(I175="",I175&lt;7,O175=""),"",O175+180)</f>
        <v/>
      </c>
      <c r="X175" s="19" t="str">
        <f aca="false">IF(OR(I175="",I175&lt;8,O175=""),"",O175+210)</f>
        <v/>
      </c>
      <c r="Y175" s="19" t="str">
        <f aca="false">IF(OR(I175="",I175&lt;9,O175=""),"",O175+240)</f>
        <v/>
      </c>
      <c r="Z175" s="19" t="str">
        <f aca="false">IF(OR(I175="",I175&lt;10,O175=""),"",O175+270)</f>
        <v/>
      </c>
      <c r="AA175" s="19" t="str">
        <f aca="false">IF(OR(I175="",I175&lt;11,O175=""),"",O175+300)</f>
        <v/>
      </c>
      <c r="AB175" s="19" t="str">
        <f aca="false">IF(OR(I175="",I175&lt;12,O175=""),"",O175+330)</f>
        <v/>
      </c>
      <c r="AC175" s="19" t="str">
        <f aca="false">IF(OR(I175="",I175&lt;13,O175=""),"",O175+360)</f>
        <v/>
      </c>
      <c r="AD175" s="19" t="str">
        <f aca="false">IF(OR(I175="",I175&lt;14,O175=""),"",O175+390)</f>
        <v/>
      </c>
      <c r="AE175" s="19" t="str">
        <f aca="false">IF(OR(I175="",I175&lt;15,O175=""),"",O175+420)</f>
        <v/>
      </c>
      <c r="AF175" s="19" t="str">
        <f aca="false">IF(OR(I175="",I175&lt;16,O175=""),"",O175+450)</f>
        <v/>
      </c>
      <c r="AG175" s="19" t="str">
        <f aca="false">IF(OR(I175="",I175&lt;17,O175=""),"",O175+480)</f>
        <v/>
      </c>
      <c r="AH175" s="19" t="str">
        <f aca="false">IF(OR(I175="",I175&lt;18,O175=""),"",O175+510)</f>
        <v/>
      </c>
      <c r="AI175" s="19" t="str">
        <f aca="false">IF(OR(I175="",I175&lt;19,O175=""),"",O175+540)</f>
        <v/>
      </c>
      <c r="AJ175" s="19" t="str">
        <f aca="false">IF(OR(I175="",I175&lt;20,O175=""),"",O175+570)</f>
        <v/>
      </c>
      <c r="AK175" s="19" t="str">
        <f aca="false">IF(OR(I175="",I175&lt;21,O175=""),"",O175+600)</f>
        <v/>
      </c>
      <c r="AL175" s="19" t="str">
        <f aca="false">IF(OR(I175="",I175&lt;22,O175=""),"",O175+630)</f>
        <v/>
      </c>
      <c r="AM175" s="19" t="str">
        <f aca="false">IF(OR(I175="",I175&lt;23,O175=""),"",O175+660)</f>
        <v/>
      </c>
      <c r="AN175" s="19" t="str">
        <f aca="false">IF(OR(I175="",I175&lt;24,O175=""),"",O175+690)</f>
        <v/>
      </c>
      <c r="AO175" s="15" t="str">
        <f aca="false">IF(J175="","",COUNTIF(Q175:AN175,TRUE())*J175)</f>
        <v/>
      </c>
      <c r="AP175" s="15" t="str">
        <f aca="false">IF(K175="","",K175-AO175)</f>
        <v/>
      </c>
      <c r="AQ175" s="15" t="str">
        <f aca="false">IF(K175="","",K175-F175-IF(N175="",0,N175))</f>
        <v/>
      </c>
    </row>
    <row r="176" customFormat="false" ht="15" hidden="false" customHeight="false" outlineLevel="0" collapsed="false">
      <c r="A176" s="4"/>
      <c r="B176" s="4"/>
      <c r="C176" s="4"/>
      <c r="D176" s="5"/>
      <c r="E176" s="5"/>
      <c r="F176" s="6"/>
      <c r="G176" s="4"/>
      <c r="H176" s="4"/>
      <c r="I176" s="4"/>
      <c r="J176" s="6"/>
      <c r="K176" s="7" t="str">
        <f aca="false">IF(OR(I176="",J176=""),"",I176*J176)</f>
        <v/>
      </c>
      <c r="L176" s="4"/>
      <c r="M176" s="8"/>
      <c r="N176" s="7" t="str">
        <f aca="false">IF(OR(L176="",M176="",K176=""),"",IF(L176="GANANCIA",(K176-F176)*M176,IF(L176="BRUTO",K176*M176,"")))</f>
        <v/>
      </c>
      <c r="O176" s="9" t="str">
        <f aca="false">IF(D176="","",D176+30)</f>
        <v/>
      </c>
      <c r="P176" s="10" t="str">
        <f aca="false">IF(I176="","",IF(COUNTIF(Q176:AN176,TRUE())&gt;=I176,"PAGADO",IF(COUNTIF(Q176:AN176,TRUE())&gt;0,"PARCIAL","VIGENTE")))</f>
        <v/>
      </c>
      <c r="Q176" s="11" t="str">
        <f aca="false">IF(OR(I176="",I176&lt;1,O176=""),"",O176+0)</f>
        <v/>
      </c>
      <c r="R176" s="11" t="str">
        <f aca="false">IF(OR(I176="",I176&lt;2,O176=""),"",O176+30)</f>
        <v/>
      </c>
      <c r="S176" s="11" t="str">
        <f aca="false">IF(OR(I176="",I176&lt;3,O176=""),"",O176+60)</f>
        <v/>
      </c>
      <c r="T176" s="11" t="str">
        <f aca="false">IF(OR(I176="",I176&lt;4,O176=""),"",O176+90)</f>
        <v/>
      </c>
      <c r="U176" s="11" t="str">
        <f aca="false">IF(OR(I176="",I176&lt;5,O176=""),"",O176+120)</f>
        <v/>
      </c>
      <c r="V176" s="11" t="str">
        <f aca="false">IF(OR(I176="",I176&lt;6,O176=""),"",O176+150)</f>
        <v/>
      </c>
      <c r="W176" s="11" t="str">
        <f aca="false">IF(OR(I176="",I176&lt;7,O176=""),"",O176+180)</f>
        <v/>
      </c>
      <c r="X176" s="11" t="str">
        <f aca="false">IF(OR(I176="",I176&lt;8,O176=""),"",O176+210)</f>
        <v/>
      </c>
      <c r="Y176" s="11" t="str">
        <f aca="false">IF(OR(I176="",I176&lt;9,O176=""),"",O176+240)</f>
        <v/>
      </c>
      <c r="Z176" s="11" t="str">
        <f aca="false">IF(OR(I176="",I176&lt;10,O176=""),"",O176+270)</f>
        <v/>
      </c>
      <c r="AA176" s="11" t="str">
        <f aca="false">IF(OR(I176="",I176&lt;11,O176=""),"",O176+300)</f>
        <v/>
      </c>
      <c r="AB176" s="11" t="str">
        <f aca="false">IF(OR(I176="",I176&lt;12,O176=""),"",O176+330)</f>
        <v/>
      </c>
      <c r="AC176" s="11" t="str">
        <f aca="false">IF(OR(I176="",I176&lt;13,O176=""),"",O176+360)</f>
        <v/>
      </c>
      <c r="AD176" s="11" t="str">
        <f aca="false">IF(OR(I176="",I176&lt;14,O176=""),"",O176+390)</f>
        <v/>
      </c>
      <c r="AE176" s="11" t="str">
        <f aca="false">IF(OR(I176="",I176&lt;15,O176=""),"",O176+420)</f>
        <v/>
      </c>
      <c r="AF176" s="11" t="str">
        <f aca="false">IF(OR(I176="",I176&lt;16,O176=""),"",O176+450)</f>
        <v/>
      </c>
      <c r="AG176" s="11" t="str">
        <f aca="false">IF(OR(I176="",I176&lt;17,O176=""),"",O176+480)</f>
        <v/>
      </c>
      <c r="AH176" s="11" t="str">
        <f aca="false">IF(OR(I176="",I176&lt;18,O176=""),"",O176+510)</f>
        <v/>
      </c>
      <c r="AI176" s="11" t="str">
        <f aca="false">IF(OR(I176="",I176&lt;19,O176=""),"",O176+540)</f>
        <v/>
      </c>
      <c r="AJ176" s="11" t="str">
        <f aca="false">IF(OR(I176="",I176&lt;20,O176=""),"",O176+570)</f>
        <v/>
      </c>
      <c r="AK176" s="11" t="str">
        <f aca="false">IF(OR(I176="",I176&lt;21,O176=""),"",O176+600)</f>
        <v/>
      </c>
      <c r="AL176" s="11" t="str">
        <f aca="false">IF(OR(I176="",I176&lt;22,O176=""),"",O176+630)</f>
        <v/>
      </c>
      <c r="AM176" s="11" t="str">
        <f aca="false">IF(OR(I176="",I176&lt;23,O176=""),"",O176+660)</f>
        <v/>
      </c>
      <c r="AN176" s="11" t="str">
        <f aca="false">IF(OR(I176="",I176&lt;24,O176=""),"",O176+690)</f>
        <v/>
      </c>
      <c r="AO176" s="7" t="str">
        <f aca="false">IF(J176="","",COUNTIF(Q176:AN176,TRUE())*J176)</f>
        <v/>
      </c>
      <c r="AP176" s="7" t="str">
        <f aca="false">IF(K176="","",K176-AO176)</f>
        <v/>
      </c>
      <c r="AQ176" s="7" t="str">
        <f aca="false">IF(K176="","",K176-F176-IF(N176="",0,N176))</f>
        <v/>
      </c>
    </row>
    <row r="177" customFormat="false" ht="15" hidden="false" customHeight="false" outlineLevel="0" collapsed="false">
      <c r="A177" s="12"/>
      <c r="B177" s="12"/>
      <c r="C177" s="12"/>
      <c r="D177" s="13"/>
      <c r="E177" s="13"/>
      <c r="F177" s="14"/>
      <c r="G177" s="12"/>
      <c r="H177" s="12"/>
      <c r="I177" s="12"/>
      <c r="J177" s="14"/>
      <c r="K177" s="15" t="str">
        <f aca="false">IF(OR(I177="",J177=""),"",I177*J177)</f>
        <v/>
      </c>
      <c r="L177" s="12"/>
      <c r="M177" s="16"/>
      <c r="N177" s="15" t="str">
        <f aca="false">IF(OR(L177="",M177="",K177=""),"",IF(L177="GANANCIA",(K177-F177)*M177,IF(L177="BRUTO",K177*M177,"")))</f>
        <v/>
      </c>
      <c r="O177" s="17" t="str">
        <f aca="false">IF(D177="","",D177+30)</f>
        <v/>
      </c>
      <c r="P177" s="18" t="str">
        <f aca="false">IF(I177="","",IF(COUNTIF(Q177:AN177,TRUE())&gt;=I177,"PAGADO",IF(COUNTIF(Q177:AN177,TRUE())&gt;0,"PARCIAL","VIGENTE")))</f>
        <v/>
      </c>
      <c r="Q177" s="19" t="str">
        <f aca="false">IF(OR(I177="",I177&lt;1,O177=""),"",O177+0)</f>
        <v/>
      </c>
      <c r="R177" s="19" t="str">
        <f aca="false">IF(OR(I177="",I177&lt;2,O177=""),"",O177+30)</f>
        <v/>
      </c>
      <c r="S177" s="19" t="str">
        <f aca="false">IF(OR(I177="",I177&lt;3,O177=""),"",O177+60)</f>
        <v/>
      </c>
      <c r="T177" s="19" t="str">
        <f aca="false">IF(OR(I177="",I177&lt;4,O177=""),"",O177+90)</f>
        <v/>
      </c>
      <c r="U177" s="19" t="str">
        <f aca="false">IF(OR(I177="",I177&lt;5,O177=""),"",O177+120)</f>
        <v/>
      </c>
      <c r="V177" s="19" t="str">
        <f aca="false">IF(OR(I177="",I177&lt;6,O177=""),"",O177+150)</f>
        <v/>
      </c>
      <c r="W177" s="19" t="str">
        <f aca="false">IF(OR(I177="",I177&lt;7,O177=""),"",O177+180)</f>
        <v/>
      </c>
      <c r="X177" s="19" t="str">
        <f aca="false">IF(OR(I177="",I177&lt;8,O177=""),"",O177+210)</f>
        <v/>
      </c>
      <c r="Y177" s="19" t="str">
        <f aca="false">IF(OR(I177="",I177&lt;9,O177=""),"",O177+240)</f>
        <v/>
      </c>
      <c r="Z177" s="19" t="str">
        <f aca="false">IF(OR(I177="",I177&lt;10,O177=""),"",O177+270)</f>
        <v/>
      </c>
      <c r="AA177" s="19" t="str">
        <f aca="false">IF(OR(I177="",I177&lt;11,O177=""),"",O177+300)</f>
        <v/>
      </c>
      <c r="AB177" s="19" t="str">
        <f aca="false">IF(OR(I177="",I177&lt;12,O177=""),"",O177+330)</f>
        <v/>
      </c>
      <c r="AC177" s="19" t="str">
        <f aca="false">IF(OR(I177="",I177&lt;13,O177=""),"",O177+360)</f>
        <v/>
      </c>
      <c r="AD177" s="19" t="str">
        <f aca="false">IF(OR(I177="",I177&lt;14,O177=""),"",O177+390)</f>
        <v/>
      </c>
      <c r="AE177" s="19" t="str">
        <f aca="false">IF(OR(I177="",I177&lt;15,O177=""),"",O177+420)</f>
        <v/>
      </c>
      <c r="AF177" s="19" t="str">
        <f aca="false">IF(OR(I177="",I177&lt;16,O177=""),"",O177+450)</f>
        <v/>
      </c>
      <c r="AG177" s="19" t="str">
        <f aca="false">IF(OR(I177="",I177&lt;17,O177=""),"",O177+480)</f>
        <v/>
      </c>
      <c r="AH177" s="19" t="str">
        <f aca="false">IF(OR(I177="",I177&lt;18,O177=""),"",O177+510)</f>
        <v/>
      </c>
      <c r="AI177" s="19" t="str">
        <f aca="false">IF(OR(I177="",I177&lt;19,O177=""),"",O177+540)</f>
        <v/>
      </c>
      <c r="AJ177" s="19" t="str">
        <f aca="false">IF(OR(I177="",I177&lt;20,O177=""),"",O177+570)</f>
        <v/>
      </c>
      <c r="AK177" s="19" t="str">
        <f aca="false">IF(OR(I177="",I177&lt;21,O177=""),"",O177+600)</f>
        <v/>
      </c>
      <c r="AL177" s="19" t="str">
        <f aca="false">IF(OR(I177="",I177&lt;22,O177=""),"",O177+630)</f>
        <v/>
      </c>
      <c r="AM177" s="19" t="str">
        <f aca="false">IF(OR(I177="",I177&lt;23,O177=""),"",O177+660)</f>
        <v/>
      </c>
      <c r="AN177" s="19" t="str">
        <f aca="false">IF(OR(I177="",I177&lt;24,O177=""),"",O177+690)</f>
        <v/>
      </c>
      <c r="AO177" s="15" t="str">
        <f aca="false">IF(J177="","",COUNTIF(Q177:AN177,TRUE())*J177)</f>
        <v/>
      </c>
      <c r="AP177" s="15" t="str">
        <f aca="false">IF(K177="","",K177-AO177)</f>
        <v/>
      </c>
      <c r="AQ177" s="15" t="str">
        <f aca="false">IF(K177="","",K177-F177-IF(N177="",0,N177))</f>
        <v/>
      </c>
    </row>
    <row r="178" customFormat="false" ht="15" hidden="false" customHeight="false" outlineLevel="0" collapsed="false">
      <c r="A178" s="4"/>
      <c r="B178" s="4"/>
      <c r="C178" s="4"/>
      <c r="D178" s="5"/>
      <c r="E178" s="5"/>
      <c r="F178" s="6"/>
      <c r="G178" s="4"/>
      <c r="H178" s="4"/>
      <c r="I178" s="4"/>
      <c r="J178" s="6"/>
      <c r="K178" s="7" t="str">
        <f aca="false">IF(OR(I178="",J178=""),"",I178*J178)</f>
        <v/>
      </c>
      <c r="L178" s="4"/>
      <c r="M178" s="8"/>
      <c r="N178" s="7" t="str">
        <f aca="false">IF(OR(L178="",M178="",K178=""),"",IF(L178="GANANCIA",(K178-F178)*M178,IF(L178="BRUTO",K178*M178,"")))</f>
        <v/>
      </c>
      <c r="O178" s="9" t="str">
        <f aca="false">IF(D178="","",D178+30)</f>
        <v/>
      </c>
      <c r="P178" s="10" t="str">
        <f aca="false">IF(I178="","",IF(COUNTIF(Q178:AN178,TRUE())&gt;=I178,"PAGADO",IF(COUNTIF(Q178:AN178,TRUE())&gt;0,"PARCIAL","VIGENTE")))</f>
        <v/>
      </c>
      <c r="Q178" s="11" t="str">
        <f aca="false">IF(OR(I178="",I178&lt;1,O178=""),"",O178+0)</f>
        <v/>
      </c>
      <c r="R178" s="11" t="str">
        <f aca="false">IF(OR(I178="",I178&lt;2,O178=""),"",O178+30)</f>
        <v/>
      </c>
      <c r="S178" s="11" t="str">
        <f aca="false">IF(OR(I178="",I178&lt;3,O178=""),"",O178+60)</f>
        <v/>
      </c>
      <c r="T178" s="11" t="str">
        <f aca="false">IF(OR(I178="",I178&lt;4,O178=""),"",O178+90)</f>
        <v/>
      </c>
      <c r="U178" s="11" t="str">
        <f aca="false">IF(OR(I178="",I178&lt;5,O178=""),"",O178+120)</f>
        <v/>
      </c>
      <c r="V178" s="11" t="str">
        <f aca="false">IF(OR(I178="",I178&lt;6,O178=""),"",O178+150)</f>
        <v/>
      </c>
      <c r="W178" s="11" t="str">
        <f aca="false">IF(OR(I178="",I178&lt;7,O178=""),"",O178+180)</f>
        <v/>
      </c>
      <c r="X178" s="11" t="str">
        <f aca="false">IF(OR(I178="",I178&lt;8,O178=""),"",O178+210)</f>
        <v/>
      </c>
      <c r="Y178" s="11" t="str">
        <f aca="false">IF(OR(I178="",I178&lt;9,O178=""),"",O178+240)</f>
        <v/>
      </c>
      <c r="Z178" s="11" t="str">
        <f aca="false">IF(OR(I178="",I178&lt;10,O178=""),"",O178+270)</f>
        <v/>
      </c>
      <c r="AA178" s="11" t="str">
        <f aca="false">IF(OR(I178="",I178&lt;11,O178=""),"",O178+300)</f>
        <v/>
      </c>
      <c r="AB178" s="11" t="str">
        <f aca="false">IF(OR(I178="",I178&lt;12,O178=""),"",O178+330)</f>
        <v/>
      </c>
      <c r="AC178" s="11" t="str">
        <f aca="false">IF(OR(I178="",I178&lt;13,O178=""),"",O178+360)</f>
        <v/>
      </c>
      <c r="AD178" s="11" t="str">
        <f aca="false">IF(OR(I178="",I178&lt;14,O178=""),"",O178+390)</f>
        <v/>
      </c>
      <c r="AE178" s="11" t="str">
        <f aca="false">IF(OR(I178="",I178&lt;15,O178=""),"",O178+420)</f>
        <v/>
      </c>
      <c r="AF178" s="11" t="str">
        <f aca="false">IF(OR(I178="",I178&lt;16,O178=""),"",O178+450)</f>
        <v/>
      </c>
      <c r="AG178" s="11" t="str">
        <f aca="false">IF(OR(I178="",I178&lt;17,O178=""),"",O178+480)</f>
        <v/>
      </c>
      <c r="AH178" s="11" t="str">
        <f aca="false">IF(OR(I178="",I178&lt;18,O178=""),"",O178+510)</f>
        <v/>
      </c>
      <c r="AI178" s="11" t="str">
        <f aca="false">IF(OR(I178="",I178&lt;19,O178=""),"",O178+540)</f>
        <v/>
      </c>
      <c r="AJ178" s="11" t="str">
        <f aca="false">IF(OR(I178="",I178&lt;20,O178=""),"",O178+570)</f>
        <v/>
      </c>
      <c r="AK178" s="11" t="str">
        <f aca="false">IF(OR(I178="",I178&lt;21,O178=""),"",O178+600)</f>
        <v/>
      </c>
      <c r="AL178" s="11" t="str">
        <f aca="false">IF(OR(I178="",I178&lt;22,O178=""),"",O178+630)</f>
        <v/>
      </c>
      <c r="AM178" s="11" t="str">
        <f aca="false">IF(OR(I178="",I178&lt;23,O178=""),"",O178+660)</f>
        <v/>
      </c>
      <c r="AN178" s="11" t="str">
        <f aca="false">IF(OR(I178="",I178&lt;24,O178=""),"",O178+690)</f>
        <v/>
      </c>
      <c r="AO178" s="7" t="str">
        <f aca="false">IF(J178="","",COUNTIF(Q178:AN178,TRUE())*J178)</f>
        <v/>
      </c>
      <c r="AP178" s="7" t="str">
        <f aca="false">IF(K178="","",K178-AO178)</f>
        <v/>
      </c>
      <c r="AQ178" s="7" t="str">
        <f aca="false">IF(K178="","",K178-F178-IF(N178="",0,N178))</f>
        <v/>
      </c>
    </row>
    <row r="179" customFormat="false" ht="15" hidden="false" customHeight="false" outlineLevel="0" collapsed="false">
      <c r="A179" s="12"/>
      <c r="B179" s="12"/>
      <c r="C179" s="12"/>
      <c r="D179" s="13"/>
      <c r="E179" s="13"/>
      <c r="F179" s="14"/>
      <c r="G179" s="12"/>
      <c r="H179" s="12"/>
      <c r="I179" s="12"/>
      <c r="J179" s="14"/>
      <c r="K179" s="15" t="str">
        <f aca="false">IF(OR(I179="",J179=""),"",I179*J179)</f>
        <v/>
      </c>
      <c r="L179" s="12"/>
      <c r="M179" s="16"/>
      <c r="N179" s="15" t="str">
        <f aca="false">IF(OR(L179="",M179="",K179=""),"",IF(L179="GANANCIA",(K179-F179)*M179,IF(L179="BRUTO",K179*M179,"")))</f>
        <v/>
      </c>
      <c r="O179" s="17" t="str">
        <f aca="false">IF(D179="","",D179+30)</f>
        <v/>
      </c>
      <c r="P179" s="18" t="str">
        <f aca="false">IF(I179="","",IF(COUNTIF(Q179:AN179,TRUE())&gt;=I179,"PAGADO",IF(COUNTIF(Q179:AN179,TRUE())&gt;0,"PARCIAL","VIGENTE")))</f>
        <v/>
      </c>
      <c r="Q179" s="19" t="str">
        <f aca="false">IF(OR(I179="",I179&lt;1,O179=""),"",O179+0)</f>
        <v/>
      </c>
      <c r="R179" s="19" t="str">
        <f aca="false">IF(OR(I179="",I179&lt;2,O179=""),"",O179+30)</f>
        <v/>
      </c>
      <c r="S179" s="19" t="str">
        <f aca="false">IF(OR(I179="",I179&lt;3,O179=""),"",O179+60)</f>
        <v/>
      </c>
      <c r="T179" s="19" t="str">
        <f aca="false">IF(OR(I179="",I179&lt;4,O179=""),"",O179+90)</f>
        <v/>
      </c>
      <c r="U179" s="19" t="str">
        <f aca="false">IF(OR(I179="",I179&lt;5,O179=""),"",O179+120)</f>
        <v/>
      </c>
      <c r="V179" s="19" t="str">
        <f aca="false">IF(OR(I179="",I179&lt;6,O179=""),"",O179+150)</f>
        <v/>
      </c>
      <c r="W179" s="19" t="str">
        <f aca="false">IF(OR(I179="",I179&lt;7,O179=""),"",O179+180)</f>
        <v/>
      </c>
      <c r="X179" s="19" t="str">
        <f aca="false">IF(OR(I179="",I179&lt;8,O179=""),"",O179+210)</f>
        <v/>
      </c>
      <c r="Y179" s="19" t="str">
        <f aca="false">IF(OR(I179="",I179&lt;9,O179=""),"",O179+240)</f>
        <v/>
      </c>
      <c r="Z179" s="19" t="str">
        <f aca="false">IF(OR(I179="",I179&lt;10,O179=""),"",O179+270)</f>
        <v/>
      </c>
      <c r="AA179" s="19" t="str">
        <f aca="false">IF(OR(I179="",I179&lt;11,O179=""),"",O179+300)</f>
        <v/>
      </c>
      <c r="AB179" s="19" t="str">
        <f aca="false">IF(OR(I179="",I179&lt;12,O179=""),"",O179+330)</f>
        <v/>
      </c>
      <c r="AC179" s="19" t="str">
        <f aca="false">IF(OR(I179="",I179&lt;13,O179=""),"",O179+360)</f>
        <v/>
      </c>
      <c r="AD179" s="19" t="str">
        <f aca="false">IF(OR(I179="",I179&lt;14,O179=""),"",O179+390)</f>
        <v/>
      </c>
      <c r="AE179" s="19" t="str">
        <f aca="false">IF(OR(I179="",I179&lt;15,O179=""),"",O179+420)</f>
        <v/>
      </c>
      <c r="AF179" s="19" t="str">
        <f aca="false">IF(OR(I179="",I179&lt;16,O179=""),"",O179+450)</f>
        <v/>
      </c>
      <c r="AG179" s="19" t="str">
        <f aca="false">IF(OR(I179="",I179&lt;17,O179=""),"",O179+480)</f>
        <v/>
      </c>
      <c r="AH179" s="19" t="str">
        <f aca="false">IF(OR(I179="",I179&lt;18,O179=""),"",O179+510)</f>
        <v/>
      </c>
      <c r="AI179" s="19" t="str">
        <f aca="false">IF(OR(I179="",I179&lt;19,O179=""),"",O179+540)</f>
        <v/>
      </c>
      <c r="AJ179" s="19" t="str">
        <f aca="false">IF(OR(I179="",I179&lt;20,O179=""),"",O179+570)</f>
        <v/>
      </c>
      <c r="AK179" s="19" t="str">
        <f aca="false">IF(OR(I179="",I179&lt;21,O179=""),"",O179+600)</f>
        <v/>
      </c>
      <c r="AL179" s="19" t="str">
        <f aca="false">IF(OR(I179="",I179&lt;22,O179=""),"",O179+630)</f>
        <v/>
      </c>
      <c r="AM179" s="19" t="str">
        <f aca="false">IF(OR(I179="",I179&lt;23,O179=""),"",O179+660)</f>
        <v/>
      </c>
      <c r="AN179" s="19" t="str">
        <f aca="false">IF(OR(I179="",I179&lt;24,O179=""),"",O179+690)</f>
        <v/>
      </c>
      <c r="AO179" s="15" t="str">
        <f aca="false">IF(J179="","",COUNTIF(Q179:AN179,TRUE())*J179)</f>
        <v/>
      </c>
      <c r="AP179" s="15" t="str">
        <f aca="false">IF(K179="","",K179-AO179)</f>
        <v/>
      </c>
      <c r="AQ179" s="15" t="str">
        <f aca="false">IF(K179="","",K179-F179-IF(N179="",0,N179))</f>
        <v/>
      </c>
    </row>
    <row r="180" customFormat="false" ht="15" hidden="false" customHeight="false" outlineLevel="0" collapsed="false">
      <c r="A180" s="4"/>
      <c r="B180" s="4"/>
      <c r="C180" s="4"/>
      <c r="D180" s="5"/>
      <c r="E180" s="5"/>
      <c r="F180" s="6"/>
      <c r="G180" s="4"/>
      <c r="H180" s="4"/>
      <c r="I180" s="4"/>
      <c r="J180" s="6"/>
      <c r="K180" s="7" t="str">
        <f aca="false">IF(OR(I180="",J180=""),"",I180*J180)</f>
        <v/>
      </c>
      <c r="L180" s="4"/>
      <c r="M180" s="8"/>
      <c r="N180" s="7" t="str">
        <f aca="false">IF(OR(L180="",M180="",K180=""),"",IF(L180="GANANCIA",(K180-F180)*M180,IF(L180="BRUTO",K180*M180,"")))</f>
        <v/>
      </c>
      <c r="O180" s="9" t="str">
        <f aca="false">IF(D180="","",D180+30)</f>
        <v/>
      </c>
      <c r="P180" s="10" t="str">
        <f aca="false">IF(I180="","",IF(COUNTIF(Q180:AN180,TRUE())&gt;=I180,"PAGADO",IF(COUNTIF(Q180:AN180,TRUE())&gt;0,"PARCIAL","VIGENTE")))</f>
        <v/>
      </c>
      <c r="Q180" s="11" t="str">
        <f aca="false">IF(OR(I180="",I180&lt;1,O180=""),"",O180+0)</f>
        <v/>
      </c>
      <c r="R180" s="11" t="str">
        <f aca="false">IF(OR(I180="",I180&lt;2,O180=""),"",O180+30)</f>
        <v/>
      </c>
      <c r="S180" s="11" t="str">
        <f aca="false">IF(OR(I180="",I180&lt;3,O180=""),"",O180+60)</f>
        <v/>
      </c>
      <c r="T180" s="11" t="str">
        <f aca="false">IF(OR(I180="",I180&lt;4,O180=""),"",O180+90)</f>
        <v/>
      </c>
      <c r="U180" s="11" t="str">
        <f aca="false">IF(OR(I180="",I180&lt;5,O180=""),"",O180+120)</f>
        <v/>
      </c>
      <c r="V180" s="11" t="str">
        <f aca="false">IF(OR(I180="",I180&lt;6,O180=""),"",O180+150)</f>
        <v/>
      </c>
      <c r="W180" s="11" t="str">
        <f aca="false">IF(OR(I180="",I180&lt;7,O180=""),"",O180+180)</f>
        <v/>
      </c>
      <c r="X180" s="11" t="str">
        <f aca="false">IF(OR(I180="",I180&lt;8,O180=""),"",O180+210)</f>
        <v/>
      </c>
      <c r="Y180" s="11" t="str">
        <f aca="false">IF(OR(I180="",I180&lt;9,O180=""),"",O180+240)</f>
        <v/>
      </c>
      <c r="Z180" s="11" t="str">
        <f aca="false">IF(OR(I180="",I180&lt;10,O180=""),"",O180+270)</f>
        <v/>
      </c>
      <c r="AA180" s="11" t="str">
        <f aca="false">IF(OR(I180="",I180&lt;11,O180=""),"",O180+300)</f>
        <v/>
      </c>
      <c r="AB180" s="11" t="str">
        <f aca="false">IF(OR(I180="",I180&lt;12,O180=""),"",O180+330)</f>
        <v/>
      </c>
      <c r="AC180" s="11" t="str">
        <f aca="false">IF(OR(I180="",I180&lt;13,O180=""),"",O180+360)</f>
        <v/>
      </c>
      <c r="AD180" s="11" t="str">
        <f aca="false">IF(OR(I180="",I180&lt;14,O180=""),"",O180+390)</f>
        <v/>
      </c>
      <c r="AE180" s="11" t="str">
        <f aca="false">IF(OR(I180="",I180&lt;15,O180=""),"",O180+420)</f>
        <v/>
      </c>
      <c r="AF180" s="11" t="str">
        <f aca="false">IF(OR(I180="",I180&lt;16,O180=""),"",O180+450)</f>
        <v/>
      </c>
      <c r="AG180" s="11" t="str">
        <f aca="false">IF(OR(I180="",I180&lt;17,O180=""),"",O180+480)</f>
        <v/>
      </c>
      <c r="AH180" s="11" t="str">
        <f aca="false">IF(OR(I180="",I180&lt;18,O180=""),"",O180+510)</f>
        <v/>
      </c>
      <c r="AI180" s="11" t="str">
        <f aca="false">IF(OR(I180="",I180&lt;19,O180=""),"",O180+540)</f>
        <v/>
      </c>
      <c r="AJ180" s="11" t="str">
        <f aca="false">IF(OR(I180="",I180&lt;20,O180=""),"",O180+570)</f>
        <v/>
      </c>
      <c r="AK180" s="11" t="str">
        <f aca="false">IF(OR(I180="",I180&lt;21,O180=""),"",O180+600)</f>
        <v/>
      </c>
      <c r="AL180" s="11" t="str">
        <f aca="false">IF(OR(I180="",I180&lt;22,O180=""),"",O180+630)</f>
        <v/>
      </c>
      <c r="AM180" s="11" t="str">
        <f aca="false">IF(OR(I180="",I180&lt;23,O180=""),"",O180+660)</f>
        <v/>
      </c>
      <c r="AN180" s="11" t="str">
        <f aca="false">IF(OR(I180="",I180&lt;24,O180=""),"",O180+690)</f>
        <v/>
      </c>
      <c r="AO180" s="7" t="str">
        <f aca="false">IF(J180="","",COUNTIF(Q180:AN180,TRUE())*J180)</f>
        <v/>
      </c>
      <c r="AP180" s="7" t="str">
        <f aca="false">IF(K180="","",K180-AO180)</f>
        <v/>
      </c>
      <c r="AQ180" s="7" t="str">
        <f aca="false">IF(K180="","",K180-F180-IF(N180="",0,N180))</f>
        <v/>
      </c>
    </row>
    <row r="181" customFormat="false" ht="15" hidden="false" customHeight="false" outlineLevel="0" collapsed="false">
      <c r="A181" s="12"/>
      <c r="B181" s="12"/>
      <c r="C181" s="12"/>
      <c r="D181" s="13"/>
      <c r="E181" s="13"/>
      <c r="F181" s="14"/>
      <c r="G181" s="12"/>
      <c r="H181" s="12"/>
      <c r="I181" s="12"/>
      <c r="J181" s="14"/>
      <c r="K181" s="15" t="str">
        <f aca="false">IF(OR(I181="",J181=""),"",I181*J181)</f>
        <v/>
      </c>
      <c r="L181" s="12"/>
      <c r="M181" s="16"/>
      <c r="N181" s="15" t="str">
        <f aca="false">IF(OR(L181="",M181="",K181=""),"",IF(L181="GANANCIA",(K181-F181)*M181,IF(L181="BRUTO",K181*M181,"")))</f>
        <v/>
      </c>
      <c r="O181" s="17" t="str">
        <f aca="false">IF(D181="","",D181+30)</f>
        <v/>
      </c>
      <c r="P181" s="18" t="str">
        <f aca="false">IF(I181="","",IF(COUNTIF(Q181:AN181,TRUE())&gt;=I181,"PAGADO",IF(COUNTIF(Q181:AN181,TRUE())&gt;0,"PARCIAL","VIGENTE")))</f>
        <v/>
      </c>
      <c r="Q181" s="19" t="str">
        <f aca="false">IF(OR(I181="",I181&lt;1,O181=""),"",O181+0)</f>
        <v/>
      </c>
      <c r="R181" s="19" t="str">
        <f aca="false">IF(OR(I181="",I181&lt;2,O181=""),"",O181+30)</f>
        <v/>
      </c>
      <c r="S181" s="19" t="str">
        <f aca="false">IF(OR(I181="",I181&lt;3,O181=""),"",O181+60)</f>
        <v/>
      </c>
      <c r="T181" s="19" t="str">
        <f aca="false">IF(OR(I181="",I181&lt;4,O181=""),"",O181+90)</f>
        <v/>
      </c>
      <c r="U181" s="19" t="str">
        <f aca="false">IF(OR(I181="",I181&lt;5,O181=""),"",O181+120)</f>
        <v/>
      </c>
      <c r="V181" s="19" t="str">
        <f aca="false">IF(OR(I181="",I181&lt;6,O181=""),"",O181+150)</f>
        <v/>
      </c>
      <c r="W181" s="19" t="str">
        <f aca="false">IF(OR(I181="",I181&lt;7,O181=""),"",O181+180)</f>
        <v/>
      </c>
      <c r="X181" s="19" t="str">
        <f aca="false">IF(OR(I181="",I181&lt;8,O181=""),"",O181+210)</f>
        <v/>
      </c>
      <c r="Y181" s="19" t="str">
        <f aca="false">IF(OR(I181="",I181&lt;9,O181=""),"",O181+240)</f>
        <v/>
      </c>
      <c r="Z181" s="19" t="str">
        <f aca="false">IF(OR(I181="",I181&lt;10,O181=""),"",O181+270)</f>
        <v/>
      </c>
      <c r="AA181" s="19" t="str">
        <f aca="false">IF(OR(I181="",I181&lt;11,O181=""),"",O181+300)</f>
        <v/>
      </c>
      <c r="AB181" s="19" t="str">
        <f aca="false">IF(OR(I181="",I181&lt;12,O181=""),"",O181+330)</f>
        <v/>
      </c>
      <c r="AC181" s="19" t="str">
        <f aca="false">IF(OR(I181="",I181&lt;13,O181=""),"",O181+360)</f>
        <v/>
      </c>
      <c r="AD181" s="19" t="str">
        <f aca="false">IF(OR(I181="",I181&lt;14,O181=""),"",O181+390)</f>
        <v/>
      </c>
      <c r="AE181" s="19" t="str">
        <f aca="false">IF(OR(I181="",I181&lt;15,O181=""),"",O181+420)</f>
        <v/>
      </c>
      <c r="AF181" s="19" t="str">
        <f aca="false">IF(OR(I181="",I181&lt;16,O181=""),"",O181+450)</f>
        <v/>
      </c>
      <c r="AG181" s="19" t="str">
        <f aca="false">IF(OR(I181="",I181&lt;17,O181=""),"",O181+480)</f>
        <v/>
      </c>
      <c r="AH181" s="19" t="str">
        <f aca="false">IF(OR(I181="",I181&lt;18,O181=""),"",O181+510)</f>
        <v/>
      </c>
      <c r="AI181" s="19" t="str">
        <f aca="false">IF(OR(I181="",I181&lt;19,O181=""),"",O181+540)</f>
        <v/>
      </c>
      <c r="AJ181" s="19" t="str">
        <f aca="false">IF(OR(I181="",I181&lt;20,O181=""),"",O181+570)</f>
        <v/>
      </c>
      <c r="AK181" s="19" t="str">
        <f aca="false">IF(OR(I181="",I181&lt;21,O181=""),"",O181+600)</f>
        <v/>
      </c>
      <c r="AL181" s="19" t="str">
        <f aca="false">IF(OR(I181="",I181&lt;22,O181=""),"",O181+630)</f>
        <v/>
      </c>
      <c r="AM181" s="19" t="str">
        <f aca="false">IF(OR(I181="",I181&lt;23,O181=""),"",O181+660)</f>
        <v/>
      </c>
      <c r="AN181" s="19" t="str">
        <f aca="false">IF(OR(I181="",I181&lt;24,O181=""),"",O181+690)</f>
        <v/>
      </c>
      <c r="AO181" s="15" t="str">
        <f aca="false">IF(J181="","",COUNTIF(Q181:AN181,TRUE())*J181)</f>
        <v/>
      </c>
      <c r="AP181" s="15" t="str">
        <f aca="false">IF(K181="","",K181-AO181)</f>
        <v/>
      </c>
      <c r="AQ181" s="15" t="str">
        <f aca="false">IF(K181="","",K181-F181-IF(N181="",0,N181))</f>
        <v/>
      </c>
    </row>
    <row r="182" customFormat="false" ht="15" hidden="false" customHeight="false" outlineLevel="0" collapsed="false">
      <c r="A182" s="4"/>
      <c r="B182" s="4"/>
      <c r="C182" s="4"/>
      <c r="D182" s="5"/>
      <c r="E182" s="5"/>
      <c r="F182" s="6"/>
      <c r="G182" s="4"/>
      <c r="H182" s="4"/>
      <c r="I182" s="4"/>
      <c r="J182" s="6"/>
      <c r="K182" s="7" t="str">
        <f aca="false">IF(OR(I182="",J182=""),"",I182*J182)</f>
        <v/>
      </c>
      <c r="L182" s="4"/>
      <c r="M182" s="8"/>
      <c r="N182" s="7" t="str">
        <f aca="false">IF(OR(L182="",M182="",K182=""),"",IF(L182="GANANCIA",(K182-F182)*M182,IF(L182="BRUTO",K182*M182,"")))</f>
        <v/>
      </c>
      <c r="O182" s="9" t="str">
        <f aca="false">IF(D182="","",D182+30)</f>
        <v/>
      </c>
      <c r="P182" s="10" t="str">
        <f aca="false">IF(I182="","",IF(COUNTIF(Q182:AN182,TRUE())&gt;=I182,"PAGADO",IF(COUNTIF(Q182:AN182,TRUE())&gt;0,"PARCIAL","VIGENTE")))</f>
        <v/>
      </c>
      <c r="Q182" s="11" t="str">
        <f aca="false">IF(OR(I182="",I182&lt;1,O182=""),"",O182+0)</f>
        <v/>
      </c>
      <c r="R182" s="11" t="str">
        <f aca="false">IF(OR(I182="",I182&lt;2,O182=""),"",O182+30)</f>
        <v/>
      </c>
      <c r="S182" s="11" t="str">
        <f aca="false">IF(OR(I182="",I182&lt;3,O182=""),"",O182+60)</f>
        <v/>
      </c>
      <c r="T182" s="11" t="str">
        <f aca="false">IF(OR(I182="",I182&lt;4,O182=""),"",O182+90)</f>
        <v/>
      </c>
      <c r="U182" s="11" t="str">
        <f aca="false">IF(OR(I182="",I182&lt;5,O182=""),"",O182+120)</f>
        <v/>
      </c>
      <c r="V182" s="11" t="str">
        <f aca="false">IF(OR(I182="",I182&lt;6,O182=""),"",O182+150)</f>
        <v/>
      </c>
      <c r="W182" s="11" t="str">
        <f aca="false">IF(OR(I182="",I182&lt;7,O182=""),"",O182+180)</f>
        <v/>
      </c>
      <c r="X182" s="11" t="str">
        <f aca="false">IF(OR(I182="",I182&lt;8,O182=""),"",O182+210)</f>
        <v/>
      </c>
      <c r="Y182" s="11" t="str">
        <f aca="false">IF(OR(I182="",I182&lt;9,O182=""),"",O182+240)</f>
        <v/>
      </c>
      <c r="Z182" s="11" t="str">
        <f aca="false">IF(OR(I182="",I182&lt;10,O182=""),"",O182+270)</f>
        <v/>
      </c>
      <c r="AA182" s="11" t="str">
        <f aca="false">IF(OR(I182="",I182&lt;11,O182=""),"",O182+300)</f>
        <v/>
      </c>
      <c r="AB182" s="11" t="str">
        <f aca="false">IF(OR(I182="",I182&lt;12,O182=""),"",O182+330)</f>
        <v/>
      </c>
      <c r="AC182" s="11" t="str">
        <f aca="false">IF(OR(I182="",I182&lt;13,O182=""),"",O182+360)</f>
        <v/>
      </c>
      <c r="AD182" s="11" t="str">
        <f aca="false">IF(OR(I182="",I182&lt;14,O182=""),"",O182+390)</f>
        <v/>
      </c>
      <c r="AE182" s="11" t="str">
        <f aca="false">IF(OR(I182="",I182&lt;15,O182=""),"",O182+420)</f>
        <v/>
      </c>
      <c r="AF182" s="11" t="str">
        <f aca="false">IF(OR(I182="",I182&lt;16,O182=""),"",O182+450)</f>
        <v/>
      </c>
      <c r="AG182" s="11" t="str">
        <f aca="false">IF(OR(I182="",I182&lt;17,O182=""),"",O182+480)</f>
        <v/>
      </c>
      <c r="AH182" s="11" t="str">
        <f aca="false">IF(OR(I182="",I182&lt;18,O182=""),"",O182+510)</f>
        <v/>
      </c>
      <c r="AI182" s="11" t="str">
        <f aca="false">IF(OR(I182="",I182&lt;19,O182=""),"",O182+540)</f>
        <v/>
      </c>
      <c r="AJ182" s="11" t="str">
        <f aca="false">IF(OR(I182="",I182&lt;20,O182=""),"",O182+570)</f>
        <v/>
      </c>
      <c r="AK182" s="11" t="str">
        <f aca="false">IF(OR(I182="",I182&lt;21,O182=""),"",O182+600)</f>
        <v/>
      </c>
      <c r="AL182" s="11" t="str">
        <f aca="false">IF(OR(I182="",I182&lt;22,O182=""),"",O182+630)</f>
        <v/>
      </c>
      <c r="AM182" s="11" t="str">
        <f aca="false">IF(OR(I182="",I182&lt;23,O182=""),"",O182+660)</f>
        <v/>
      </c>
      <c r="AN182" s="11" t="str">
        <f aca="false">IF(OR(I182="",I182&lt;24,O182=""),"",O182+690)</f>
        <v/>
      </c>
      <c r="AO182" s="7" t="str">
        <f aca="false">IF(J182="","",COUNTIF(Q182:AN182,TRUE())*J182)</f>
        <v/>
      </c>
      <c r="AP182" s="7" t="str">
        <f aca="false">IF(K182="","",K182-AO182)</f>
        <v/>
      </c>
      <c r="AQ182" s="7" t="str">
        <f aca="false">IF(K182="","",K182-F182-IF(N182="",0,N182))</f>
        <v/>
      </c>
    </row>
    <row r="183" customFormat="false" ht="15" hidden="false" customHeight="false" outlineLevel="0" collapsed="false">
      <c r="A183" s="12"/>
      <c r="B183" s="12"/>
      <c r="C183" s="12"/>
      <c r="D183" s="13"/>
      <c r="E183" s="13"/>
      <c r="F183" s="14"/>
      <c r="G183" s="12"/>
      <c r="H183" s="12"/>
      <c r="I183" s="12"/>
      <c r="J183" s="14"/>
      <c r="K183" s="15" t="str">
        <f aca="false">IF(OR(I183="",J183=""),"",I183*J183)</f>
        <v/>
      </c>
      <c r="L183" s="12"/>
      <c r="M183" s="16"/>
      <c r="N183" s="15" t="str">
        <f aca="false">IF(OR(L183="",M183="",K183=""),"",IF(L183="GANANCIA",(K183-F183)*M183,IF(L183="BRUTO",K183*M183,"")))</f>
        <v/>
      </c>
      <c r="O183" s="17" t="str">
        <f aca="false">IF(D183="","",D183+30)</f>
        <v/>
      </c>
      <c r="P183" s="18" t="str">
        <f aca="false">IF(I183="","",IF(COUNTIF(Q183:AN183,TRUE())&gt;=I183,"PAGADO",IF(COUNTIF(Q183:AN183,TRUE())&gt;0,"PARCIAL","VIGENTE")))</f>
        <v/>
      </c>
      <c r="Q183" s="19" t="str">
        <f aca="false">IF(OR(I183="",I183&lt;1,O183=""),"",O183+0)</f>
        <v/>
      </c>
      <c r="R183" s="19" t="str">
        <f aca="false">IF(OR(I183="",I183&lt;2,O183=""),"",O183+30)</f>
        <v/>
      </c>
      <c r="S183" s="19" t="str">
        <f aca="false">IF(OR(I183="",I183&lt;3,O183=""),"",O183+60)</f>
        <v/>
      </c>
      <c r="T183" s="19" t="str">
        <f aca="false">IF(OR(I183="",I183&lt;4,O183=""),"",O183+90)</f>
        <v/>
      </c>
      <c r="U183" s="19" t="str">
        <f aca="false">IF(OR(I183="",I183&lt;5,O183=""),"",O183+120)</f>
        <v/>
      </c>
      <c r="V183" s="19" t="str">
        <f aca="false">IF(OR(I183="",I183&lt;6,O183=""),"",O183+150)</f>
        <v/>
      </c>
      <c r="W183" s="19" t="str">
        <f aca="false">IF(OR(I183="",I183&lt;7,O183=""),"",O183+180)</f>
        <v/>
      </c>
      <c r="X183" s="19" t="str">
        <f aca="false">IF(OR(I183="",I183&lt;8,O183=""),"",O183+210)</f>
        <v/>
      </c>
      <c r="Y183" s="19" t="str">
        <f aca="false">IF(OR(I183="",I183&lt;9,O183=""),"",O183+240)</f>
        <v/>
      </c>
      <c r="Z183" s="19" t="str">
        <f aca="false">IF(OR(I183="",I183&lt;10,O183=""),"",O183+270)</f>
        <v/>
      </c>
      <c r="AA183" s="19" t="str">
        <f aca="false">IF(OR(I183="",I183&lt;11,O183=""),"",O183+300)</f>
        <v/>
      </c>
      <c r="AB183" s="19" t="str">
        <f aca="false">IF(OR(I183="",I183&lt;12,O183=""),"",O183+330)</f>
        <v/>
      </c>
      <c r="AC183" s="19" t="str">
        <f aca="false">IF(OR(I183="",I183&lt;13,O183=""),"",O183+360)</f>
        <v/>
      </c>
      <c r="AD183" s="19" t="str">
        <f aca="false">IF(OR(I183="",I183&lt;14,O183=""),"",O183+390)</f>
        <v/>
      </c>
      <c r="AE183" s="19" t="str">
        <f aca="false">IF(OR(I183="",I183&lt;15,O183=""),"",O183+420)</f>
        <v/>
      </c>
      <c r="AF183" s="19" t="str">
        <f aca="false">IF(OR(I183="",I183&lt;16,O183=""),"",O183+450)</f>
        <v/>
      </c>
      <c r="AG183" s="19" t="str">
        <f aca="false">IF(OR(I183="",I183&lt;17,O183=""),"",O183+480)</f>
        <v/>
      </c>
      <c r="AH183" s="19" t="str">
        <f aca="false">IF(OR(I183="",I183&lt;18,O183=""),"",O183+510)</f>
        <v/>
      </c>
      <c r="AI183" s="19" t="str">
        <f aca="false">IF(OR(I183="",I183&lt;19,O183=""),"",O183+540)</f>
        <v/>
      </c>
      <c r="AJ183" s="19" t="str">
        <f aca="false">IF(OR(I183="",I183&lt;20,O183=""),"",O183+570)</f>
        <v/>
      </c>
      <c r="AK183" s="19" t="str">
        <f aca="false">IF(OR(I183="",I183&lt;21,O183=""),"",O183+600)</f>
        <v/>
      </c>
      <c r="AL183" s="19" t="str">
        <f aca="false">IF(OR(I183="",I183&lt;22,O183=""),"",O183+630)</f>
        <v/>
      </c>
      <c r="AM183" s="19" t="str">
        <f aca="false">IF(OR(I183="",I183&lt;23,O183=""),"",O183+660)</f>
        <v/>
      </c>
      <c r="AN183" s="19" t="str">
        <f aca="false">IF(OR(I183="",I183&lt;24,O183=""),"",O183+690)</f>
        <v/>
      </c>
      <c r="AO183" s="15" t="str">
        <f aca="false">IF(J183="","",COUNTIF(Q183:AN183,TRUE())*J183)</f>
        <v/>
      </c>
      <c r="AP183" s="15" t="str">
        <f aca="false">IF(K183="","",K183-AO183)</f>
        <v/>
      </c>
      <c r="AQ183" s="15" t="str">
        <f aca="false">IF(K183="","",K183-F183-IF(N183="",0,N183))</f>
        <v/>
      </c>
    </row>
    <row r="184" customFormat="false" ht="15" hidden="false" customHeight="false" outlineLevel="0" collapsed="false">
      <c r="A184" s="4"/>
      <c r="B184" s="4"/>
      <c r="C184" s="4"/>
      <c r="D184" s="5"/>
      <c r="E184" s="5"/>
      <c r="F184" s="6"/>
      <c r="G184" s="4"/>
      <c r="H184" s="4"/>
      <c r="I184" s="4"/>
      <c r="J184" s="6"/>
      <c r="K184" s="7" t="str">
        <f aca="false">IF(OR(I184="",J184=""),"",I184*J184)</f>
        <v/>
      </c>
      <c r="L184" s="4"/>
      <c r="M184" s="8"/>
      <c r="N184" s="7" t="str">
        <f aca="false">IF(OR(L184="",M184="",K184=""),"",IF(L184="GANANCIA",(K184-F184)*M184,IF(L184="BRUTO",K184*M184,"")))</f>
        <v/>
      </c>
      <c r="O184" s="9" t="str">
        <f aca="false">IF(D184="","",D184+30)</f>
        <v/>
      </c>
      <c r="P184" s="10" t="str">
        <f aca="false">IF(I184="","",IF(COUNTIF(Q184:AN184,TRUE())&gt;=I184,"PAGADO",IF(COUNTIF(Q184:AN184,TRUE())&gt;0,"PARCIAL","VIGENTE")))</f>
        <v/>
      </c>
      <c r="Q184" s="11" t="str">
        <f aca="false">IF(OR(I184="",I184&lt;1,O184=""),"",O184+0)</f>
        <v/>
      </c>
      <c r="R184" s="11" t="str">
        <f aca="false">IF(OR(I184="",I184&lt;2,O184=""),"",O184+30)</f>
        <v/>
      </c>
      <c r="S184" s="11" t="str">
        <f aca="false">IF(OR(I184="",I184&lt;3,O184=""),"",O184+60)</f>
        <v/>
      </c>
      <c r="T184" s="11" t="str">
        <f aca="false">IF(OR(I184="",I184&lt;4,O184=""),"",O184+90)</f>
        <v/>
      </c>
      <c r="U184" s="11" t="str">
        <f aca="false">IF(OR(I184="",I184&lt;5,O184=""),"",O184+120)</f>
        <v/>
      </c>
      <c r="V184" s="11" t="str">
        <f aca="false">IF(OR(I184="",I184&lt;6,O184=""),"",O184+150)</f>
        <v/>
      </c>
      <c r="W184" s="11" t="str">
        <f aca="false">IF(OR(I184="",I184&lt;7,O184=""),"",O184+180)</f>
        <v/>
      </c>
      <c r="X184" s="11" t="str">
        <f aca="false">IF(OR(I184="",I184&lt;8,O184=""),"",O184+210)</f>
        <v/>
      </c>
      <c r="Y184" s="11" t="str">
        <f aca="false">IF(OR(I184="",I184&lt;9,O184=""),"",O184+240)</f>
        <v/>
      </c>
      <c r="Z184" s="11" t="str">
        <f aca="false">IF(OR(I184="",I184&lt;10,O184=""),"",O184+270)</f>
        <v/>
      </c>
      <c r="AA184" s="11" t="str">
        <f aca="false">IF(OR(I184="",I184&lt;11,O184=""),"",O184+300)</f>
        <v/>
      </c>
      <c r="AB184" s="11" t="str">
        <f aca="false">IF(OR(I184="",I184&lt;12,O184=""),"",O184+330)</f>
        <v/>
      </c>
      <c r="AC184" s="11" t="str">
        <f aca="false">IF(OR(I184="",I184&lt;13,O184=""),"",O184+360)</f>
        <v/>
      </c>
      <c r="AD184" s="11" t="str">
        <f aca="false">IF(OR(I184="",I184&lt;14,O184=""),"",O184+390)</f>
        <v/>
      </c>
      <c r="AE184" s="11" t="str">
        <f aca="false">IF(OR(I184="",I184&lt;15,O184=""),"",O184+420)</f>
        <v/>
      </c>
      <c r="AF184" s="11" t="str">
        <f aca="false">IF(OR(I184="",I184&lt;16,O184=""),"",O184+450)</f>
        <v/>
      </c>
      <c r="AG184" s="11" t="str">
        <f aca="false">IF(OR(I184="",I184&lt;17,O184=""),"",O184+480)</f>
        <v/>
      </c>
      <c r="AH184" s="11" t="str">
        <f aca="false">IF(OR(I184="",I184&lt;18,O184=""),"",O184+510)</f>
        <v/>
      </c>
      <c r="AI184" s="11" t="str">
        <f aca="false">IF(OR(I184="",I184&lt;19,O184=""),"",O184+540)</f>
        <v/>
      </c>
      <c r="AJ184" s="11" t="str">
        <f aca="false">IF(OR(I184="",I184&lt;20,O184=""),"",O184+570)</f>
        <v/>
      </c>
      <c r="AK184" s="11" t="str">
        <f aca="false">IF(OR(I184="",I184&lt;21,O184=""),"",O184+600)</f>
        <v/>
      </c>
      <c r="AL184" s="11" t="str">
        <f aca="false">IF(OR(I184="",I184&lt;22,O184=""),"",O184+630)</f>
        <v/>
      </c>
      <c r="AM184" s="11" t="str">
        <f aca="false">IF(OR(I184="",I184&lt;23,O184=""),"",O184+660)</f>
        <v/>
      </c>
      <c r="AN184" s="11" t="str">
        <f aca="false">IF(OR(I184="",I184&lt;24,O184=""),"",O184+690)</f>
        <v/>
      </c>
      <c r="AO184" s="7" t="str">
        <f aca="false">IF(J184="","",COUNTIF(Q184:AN184,TRUE())*J184)</f>
        <v/>
      </c>
      <c r="AP184" s="7" t="str">
        <f aca="false">IF(K184="","",K184-AO184)</f>
        <v/>
      </c>
      <c r="AQ184" s="7" t="str">
        <f aca="false">IF(K184="","",K184-F184-IF(N184="",0,N184))</f>
        <v/>
      </c>
    </row>
    <row r="185" customFormat="false" ht="15" hidden="false" customHeight="false" outlineLevel="0" collapsed="false">
      <c r="A185" s="12"/>
      <c r="B185" s="12"/>
      <c r="C185" s="12"/>
      <c r="D185" s="13"/>
      <c r="E185" s="13"/>
      <c r="F185" s="14"/>
      <c r="G185" s="12"/>
      <c r="H185" s="12"/>
      <c r="I185" s="12"/>
      <c r="J185" s="14"/>
      <c r="K185" s="15" t="str">
        <f aca="false">IF(OR(I185="",J185=""),"",I185*J185)</f>
        <v/>
      </c>
      <c r="L185" s="12"/>
      <c r="M185" s="16"/>
      <c r="N185" s="15" t="str">
        <f aca="false">IF(OR(L185="",M185="",K185=""),"",IF(L185="GANANCIA",(K185-F185)*M185,IF(L185="BRUTO",K185*M185,"")))</f>
        <v/>
      </c>
      <c r="O185" s="17" t="str">
        <f aca="false">IF(D185="","",D185+30)</f>
        <v/>
      </c>
      <c r="P185" s="18" t="str">
        <f aca="false">IF(I185="","",IF(COUNTIF(Q185:AN185,TRUE())&gt;=I185,"PAGADO",IF(COUNTIF(Q185:AN185,TRUE())&gt;0,"PARCIAL","VIGENTE")))</f>
        <v/>
      </c>
      <c r="Q185" s="19" t="str">
        <f aca="false">IF(OR(I185="",I185&lt;1,O185=""),"",O185+0)</f>
        <v/>
      </c>
      <c r="R185" s="19" t="str">
        <f aca="false">IF(OR(I185="",I185&lt;2,O185=""),"",O185+30)</f>
        <v/>
      </c>
      <c r="S185" s="19" t="str">
        <f aca="false">IF(OR(I185="",I185&lt;3,O185=""),"",O185+60)</f>
        <v/>
      </c>
      <c r="T185" s="19" t="str">
        <f aca="false">IF(OR(I185="",I185&lt;4,O185=""),"",O185+90)</f>
        <v/>
      </c>
      <c r="U185" s="19" t="str">
        <f aca="false">IF(OR(I185="",I185&lt;5,O185=""),"",O185+120)</f>
        <v/>
      </c>
      <c r="V185" s="19" t="str">
        <f aca="false">IF(OR(I185="",I185&lt;6,O185=""),"",O185+150)</f>
        <v/>
      </c>
      <c r="W185" s="19" t="str">
        <f aca="false">IF(OR(I185="",I185&lt;7,O185=""),"",O185+180)</f>
        <v/>
      </c>
      <c r="X185" s="19" t="str">
        <f aca="false">IF(OR(I185="",I185&lt;8,O185=""),"",O185+210)</f>
        <v/>
      </c>
      <c r="Y185" s="19" t="str">
        <f aca="false">IF(OR(I185="",I185&lt;9,O185=""),"",O185+240)</f>
        <v/>
      </c>
      <c r="Z185" s="19" t="str">
        <f aca="false">IF(OR(I185="",I185&lt;10,O185=""),"",O185+270)</f>
        <v/>
      </c>
      <c r="AA185" s="19" t="str">
        <f aca="false">IF(OR(I185="",I185&lt;11,O185=""),"",O185+300)</f>
        <v/>
      </c>
      <c r="AB185" s="19" t="str">
        <f aca="false">IF(OR(I185="",I185&lt;12,O185=""),"",O185+330)</f>
        <v/>
      </c>
      <c r="AC185" s="19" t="str">
        <f aca="false">IF(OR(I185="",I185&lt;13,O185=""),"",O185+360)</f>
        <v/>
      </c>
      <c r="AD185" s="19" t="str">
        <f aca="false">IF(OR(I185="",I185&lt;14,O185=""),"",O185+390)</f>
        <v/>
      </c>
      <c r="AE185" s="19" t="str">
        <f aca="false">IF(OR(I185="",I185&lt;15,O185=""),"",O185+420)</f>
        <v/>
      </c>
      <c r="AF185" s="19" t="str">
        <f aca="false">IF(OR(I185="",I185&lt;16,O185=""),"",O185+450)</f>
        <v/>
      </c>
      <c r="AG185" s="19" t="str">
        <f aca="false">IF(OR(I185="",I185&lt;17,O185=""),"",O185+480)</f>
        <v/>
      </c>
      <c r="AH185" s="19" t="str">
        <f aca="false">IF(OR(I185="",I185&lt;18,O185=""),"",O185+510)</f>
        <v/>
      </c>
      <c r="AI185" s="19" t="str">
        <f aca="false">IF(OR(I185="",I185&lt;19,O185=""),"",O185+540)</f>
        <v/>
      </c>
      <c r="AJ185" s="19" t="str">
        <f aca="false">IF(OR(I185="",I185&lt;20,O185=""),"",O185+570)</f>
        <v/>
      </c>
      <c r="AK185" s="19" t="str">
        <f aca="false">IF(OR(I185="",I185&lt;21,O185=""),"",O185+600)</f>
        <v/>
      </c>
      <c r="AL185" s="19" t="str">
        <f aca="false">IF(OR(I185="",I185&lt;22,O185=""),"",O185+630)</f>
        <v/>
      </c>
      <c r="AM185" s="19" t="str">
        <f aca="false">IF(OR(I185="",I185&lt;23,O185=""),"",O185+660)</f>
        <v/>
      </c>
      <c r="AN185" s="19" t="str">
        <f aca="false">IF(OR(I185="",I185&lt;24,O185=""),"",O185+690)</f>
        <v/>
      </c>
      <c r="AO185" s="15" t="str">
        <f aca="false">IF(J185="","",COUNTIF(Q185:AN185,TRUE())*J185)</f>
        <v/>
      </c>
      <c r="AP185" s="15" t="str">
        <f aca="false">IF(K185="","",K185-AO185)</f>
        <v/>
      </c>
      <c r="AQ185" s="15" t="str">
        <f aca="false">IF(K185="","",K185-F185-IF(N185="",0,N185))</f>
        <v/>
      </c>
    </row>
    <row r="186" customFormat="false" ht="15" hidden="false" customHeight="false" outlineLevel="0" collapsed="false">
      <c r="A186" s="4"/>
      <c r="B186" s="4"/>
      <c r="C186" s="4"/>
      <c r="D186" s="5"/>
      <c r="E186" s="5"/>
      <c r="F186" s="6"/>
      <c r="G186" s="4"/>
      <c r="H186" s="4"/>
      <c r="I186" s="4"/>
      <c r="J186" s="6"/>
      <c r="K186" s="7" t="str">
        <f aca="false">IF(OR(I186="",J186=""),"",I186*J186)</f>
        <v/>
      </c>
      <c r="L186" s="4"/>
      <c r="M186" s="8"/>
      <c r="N186" s="7" t="str">
        <f aca="false">IF(OR(L186="",M186="",K186=""),"",IF(L186="GANANCIA",(K186-F186)*M186,IF(L186="BRUTO",K186*M186,"")))</f>
        <v/>
      </c>
      <c r="O186" s="9" t="str">
        <f aca="false">IF(D186="","",D186+30)</f>
        <v/>
      </c>
      <c r="P186" s="10" t="str">
        <f aca="false">IF(I186="","",IF(COUNTIF(Q186:AN186,TRUE())&gt;=I186,"PAGADO",IF(COUNTIF(Q186:AN186,TRUE())&gt;0,"PARCIAL","VIGENTE")))</f>
        <v/>
      </c>
      <c r="Q186" s="11" t="str">
        <f aca="false">IF(OR(I186="",I186&lt;1,O186=""),"",O186+0)</f>
        <v/>
      </c>
      <c r="R186" s="11" t="str">
        <f aca="false">IF(OR(I186="",I186&lt;2,O186=""),"",O186+30)</f>
        <v/>
      </c>
      <c r="S186" s="11" t="str">
        <f aca="false">IF(OR(I186="",I186&lt;3,O186=""),"",O186+60)</f>
        <v/>
      </c>
      <c r="T186" s="11" t="str">
        <f aca="false">IF(OR(I186="",I186&lt;4,O186=""),"",O186+90)</f>
        <v/>
      </c>
      <c r="U186" s="11" t="str">
        <f aca="false">IF(OR(I186="",I186&lt;5,O186=""),"",O186+120)</f>
        <v/>
      </c>
      <c r="V186" s="11" t="str">
        <f aca="false">IF(OR(I186="",I186&lt;6,O186=""),"",O186+150)</f>
        <v/>
      </c>
      <c r="W186" s="11" t="str">
        <f aca="false">IF(OR(I186="",I186&lt;7,O186=""),"",O186+180)</f>
        <v/>
      </c>
      <c r="X186" s="11" t="str">
        <f aca="false">IF(OR(I186="",I186&lt;8,O186=""),"",O186+210)</f>
        <v/>
      </c>
      <c r="Y186" s="11" t="str">
        <f aca="false">IF(OR(I186="",I186&lt;9,O186=""),"",O186+240)</f>
        <v/>
      </c>
      <c r="Z186" s="11" t="str">
        <f aca="false">IF(OR(I186="",I186&lt;10,O186=""),"",O186+270)</f>
        <v/>
      </c>
      <c r="AA186" s="11" t="str">
        <f aca="false">IF(OR(I186="",I186&lt;11,O186=""),"",O186+300)</f>
        <v/>
      </c>
      <c r="AB186" s="11" t="str">
        <f aca="false">IF(OR(I186="",I186&lt;12,O186=""),"",O186+330)</f>
        <v/>
      </c>
      <c r="AC186" s="11" t="str">
        <f aca="false">IF(OR(I186="",I186&lt;13,O186=""),"",O186+360)</f>
        <v/>
      </c>
      <c r="AD186" s="11" t="str">
        <f aca="false">IF(OR(I186="",I186&lt;14,O186=""),"",O186+390)</f>
        <v/>
      </c>
      <c r="AE186" s="11" t="str">
        <f aca="false">IF(OR(I186="",I186&lt;15,O186=""),"",O186+420)</f>
        <v/>
      </c>
      <c r="AF186" s="11" t="str">
        <f aca="false">IF(OR(I186="",I186&lt;16,O186=""),"",O186+450)</f>
        <v/>
      </c>
      <c r="AG186" s="11" t="str">
        <f aca="false">IF(OR(I186="",I186&lt;17,O186=""),"",O186+480)</f>
        <v/>
      </c>
      <c r="AH186" s="11" t="str">
        <f aca="false">IF(OR(I186="",I186&lt;18,O186=""),"",O186+510)</f>
        <v/>
      </c>
      <c r="AI186" s="11" t="str">
        <f aca="false">IF(OR(I186="",I186&lt;19,O186=""),"",O186+540)</f>
        <v/>
      </c>
      <c r="AJ186" s="11" t="str">
        <f aca="false">IF(OR(I186="",I186&lt;20,O186=""),"",O186+570)</f>
        <v/>
      </c>
      <c r="AK186" s="11" t="str">
        <f aca="false">IF(OR(I186="",I186&lt;21,O186=""),"",O186+600)</f>
        <v/>
      </c>
      <c r="AL186" s="11" t="str">
        <f aca="false">IF(OR(I186="",I186&lt;22,O186=""),"",O186+630)</f>
        <v/>
      </c>
      <c r="AM186" s="11" t="str">
        <f aca="false">IF(OR(I186="",I186&lt;23,O186=""),"",O186+660)</f>
        <v/>
      </c>
      <c r="AN186" s="11" t="str">
        <f aca="false">IF(OR(I186="",I186&lt;24,O186=""),"",O186+690)</f>
        <v/>
      </c>
      <c r="AO186" s="7" t="str">
        <f aca="false">IF(J186="","",COUNTIF(Q186:AN186,TRUE())*J186)</f>
        <v/>
      </c>
      <c r="AP186" s="7" t="str">
        <f aca="false">IF(K186="","",K186-AO186)</f>
        <v/>
      </c>
      <c r="AQ186" s="7" t="str">
        <f aca="false">IF(K186="","",K186-F186-IF(N186="",0,N186))</f>
        <v/>
      </c>
    </row>
    <row r="187" customFormat="false" ht="15" hidden="false" customHeight="false" outlineLevel="0" collapsed="false">
      <c r="A187" s="12"/>
      <c r="B187" s="12"/>
      <c r="C187" s="12"/>
      <c r="D187" s="13"/>
      <c r="E187" s="13"/>
      <c r="F187" s="14"/>
      <c r="G187" s="12"/>
      <c r="H187" s="12"/>
      <c r="I187" s="12"/>
      <c r="J187" s="14"/>
      <c r="K187" s="15" t="str">
        <f aca="false">IF(OR(I187="",J187=""),"",I187*J187)</f>
        <v/>
      </c>
      <c r="L187" s="12"/>
      <c r="M187" s="16"/>
      <c r="N187" s="15" t="str">
        <f aca="false">IF(OR(L187="",M187="",K187=""),"",IF(L187="GANANCIA",(K187-F187)*M187,IF(L187="BRUTO",K187*M187,"")))</f>
        <v/>
      </c>
      <c r="O187" s="17" t="str">
        <f aca="false">IF(D187="","",D187+30)</f>
        <v/>
      </c>
      <c r="P187" s="18" t="str">
        <f aca="false">IF(I187="","",IF(COUNTIF(Q187:AN187,TRUE())&gt;=I187,"PAGADO",IF(COUNTIF(Q187:AN187,TRUE())&gt;0,"PARCIAL","VIGENTE")))</f>
        <v/>
      </c>
      <c r="Q187" s="19" t="str">
        <f aca="false">IF(OR(I187="",I187&lt;1,O187=""),"",O187+0)</f>
        <v/>
      </c>
      <c r="R187" s="19" t="str">
        <f aca="false">IF(OR(I187="",I187&lt;2,O187=""),"",O187+30)</f>
        <v/>
      </c>
      <c r="S187" s="19" t="str">
        <f aca="false">IF(OR(I187="",I187&lt;3,O187=""),"",O187+60)</f>
        <v/>
      </c>
      <c r="T187" s="19" t="str">
        <f aca="false">IF(OR(I187="",I187&lt;4,O187=""),"",O187+90)</f>
        <v/>
      </c>
      <c r="U187" s="19" t="str">
        <f aca="false">IF(OR(I187="",I187&lt;5,O187=""),"",O187+120)</f>
        <v/>
      </c>
      <c r="V187" s="19" t="str">
        <f aca="false">IF(OR(I187="",I187&lt;6,O187=""),"",O187+150)</f>
        <v/>
      </c>
      <c r="W187" s="19" t="str">
        <f aca="false">IF(OR(I187="",I187&lt;7,O187=""),"",O187+180)</f>
        <v/>
      </c>
      <c r="X187" s="19" t="str">
        <f aca="false">IF(OR(I187="",I187&lt;8,O187=""),"",O187+210)</f>
        <v/>
      </c>
      <c r="Y187" s="19" t="str">
        <f aca="false">IF(OR(I187="",I187&lt;9,O187=""),"",O187+240)</f>
        <v/>
      </c>
      <c r="Z187" s="19" t="str">
        <f aca="false">IF(OR(I187="",I187&lt;10,O187=""),"",O187+270)</f>
        <v/>
      </c>
      <c r="AA187" s="19" t="str">
        <f aca="false">IF(OR(I187="",I187&lt;11,O187=""),"",O187+300)</f>
        <v/>
      </c>
      <c r="AB187" s="19" t="str">
        <f aca="false">IF(OR(I187="",I187&lt;12,O187=""),"",O187+330)</f>
        <v/>
      </c>
      <c r="AC187" s="19" t="str">
        <f aca="false">IF(OR(I187="",I187&lt;13,O187=""),"",O187+360)</f>
        <v/>
      </c>
      <c r="AD187" s="19" t="str">
        <f aca="false">IF(OR(I187="",I187&lt;14,O187=""),"",O187+390)</f>
        <v/>
      </c>
      <c r="AE187" s="19" t="str">
        <f aca="false">IF(OR(I187="",I187&lt;15,O187=""),"",O187+420)</f>
        <v/>
      </c>
      <c r="AF187" s="19" t="str">
        <f aca="false">IF(OR(I187="",I187&lt;16,O187=""),"",O187+450)</f>
        <v/>
      </c>
      <c r="AG187" s="19" t="str">
        <f aca="false">IF(OR(I187="",I187&lt;17,O187=""),"",O187+480)</f>
        <v/>
      </c>
      <c r="AH187" s="19" t="str">
        <f aca="false">IF(OR(I187="",I187&lt;18,O187=""),"",O187+510)</f>
        <v/>
      </c>
      <c r="AI187" s="19" t="str">
        <f aca="false">IF(OR(I187="",I187&lt;19,O187=""),"",O187+540)</f>
        <v/>
      </c>
      <c r="AJ187" s="19" t="str">
        <f aca="false">IF(OR(I187="",I187&lt;20,O187=""),"",O187+570)</f>
        <v/>
      </c>
      <c r="AK187" s="19" t="str">
        <f aca="false">IF(OR(I187="",I187&lt;21,O187=""),"",O187+600)</f>
        <v/>
      </c>
      <c r="AL187" s="19" t="str">
        <f aca="false">IF(OR(I187="",I187&lt;22,O187=""),"",O187+630)</f>
        <v/>
      </c>
      <c r="AM187" s="19" t="str">
        <f aca="false">IF(OR(I187="",I187&lt;23,O187=""),"",O187+660)</f>
        <v/>
      </c>
      <c r="AN187" s="19" t="str">
        <f aca="false">IF(OR(I187="",I187&lt;24,O187=""),"",O187+690)</f>
        <v/>
      </c>
      <c r="AO187" s="15" t="str">
        <f aca="false">IF(J187="","",COUNTIF(Q187:AN187,TRUE())*J187)</f>
        <v/>
      </c>
      <c r="AP187" s="15" t="str">
        <f aca="false">IF(K187="","",K187-AO187)</f>
        <v/>
      </c>
      <c r="AQ187" s="15" t="str">
        <f aca="false">IF(K187="","",K187-F187-IF(N187="",0,N187))</f>
        <v/>
      </c>
    </row>
    <row r="188" customFormat="false" ht="15" hidden="false" customHeight="false" outlineLevel="0" collapsed="false">
      <c r="A188" s="4"/>
      <c r="B188" s="4"/>
      <c r="C188" s="4"/>
      <c r="D188" s="5"/>
      <c r="E188" s="5"/>
      <c r="F188" s="6"/>
      <c r="G188" s="4"/>
      <c r="H188" s="4"/>
      <c r="I188" s="4"/>
      <c r="J188" s="6"/>
      <c r="K188" s="7" t="str">
        <f aca="false">IF(OR(I188="",J188=""),"",I188*J188)</f>
        <v/>
      </c>
      <c r="L188" s="4"/>
      <c r="M188" s="8"/>
      <c r="N188" s="7" t="str">
        <f aca="false">IF(OR(L188="",M188="",K188=""),"",IF(L188="GANANCIA",(K188-F188)*M188,IF(L188="BRUTO",K188*M188,"")))</f>
        <v/>
      </c>
      <c r="O188" s="9" t="str">
        <f aca="false">IF(D188="","",D188+30)</f>
        <v/>
      </c>
      <c r="P188" s="10" t="str">
        <f aca="false">IF(I188="","",IF(COUNTIF(Q188:AN188,TRUE())&gt;=I188,"PAGADO",IF(COUNTIF(Q188:AN188,TRUE())&gt;0,"PARCIAL","VIGENTE")))</f>
        <v/>
      </c>
      <c r="Q188" s="11" t="str">
        <f aca="false">IF(OR(I188="",I188&lt;1,O188=""),"",O188+0)</f>
        <v/>
      </c>
      <c r="R188" s="11" t="str">
        <f aca="false">IF(OR(I188="",I188&lt;2,O188=""),"",O188+30)</f>
        <v/>
      </c>
      <c r="S188" s="11" t="str">
        <f aca="false">IF(OR(I188="",I188&lt;3,O188=""),"",O188+60)</f>
        <v/>
      </c>
      <c r="T188" s="11" t="str">
        <f aca="false">IF(OR(I188="",I188&lt;4,O188=""),"",O188+90)</f>
        <v/>
      </c>
      <c r="U188" s="11" t="str">
        <f aca="false">IF(OR(I188="",I188&lt;5,O188=""),"",O188+120)</f>
        <v/>
      </c>
      <c r="V188" s="11" t="str">
        <f aca="false">IF(OR(I188="",I188&lt;6,O188=""),"",O188+150)</f>
        <v/>
      </c>
      <c r="W188" s="11" t="str">
        <f aca="false">IF(OR(I188="",I188&lt;7,O188=""),"",O188+180)</f>
        <v/>
      </c>
      <c r="X188" s="11" t="str">
        <f aca="false">IF(OR(I188="",I188&lt;8,O188=""),"",O188+210)</f>
        <v/>
      </c>
      <c r="Y188" s="11" t="str">
        <f aca="false">IF(OR(I188="",I188&lt;9,O188=""),"",O188+240)</f>
        <v/>
      </c>
      <c r="Z188" s="11" t="str">
        <f aca="false">IF(OR(I188="",I188&lt;10,O188=""),"",O188+270)</f>
        <v/>
      </c>
      <c r="AA188" s="11" t="str">
        <f aca="false">IF(OR(I188="",I188&lt;11,O188=""),"",O188+300)</f>
        <v/>
      </c>
      <c r="AB188" s="11" t="str">
        <f aca="false">IF(OR(I188="",I188&lt;12,O188=""),"",O188+330)</f>
        <v/>
      </c>
      <c r="AC188" s="11" t="str">
        <f aca="false">IF(OR(I188="",I188&lt;13,O188=""),"",O188+360)</f>
        <v/>
      </c>
      <c r="AD188" s="11" t="str">
        <f aca="false">IF(OR(I188="",I188&lt;14,O188=""),"",O188+390)</f>
        <v/>
      </c>
      <c r="AE188" s="11" t="str">
        <f aca="false">IF(OR(I188="",I188&lt;15,O188=""),"",O188+420)</f>
        <v/>
      </c>
      <c r="AF188" s="11" t="str">
        <f aca="false">IF(OR(I188="",I188&lt;16,O188=""),"",O188+450)</f>
        <v/>
      </c>
      <c r="AG188" s="11" t="str">
        <f aca="false">IF(OR(I188="",I188&lt;17,O188=""),"",O188+480)</f>
        <v/>
      </c>
      <c r="AH188" s="11" t="str">
        <f aca="false">IF(OR(I188="",I188&lt;18,O188=""),"",O188+510)</f>
        <v/>
      </c>
      <c r="AI188" s="11" t="str">
        <f aca="false">IF(OR(I188="",I188&lt;19,O188=""),"",O188+540)</f>
        <v/>
      </c>
      <c r="AJ188" s="11" t="str">
        <f aca="false">IF(OR(I188="",I188&lt;20,O188=""),"",O188+570)</f>
        <v/>
      </c>
      <c r="AK188" s="11" t="str">
        <f aca="false">IF(OR(I188="",I188&lt;21,O188=""),"",O188+600)</f>
        <v/>
      </c>
      <c r="AL188" s="11" t="str">
        <f aca="false">IF(OR(I188="",I188&lt;22,O188=""),"",O188+630)</f>
        <v/>
      </c>
      <c r="AM188" s="11" t="str">
        <f aca="false">IF(OR(I188="",I188&lt;23,O188=""),"",O188+660)</f>
        <v/>
      </c>
      <c r="AN188" s="11" t="str">
        <f aca="false">IF(OR(I188="",I188&lt;24,O188=""),"",O188+690)</f>
        <v/>
      </c>
      <c r="AO188" s="7" t="str">
        <f aca="false">IF(J188="","",COUNTIF(Q188:AN188,TRUE())*J188)</f>
        <v/>
      </c>
      <c r="AP188" s="7" t="str">
        <f aca="false">IF(K188="","",K188-AO188)</f>
        <v/>
      </c>
      <c r="AQ188" s="7" t="str">
        <f aca="false">IF(K188="","",K188-F188-IF(N188="",0,N188))</f>
        <v/>
      </c>
    </row>
    <row r="189" customFormat="false" ht="15" hidden="false" customHeight="false" outlineLevel="0" collapsed="false">
      <c r="A189" s="12"/>
      <c r="B189" s="12"/>
      <c r="C189" s="12"/>
      <c r="D189" s="13"/>
      <c r="E189" s="13"/>
      <c r="F189" s="14"/>
      <c r="G189" s="12"/>
      <c r="H189" s="12"/>
      <c r="I189" s="12"/>
      <c r="J189" s="14"/>
      <c r="K189" s="15" t="str">
        <f aca="false">IF(OR(I189="",J189=""),"",I189*J189)</f>
        <v/>
      </c>
      <c r="L189" s="12"/>
      <c r="M189" s="16"/>
      <c r="N189" s="15" t="str">
        <f aca="false">IF(OR(L189="",M189="",K189=""),"",IF(L189="GANANCIA",(K189-F189)*M189,IF(L189="BRUTO",K189*M189,"")))</f>
        <v/>
      </c>
      <c r="O189" s="17" t="str">
        <f aca="false">IF(D189="","",D189+30)</f>
        <v/>
      </c>
      <c r="P189" s="18" t="str">
        <f aca="false">IF(I189="","",IF(COUNTIF(Q189:AN189,TRUE())&gt;=I189,"PAGADO",IF(COUNTIF(Q189:AN189,TRUE())&gt;0,"PARCIAL","VIGENTE")))</f>
        <v/>
      </c>
      <c r="Q189" s="19" t="str">
        <f aca="false">IF(OR(I189="",I189&lt;1,O189=""),"",O189+0)</f>
        <v/>
      </c>
      <c r="R189" s="19" t="str">
        <f aca="false">IF(OR(I189="",I189&lt;2,O189=""),"",O189+30)</f>
        <v/>
      </c>
      <c r="S189" s="19" t="str">
        <f aca="false">IF(OR(I189="",I189&lt;3,O189=""),"",O189+60)</f>
        <v/>
      </c>
      <c r="T189" s="19" t="str">
        <f aca="false">IF(OR(I189="",I189&lt;4,O189=""),"",O189+90)</f>
        <v/>
      </c>
      <c r="U189" s="19" t="str">
        <f aca="false">IF(OR(I189="",I189&lt;5,O189=""),"",O189+120)</f>
        <v/>
      </c>
      <c r="V189" s="19" t="str">
        <f aca="false">IF(OR(I189="",I189&lt;6,O189=""),"",O189+150)</f>
        <v/>
      </c>
      <c r="W189" s="19" t="str">
        <f aca="false">IF(OR(I189="",I189&lt;7,O189=""),"",O189+180)</f>
        <v/>
      </c>
      <c r="X189" s="19" t="str">
        <f aca="false">IF(OR(I189="",I189&lt;8,O189=""),"",O189+210)</f>
        <v/>
      </c>
      <c r="Y189" s="19" t="str">
        <f aca="false">IF(OR(I189="",I189&lt;9,O189=""),"",O189+240)</f>
        <v/>
      </c>
      <c r="Z189" s="19" t="str">
        <f aca="false">IF(OR(I189="",I189&lt;10,O189=""),"",O189+270)</f>
        <v/>
      </c>
      <c r="AA189" s="19" t="str">
        <f aca="false">IF(OR(I189="",I189&lt;11,O189=""),"",O189+300)</f>
        <v/>
      </c>
      <c r="AB189" s="19" t="str">
        <f aca="false">IF(OR(I189="",I189&lt;12,O189=""),"",O189+330)</f>
        <v/>
      </c>
      <c r="AC189" s="19" t="str">
        <f aca="false">IF(OR(I189="",I189&lt;13,O189=""),"",O189+360)</f>
        <v/>
      </c>
      <c r="AD189" s="19" t="str">
        <f aca="false">IF(OR(I189="",I189&lt;14,O189=""),"",O189+390)</f>
        <v/>
      </c>
      <c r="AE189" s="19" t="str">
        <f aca="false">IF(OR(I189="",I189&lt;15,O189=""),"",O189+420)</f>
        <v/>
      </c>
      <c r="AF189" s="19" t="str">
        <f aca="false">IF(OR(I189="",I189&lt;16,O189=""),"",O189+450)</f>
        <v/>
      </c>
      <c r="AG189" s="19" t="str">
        <f aca="false">IF(OR(I189="",I189&lt;17,O189=""),"",O189+480)</f>
        <v/>
      </c>
      <c r="AH189" s="19" t="str">
        <f aca="false">IF(OR(I189="",I189&lt;18,O189=""),"",O189+510)</f>
        <v/>
      </c>
      <c r="AI189" s="19" t="str">
        <f aca="false">IF(OR(I189="",I189&lt;19,O189=""),"",O189+540)</f>
        <v/>
      </c>
      <c r="AJ189" s="19" t="str">
        <f aca="false">IF(OR(I189="",I189&lt;20,O189=""),"",O189+570)</f>
        <v/>
      </c>
      <c r="AK189" s="19" t="str">
        <f aca="false">IF(OR(I189="",I189&lt;21,O189=""),"",O189+600)</f>
        <v/>
      </c>
      <c r="AL189" s="19" t="str">
        <f aca="false">IF(OR(I189="",I189&lt;22,O189=""),"",O189+630)</f>
        <v/>
      </c>
      <c r="AM189" s="19" t="str">
        <f aca="false">IF(OR(I189="",I189&lt;23,O189=""),"",O189+660)</f>
        <v/>
      </c>
      <c r="AN189" s="19" t="str">
        <f aca="false">IF(OR(I189="",I189&lt;24,O189=""),"",O189+690)</f>
        <v/>
      </c>
      <c r="AO189" s="15" t="str">
        <f aca="false">IF(J189="","",COUNTIF(Q189:AN189,TRUE())*J189)</f>
        <v/>
      </c>
      <c r="AP189" s="15" t="str">
        <f aca="false">IF(K189="","",K189-AO189)</f>
        <v/>
      </c>
      <c r="AQ189" s="15" t="str">
        <f aca="false">IF(K189="","",K189-F189-IF(N189="",0,N189))</f>
        <v/>
      </c>
    </row>
    <row r="190" customFormat="false" ht="15" hidden="false" customHeight="false" outlineLevel="0" collapsed="false">
      <c r="A190" s="4"/>
      <c r="B190" s="4"/>
      <c r="C190" s="4"/>
      <c r="D190" s="5"/>
      <c r="E190" s="5"/>
      <c r="F190" s="6"/>
      <c r="G190" s="4"/>
      <c r="H190" s="4"/>
      <c r="I190" s="4"/>
      <c r="J190" s="6"/>
      <c r="K190" s="7" t="str">
        <f aca="false">IF(OR(I190="",J190=""),"",I190*J190)</f>
        <v/>
      </c>
      <c r="L190" s="4"/>
      <c r="M190" s="8"/>
      <c r="N190" s="7" t="str">
        <f aca="false">IF(OR(L190="",M190="",K190=""),"",IF(L190="GANANCIA",(K190-F190)*M190,IF(L190="BRUTO",K190*M190,"")))</f>
        <v/>
      </c>
      <c r="O190" s="9" t="str">
        <f aca="false">IF(D190="","",D190+30)</f>
        <v/>
      </c>
      <c r="P190" s="10" t="str">
        <f aca="false">IF(I190="","",IF(COUNTIF(Q190:AN190,TRUE())&gt;=I190,"PAGADO",IF(COUNTIF(Q190:AN190,TRUE())&gt;0,"PARCIAL","VIGENTE")))</f>
        <v/>
      </c>
      <c r="Q190" s="11" t="str">
        <f aca="false">IF(OR(I190="",I190&lt;1,O190=""),"",O190+0)</f>
        <v/>
      </c>
      <c r="R190" s="11" t="str">
        <f aca="false">IF(OR(I190="",I190&lt;2,O190=""),"",O190+30)</f>
        <v/>
      </c>
      <c r="S190" s="11" t="str">
        <f aca="false">IF(OR(I190="",I190&lt;3,O190=""),"",O190+60)</f>
        <v/>
      </c>
      <c r="T190" s="11" t="str">
        <f aca="false">IF(OR(I190="",I190&lt;4,O190=""),"",O190+90)</f>
        <v/>
      </c>
      <c r="U190" s="11" t="str">
        <f aca="false">IF(OR(I190="",I190&lt;5,O190=""),"",O190+120)</f>
        <v/>
      </c>
      <c r="V190" s="11" t="str">
        <f aca="false">IF(OR(I190="",I190&lt;6,O190=""),"",O190+150)</f>
        <v/>
      </c>
      <c r="W190" s="11" t="str">
        <f aca="false">IF(OR(I190="",I190&lt;7,O190=""),"",O190+180)</f>
        <v/>
      </c>
      <c r="X190" s="11" t="str">
        <f aca="false">IF(OR(I190="",I190&lt;8,O190=""),"",O190+210)</f>
        <v/>
      </c>
      <c r="Y190" s="11" t="str">
        <f aca="false">IF(OR(I190="",I190&lt;9,O190=""),"",O190+240)</f>
        <v/>
      </c>
      <c r="Z190" s="11" t="str">
        <f aca="false">IF(OR(I190="",I190&lt;10,O190=""),"",O190+270)</f>
        <v/>
      </c>
      <c r="AA190" s="11" t="str">
        <f aca="false">IF(OR(I190="",I190&lt;11,O190=""),"",O190+300)</f>
        <v/>
      </c>
      <c r="AB190" s="11" t="str">
        <f aca="false">IF(OR(I190="",I190&lt;12,O190=""),"",O190+330)</f>
        <v/>
      </c>
      <c r="AC190" s="11" t="str">
        <f aca="false">IF(OR(I190="",I190&lt;13,O190=""),"",O190+360)</f>
        <v/>
      </c>
      <c r="AD190" s="11" t="str">
        <f aca="false">IF(OR(I190="",I190&lt;14,O190=""),"",O190+390)</f>
        <v/>
      </c>
      <c r="AE190" s="11" t="str">
        <f aca="false">IF(OR(I190="",I190&lt;15,O190=""),"",O190+420)</f>
        <v/>
      </c>
      <c r="AF190" s="11" t="str">
        <f aca="false">IF(OR(I190="",I190&lt;16,O190=""),"",O190+450)</f>
        <v/>
      </c>
      <c r="AG190" s="11" t="str">
        <f aca="false">IF(OR(I190="",I190&lt;17,O190=""),"",O190+480)</f>
        <v/>
      </c>
      <c r="AH190" s="11" t="str">
        <f aca="false">IF(OR(I190="",I190&lt;18,O190=""),"",O190+510)</f>
        <v/>
      </c>
      <c r="AI190" s="11" t="str">
        <f aca="false">IF(OR(I190="",I190&lt;19,O190=""),"",O190+540)</f>
        <v/>
      </c>
      <c r="AJ190" s="11" t="str">
        <f aca="false">IF(OR(I190="",I190&lt;20,O190=""),"",O190+570)</f>
        <v/>
      </c>
      <c r="AK190" s="11" t="str">
        <f aca="false">IF(OR(I190="",I190&lt;21,O190=""),"",O190+600)</f>
        <v/>
      </c>
      <c r="AL190" s="11" t="str">
        <f aca="false">IF(OR(I190="",I190&lt;22,O190=""),"",O190+630)</f>
        <v/>
      </c>
      <c r="AM190" s="11" t="str">
        <f aca="false">IF(OR(I190="",I190&lt;23,O190=""),"",O190+660)</f>
        <v/>
      </c>
      <c r="AN190" s="11" t="str">
        <f aca="false">IF(OR(I190="",I190&lt;24,O190=""),"",O190+690)</f>
        <v/>
      </c>
      <c r="AO190" s="7" t="str">
        <f aca="false">IF(J190="","",COUNTIF(Q190:AN190,TRUE())*J190)</f>
        <v/>
      </c>
      <c r="AP190" s="7" t="str">
        <f aca="false">IF(K190="","",K190-AO190)</f>
        <v/>
      </c>
      <c r="AQ190" s="7" t="str">
        <f aca="false">IF(K190="","",K190-F190-IF(N190="",0,N190))</f>
        <v/>
      </c>
    </row>
    <row r="191" customFormat="false" ht="15" hidden="false" customHeight="false" outlineLevel="0" collapsed="false">
      <c r="A191" s="12"/>
      <c r="B191" s="12"/>
      <c r="C191" s="12"/>
      <c r="D191" s="13"/>
      <c r="E191" s="13"/>
      <c r="F191" s="14"/>
      <c r="G191" s="12"/>
      <c r="H191" s="12"/>
      <c r="I191" s="12"/>
      <c r="J191" s="14"/>
      <c r="K191" s="15" t="str">
        <f aca="false">IF(OR(I191="",J191=""),"",I191*J191)</f>
        <v/>
      </c>
      <c r="L191" s="12"/>
      <c r="M191" s="16"/>
      <c r="N191" s="15" t="str">
        <f aca="false">IF(OR(L191="",M191="",K191=""),"",IF(L191="GANANCIA",(K191-F191)*M191,IF(L191="BRUTO",K191*M191,"")))</f>
        <v/>
      </c>
      <c r="O191" s="17" t="str">
        <f aca="false">IF(D191="","",D191+30)</f>
        <v/>
      </c>
      <c r="P191" s="18" t="str">
        <f aca="false">IF(I191="","",IF(COUNTIF(Q191:AN191,TRUE())&gt;=I191,"PAGADO",IF(COUNTIF(Q191:AN191,TRUE())&gt;0,"PARCIAL","VIGENTE")))</f>
        <v/>
      </c>
      <c r="Q191" s="19" t="str">
        <f aca="false">IF(OR(I191="",I191&lt;1,O191=""),"",O191+0)</f>
        <v/>
      </c>
      <c r="R191" s="19" t="str">
        <f aca="false">IF(OR(I191="",I191&lt;2,O191=""),"",O191+30)</f>
        <v/>
      </c>
      <c r="S191" s="19" t="str">
        <f aca="false">IF(OR(I191="",I191&lt;3,O191=""),"",O191+60)</f>
        <v/>
      </c>
      <c r="T191" s="19" t="str">
        <f aca="false">IF(OR(I191="",I191&lt;4,O191=""),"",O191+90)</f>
        <v/>
      </c>
      <c r="U191" s="19" t="str">
        <f aca="false">IF(OR(I191="",I191&lt;5,O191=""),"",O191+120)</f>
        <v/>
      </c>
      <c r="V191" s="19" t="str">
        <f aca="false">IF(OR(I191="",I191&lt;6,O191=""),"",O191+150)</f>
        <v/>
      </c>
      <c r="W191" s="19" t="str">
        <f aca="false">IF(OR(I191="",I191&lt;7,O191=""),"",O191+180)</f>
        <v/>
      </c>
      <c r="X191" s="19" t="str">
        <f aca="false">IF(OR(I191="",I191&lt;8,O191=""),"",O191+210)</f>
        <v/>
      </c>
      <c r="Y191" s="19" t="str">
        <f aca="false">IF(OR(I191="",I191&lt;9,O191=""),"",O191+240)</f>
        <v/>
      </c>
      <c r="Z191" s="19" t="str">
        <f aca="false">IF(OR(I191="",I191&lt;10,O191=""),"",O191+270)</f>
        <v/>
      </c>
      <c r="AA191" s="19" t="str">
        <f aca="false">IF(OR(I191="",I191&lt;11,O191=""),"",O191+300)</f>
        <v/>
      </c>
      <c r="AB191" s="19" t="str">
        <f aca="false">IF(OR(I191="",I191&lt;12,O191=""),"",O191+330)</f>
        <v/>
      </c>
      <c r="AC191" s="19" t="str">
        <f aca="false">IF(OR(I191="",I191&lt;13,O191=""),"",O191+360)</f>
        <v/>
      </c>
      <c r="AD191" s="19" t="str">
        <f aca="false">IF(OR(I191="",I191&lt;14,O191=""),"",O191+390)</f>
        <v/>
      </c>
      <c r="AE191" s="19" t="str">
        <f aca="false">IF(OR(I191="",I191&lt;15,O191=""),"",O191+420)</f>
        <v/>
      </c>
      <c r="AF191" s="19" t="str">
        <f aca="false">IF(OR(I191="",I191&lt;16,O191=""),"",O191+450)</f>
        <v/>
      </c>
      <c r="AG191" s="19" t="str">
        <f aca="false">IF(OR(I191="",I191&lt;17,O191=""),"",O191+480)</f>
        <v/>
      </c>
      <c r="AH191" s="19" t="str">
        <f aca="false">IF(OR(I191="",I191&lt;18,O191=""),"",O191+510)</f>
        <v/>
      </c>
      <c r="AI191" s="19" t="str">
        <f aca="false">IF(OR(I191="",I191&lt;19,O191=""),"",O191+540)</f>
        <v/>
      </c>
      <c r="AJ191" s="19" t="str">
        <f aca="false">IF(OR(I191="",I191&lt;20,O191=""),"",O191+570)</f>
        <v/>
      </c>
      <c r="AK191" s="19" t="str">
        <f aca="false">IF(OR(I191="",I191&lt;21,O191=""),"",O191+600)</f>
        <v/>
      </c>
      <c r="AL191" s="19" t="str">
        <f aca="false">IF(OR(I191="",I191&lt;22,O191=""),"",O191+630)</f>
        <v/>
      </c>
      <c r="AM191" s="19" t="str">
        <f aca="false">IF(OR(I191="",I191&lt;23,O191=""),"",O191+660)</f>
        <v/>
      </c>
      <c r="AN191" s="19" t="str">
        <f aca="false">IF(OR(I191="",I191&lt;24,O191=""),"",O191+690)</f>
        <v/>
      </c>
      <c r="AO191" s="15" t="str">
        <f aca="false">IF(J191="","",COUNTIF(Q191:AN191,TRUE())*J191)</f>
        <v/>
      </c>
      <c r="AP191" s="15" t="str">
        <f aca="false">IF(K191="","",K191-AO191)</f>
        <v/>
      </c>
      <c r="AQ191" s="15" t="str">
        <f aca="false">IF(K191="","",K191-F191-IF(N191="",0,N191))</f>
        <v/>
      </c>
    </row>
    <row r="192" customFormat="false" ht="15" hidden="false" customHeight="false" outlineLevel="0" collapsed="false">
      <c r="A192" s="4"/>
      <c r="B192" s="4"/>
      <c r="C192" s="4"/>
      <c r="D192" s="5"/>
      <c r="E192" s="5"/>
      <c r="F192" s="6"/>
      <c r="G192" s="4"/>
      <c r="H192" s="4"/>
      <c r="I192" s="4"/>
      <c r="J192" s="6"/>
      <c r="K192" s="7" t="str">
        <f aca="false">IF(OR(I192="",J192=""),"",I192*J192)</f>
        <v/>
      </c>
      <c r="L192" s="4"/>
      <c r="M192" s="8"/>
      <c r="N192" s="7" t="str">
        <f aca="false">IF(OR(L192="",M192="",K192=""),"",IF(L192="GANANCIA",(K192-F192)*M192,IF(L192="BRUTO",K192*M192,"")))</f>
        <v/>
      </c>
      <c r="O192" s="9" t="str">
        <f aca="false">IF(D192="","",D192+30)</f>
        <v/>
      </c>
      <c r="P192" s="10" t="str">
        <f aca="false">IF(I192="","",IF(COUNTIF(Q192:AN192,TRUE())&gt;=I192,"PAGADO",IF(COUNTIF(Q192:AN192,TRUE())&gt;0,"PARCIAL","VIGENTE")))</f>
        <v/>
      </c>
      <c r="Q192" s="11" t="str">
        <f aca="false">IF(OR(I192="",I192&lt;1,O192=""),"",O192+0)</f>
        <v/>
      </c>
      <c r="R192" s="11" t="str">
        <f aca="false">IF(OR(I192="",I192&lt;2,O192=""),"",O192+30)</f>
        <v/>
      </c>
      <c r="S192" s="11" t="str">
        <f aca="false">IF(OR(I192="",I192&lt;3,O192=""),"",O192+60)</f>
        <v/>
      </c>
      <c r="T192" s="11" t="str">
        <f aca="false">IF(OR(I192="",I192&lt;4,O192=""),"",O192+90)</f>
        <v/>
      </c>
      <c r="U192" s="11" t="str">
        <f aca="false">IF(OR(I192="",I192&lt;5,O192=""),"",O192+120)</f>
        <v/>
      </c>
      <c r="V192" s="11" t="str">
        <f aca="false">IF(OR(I192="",I192&lt;6,O192=""),"",O192+150)</f>
        <v/>
      </c>
      <c r="W192" s="11" t="str">
        <f aca="false">IF(OR(I192="",I192&lt;7,O192=""),"",O192+180)</f>
        <v/>
      </c>
      <c r="X192" s="11" t="str">
        <f aca="false">IF(OR(I192="",I192&lt;8,O192=""),"",O192+210)</f>
        <v/>
      </c>
      <c r="Y192" s="11" t="str">
        <f aca="false">IF(OR(I192="",I192&lt;9,O192=""),"",O192+240)</f>
        <v/>
      </c>
      <c r="Z192" s="11" t="str">
        <f aca="false">IF(OR(I192="",I192&lt;10,O192=""),"",O192+270)</f>
        <v/>
      </c>
      <c r="AA192" s="11" t="str">
        <f aca="false">IF(OR(I192="",I192&lt;11,O192=""),"",O192+300)</f>
        <v/>
      </c>
      <c r="AB192" s="11" t="str">
        <f aca="false">IF(OR(I192="",I192&lt;12,O192=""),"",O192+330)</f>
        <v/>
      </c>
      <c r="AC192" s="11" t="str">
        <f aca="false">IF(OR(I192="",I192&lt;13,O192=""),"",O192+360)</f>
        <v/>
      </c>
      <c r="AD192" s="11" t="str">
        <f aca="false">IF(OR(I192="",I192&lt;14,O192=""),"",O192+390)</f>
        <v/>
      </c>
      <c r="AE192" s="11" t="str">
        <f aca="false">IF(OR(I192="",I192&lt;15,O192=""),"",O192+420)</f>
        <v/>
      </c>
      <c r="AF192" s="11" t="str">
        <f aca="false">IF(OR(I192="",I192&lt;16,O192=""),"",O192+450)</f>
        <v/>
      </c>
      <c r="AG192" s="11" t="str">
        <f aca="false">IF(OR(I192="",I192&lt;17,O192=""),"",O192+480)</f>
        <v/>
      </c>
      <c r="AH192" s="11" t="str">
        <f aca="false">IF(OR(I192="",I192&lt;18,O192=""),"",O192+510)</f>
        <v/>
      </c>
      <c r="AI192" s="11" t="str">
        <f aca="false">IF(OR(I192="",I192&lt;19,O192=""),"",O192+540)</f>
        <v/>
      </c>
      <c r="AJ192" s="11" t="str">
        <f aca="false">IF(OR(I192="",I192&lt;20,O192=""),"",O192+570)</f>
        <v/>
      </c>
      <c r="AK192" s="11" t="str">
        <f aca="false">IF(OR(I192="",I192&lt;21,O192=""),"",O192+600)</f>
        <v/>
      </c>
      <c r="AL192" s="11" t="str">
        <f aca="false">IF(OR(I192="",I192&lt;22,O192=""),"",O192+630)</f>
        <v/>
      </c>
      <c r="AM192" s="11" t="str">
        <f aca="false">IF(OR(I192="",I192&lt;23,O192=""),"",O192+660)</f>
        <v/>
      </c>
      <c r="AN192" s="11" t="str">
        <f aca="false">IF(OR(I192="",I192&lt;24,O192=""),"",O192+690)</f>
        <v/>
      </c>
      <c r="AO192" s="7" t="str">
        <f aca="false">IF(J192="","",COUNTIF(Q192:AN192,TRUE())*J192)</f>
        <v/>
      </c>
      <c r="AP192" s="7" t="str">
        <f aca="false">IF(K192="","",K192-AO192)</f>
        <v/>
      </c>
      <c r="AQ192" s="7" t="str">
        <f aca="false">IF(K192="","",K192-F192-IF(N192="",0,N192))</f>
        <v/>
      </c>
    </row>
    <row r="193" customFormat="false" ht="15" hidden="false" customHeight="false" outlineLevel="0" collapsed="false">
      <c r="A193" s="12"/>
      <c r="B193" s="12"/>
      <c r="C193" s="12"/>
      <c r="D193" s="13"/>
      <c r="E193" s="13"/>
      <c r="F193" s="14"/>
      <c r="G193" s="12"/>
      <c r="H193" s="12"/>
      <c r="I193" s="12"/>
      <c r="J193" s="14"/>
      <c r="K193" s="15" t="str">
        <f aca="false">IF(OR(I193="",J193=""),"",I193*J193)</f>
        <v/>
      </c>
      <c r="L193" s="12"/>
      <c r="M193" s="16"/>
      <c r="N193" s="15" t="str">
        <f aca="false">IF(OR(L193="",M193="",K193=""),"",IF(L193="GANANCIA",(K193-F193)*M193,IF(L193="BRUTO",K193*M193,"")))</f>
        <v/>
      </c>
      <c r="O193" s="17" t="str">
        <f aca="false">IF(D193="","",D193+30)</f>
        <v/>
      </c>
      <c r="P193" s="18" t="str">
        <f aca="false">IF(I193="","",IF(COUNTIF(Q193:AN193,TRUE())&gt;=I193,"PAGADO",IF(COUNTIF(Q193:AN193,TRUE())&gt;0,"PARCIAL","VIGENTE")))</f>
        <v/>
      </c>
      <c r="Q193" s="19" t="str">
        <f aca="false">IF(OR(I193="",I193&lt;1,O193=""),"",O193+0)</f>
        <v/>
      </c>
      <c r="R193" s="19" t="str">
        <f aca="false">IF(OR(I193="",I193&lt;2,O193=""),"",O193+30)</f>
        <v/>
      </c>
      <c r="S193" s="19" t="str">
        <f aca="false">IF(OR(I193="",I193&lt;3,O193=""),"",O193+60)</f>
        <v/>
      </c>
      <c r="T193" s="19" t="str">
        <f aca="false">IF(OR(I193="",I193&lt;4,O193=""),"",O193+90)</f>
        <v/>
      </c>
      <c r="U193" s="19" t="str">
        <f aca="false">IF(OR(I193="",I193&lt;5,O193=""),"",O193+120)</f>
        <v/>
      </c>
      <c r="V193" s="19" t="str">
        <f aca="false">IF(OR(I193="",I193&lt;6,O193=""),"",O193+150)</f>
        <v/>
      </c>
      <c r="W193" s="19" t="str">
        <f aca="false">IF(OR(I193="",I193&lt;7,O193=""),"",O193+180)</f>
        <v/>
      </c>
      <c r="X193" s="19" t="str">
        <f aca="false">IF(OR(I193="",I193&lt;8,O193=""),"",O193+210)</f>
        <v/>
      </c>
      <c r="Y193" s="19" t="str">
        <f aca="false">IF(OR(I193="",I193&lt;9,O193=""),"",O193+240)</f>
        <v/>
      </c>
      <c r="Z193" s="19" t="str">
        <f aca="false">IF(OR(I193="",I193&lt;10,O193=""),"",O193+270)</f>
        <v/>
      </c>
      <c r="AA193" s="19" t="str">
        <f aca="false">IF(OR(I193="",I193&lt;11,O193=""),"",O193+300)</f>
        <v/>
      </c>
      <c r="AB193" s="19" t="str">
        <f aca="false">IF(OR(I193="",I193&lt;12,O193=""),"",O193+330)</f>
        <v/>
      </c>
      <c r="AC193" s="19" t="str">
        <f aca="false">IF(OR(I193="",I193&lt;13,O193=""),"",O193+360)</f>
        <v/>
      </c>
      <c r="AD193" s="19" t="str">
        <f aca="false">IF(OR(I193="",I193&lt;14,O193=""),"",O193+390)</f>
        <v/>
      </c>
      <c r="AE193" s="19" t="str">
        <f aca="false">IF(OR(I193="",I193&lt;15,O193=""),"",O193+420)</f>
        <v/>
      </c>
      <c r="AF193" s="19" t="str">
        <f aca="false">IF(OR(I193="",I193&lt;16,O193=""),"",O193+450)</f>
        <v/>
      </c>
      <c r="AG193" s="19" t="str">
        <f aca="false">IF(OR(I193="",I193&lt;17,O193=""),"",O193+480)</f>
        <v/>
      </c>
      <c r="AH193" s="19" t="str">
        <f aca="false">IF(OR(I193="",I193&lt;18,O193=""),"",O193+510)</f>
        <v/>
      </c>
      <c r="AI193" s="19" t="str">
        <f aca="false">IF(OR(I193="",I193&lt;19,O193=""),"",O193+540)</f>
        <v/>
      </c>
      <c r="AJ193" s="19" t="str">
        <f aca="false">IF(OR(I193="",I193&lt;20,O193=""),"",O193+570)</f>
        <v/>
      </c>
      <c r="AK193" s="19" t="str">
        <f aca="false">IF(OR(I193="",I193&lt;21,O193=""),"",O193+600)</f>
        <v/>
      </c>
      <c r="AL193" s="19" t="str">
        <f aca="false">IF(OR(I193="",I193&lt;22,O193=""),"",O193+630)</f>
        <v/>
      </c>
      <c r="AM193" s="19" t="str">
        <f aca="false">IF(OR(I193="",I193&lt;23,O193=""),"",O193+660)</f>
        <v/>
      </c>
      <c r="AN193" s="19" t="str">
        <f aca="false">IF(OR(I193="",I193&lt;24,O193=""),"",O193+690)</f>
        <v/>
      </c>
      <c r="AO193" s="15" t="str">
        <f aca="false">IF(J193="","",COUNTIF(Q193:AN193,TRUE())*J193)</f>
        <v/>
      </c>
      <c r="AP193" s="15" t="str">
        <f aca="false">IF(K193="","",K193-AO193)</f>
        <v/>
      </c>
      <c r="AQ193" s="15" t="str">
        <f aca="false">IF(K193="","",K193-F193-IF(N193="",0,N193))</f>
        <v/>
      </c>
    </row>
    <row r="194" customFormat="false" ht="15" hidden="false" customHeight="false" outlineLevel="0" collapsed="false">
      <c r="A194" s="4"/>
      <c r="B194" s="4"/>
      <c r="C194" s="4"/>
      <c r="D194" s="5"/>
      <c r="E194" s="5"/>
      <c r="F194" s="6"/>
      <c r="G194" s="4"/>
      <c r="H194" s="4"/>
      <c r="I194" s="4"/>
      <c r="J194" s="6"/>
      <c r="K194" s="7" t="str">
        <f aca="false">IF(OR(I194="",J194=""),"",I194*J194)</f>
        <v/>
      </c>
      <c r="L194" s="4"/>
      <c r="M194" s="8"/>
      <c r="N194" s="7" t="str">
        <f aca="false">IF(OR(L194="",M194="",K194=""),"",IF(L194="GANANCIA",(K194-F194)*M194,IF(L194="BRUTO",K194*M194,"")))</f>
        <v/>
      </c>
      <c r="O194" s="9" t="str">
        <f aca="false">IF(D194="","",D194+30)</f>
        <v/>
      </c>
      <c r="P194" s="10" t="str">
        <f aca="false">IF(I194="","",IF(COUNTIF(Q194:AN194,TRUE())&gt;=I194,"PAGADO",IF(COUNTIF(Q194:AN194,TRUE())&gt;0,"PARCIAL","VIGENTE")))</f>
        <v/>
      </c>
      <c r="Q194" s="11" t="str">
        <f aca="false">IF(OR(I194="",I194&lt;1,O194=""),"",O194+0)</f>
        <v/>
      </c>
      <c r="R194" s="11" t="str">
        <f aca="false">IF(OR(I194="",I194&lt;2,O194=""),"",O194+30)</f>
        <v/>
      </c>
      <c r="S194" s="11" t="str">
        <f aca="false">IF(OR(I194="",I194&lt;3,O194=""),"",O194+60)</f>
        <v/>
      </c>
      <c r="T194" s="11" t="str">
        <f aca="false">IF(OR(I194="",I194&lt;4,O194=""),"",O194+90)</f>
        <v/>
      </c>
      <c r="U194" s="11" t="str">
        <f aca="false">IF(OR(I194="",I194&lt;5,O194=""),"",O194+120)</f>
        <v/>
      </c>
      <c r="V194" s="11" t="str">
        <f aca="false">IF(OR(I194="",I194&lt;6,O194=""),"",O194+150)</f>
        <v/>
      </c>
      <c r="W194" s="11" t="str">
        <f aca="false">IF(OR(I194="",I194&lt;7,O194=""),"",O194+180)</f>
        <v/>
      </c>
      <c r="X194" s="11" t="str">
        <f aca="false">IF(OR(I194="",I194&lt;8,O194=""),"",O194+210)</f>
        <v/>
      </c>
      <c r="Y194" s="11" t="str">
        <f aca="false">IF(OR(I194="",I194&lt;9,O194=""),"",O194+240)</f>
        <v/>
      </c>
      <c r="Z194" s="11" t="str">
        <f aca="false">IF(OR(I194="",I194&lt;10,O194=""),"",O194+270)</f>
        <v/>
      </c>
      <c r="AA194" s="11" t="str">
        <f aca="false">IF(OR(I194="",I194&lt;11,O194=""),"",O194+300)</f>
        <v/>
      </c>
      <c r="AB194" s="11" t="str">
        <f aca="false">IF(OR(I194="",I194&lt;12,O194=""),"",O194+330)</f>
        <v/>
      </c>
      <c r="AC194" s="11" t="str">
        <f aca="false">IF(OR(I194="",I194&lt;13,O194=""),"",O194+360)</f>
        <v/>
      </c>
      <c r="AD194" s="11" t="str">
        <f aca="false">IF(OR(I194="",I194&lt;14,O194=""),"",O194+390)</f>
        <v/>
      </c>
      <c r="AE194" s="11" t="str">
        <f aca="false">IF(OR(I194="",I194&lt;15,O194=""),"",O194+420)</f>
        <v/>
      </c>
      <c r="AF194" s="11" t="str">
        <f aca="false">IF(OR(I194="",I194&lt;16,O194=""),"",O194+450)</f>
        <v/>
      </c>
      <c r="AG194" s="11" t="str">
        <f aca="false">IF(OR(I194="",I194&lt;17,O194=""),"",O194+480)</f>
        <v/>
      </c>
      <c r="AH194" s="11" t="str">
        <f aca="false">IF(OR(I194="",I194&lt;18,O194=""),"",O194+510)</f>
        <v/>
      </c>
      <c r="AI194" s="11" t="str">
        <f aca="false">IF(OR(I194="",I194&lt;19,O194=""),"",O194+540)</f>
        <v/>
      </c>
      <c r="AJ194" s="11" t="str">
        <f aca="false">IF(OR(I194="",I194&lt;20,O194=""),"",O194+570)</f>
        <v/>
      </c>
      <c r="AK194" s="11" t="str">
        <f aca="false">IF(OR(I194="",I194&lt;21,O194=""),"",O194+600)</f>
        <v/>
      </c>
      <c r="AL194" s="11" t="str">
        <f aca="false">IF(OR(I194="",I194&lt;22,O194=""),"",O194+630)</f>
        <v/>
      </c>
      <c r="AM194" s="11" t="str">
        <f aca="false">IF(OR(I194="",I194&lt;23,O194=""),"",O194+660)</f>
        <v/>
      </c>
      <c r="AN194" s="11" t="str">
        <f aca="false">IF(OR(I194="",I194&lt;24,O194=""),"",O194+690)</f>
        <v/>
      </c>
      <c r="AO194" s="7" t="str">
        <f aca="false">IF(J194="","",COUNTIF(Q194:AN194,TRUE())*J194)</f>
        <v/>
      </c>
      <c r="AP194" s="7" t="str">
        <f aca="false">IF(K194="","",K194-AO194)</f>
        <v/>
      </c>
      <c r="AQ194" s="7" t="str">
        <f aca="false">IF(K194="","",K194-F194-IF(N194="",0,N194))</f>
        <v/>
      </c>
    </row>
    <row r="195" customFormat="false" ht="15" hidden="false" customHeight="false" outlineLevel="0" collapsed="false">
      <c r="A195" s="12"/>
      <c r="B195" s="12"/>
      <c r="C195" s="12"/>
      <c r="D195" s="13"/>
      <c r="E195" s="13"/>
      <c r="F195" s="14"/>
      <c r="G195" s="12"/>
      <c r="H195" s="12"/>
      <c r="I195" s="12"/>
      <c r="J195" s="14"/>
      <c r="K195" s="15" t="str">
        <f aca="false">IF(OR(I195="",J195=""),"",I195*J195)</f>
        <v/>
      </c>
      <c r="L195" s="12"/>
      <c r="M195" s="16"/>
      <c r="N195" s="15" t="str">
        <f aca="false">IF(OR(L195="",M195="",K195=""),"",IF(L195="GANANCIA",(K195-F195)*M195,IF(L195="BRUTO",K195*M195,"")))</f>
        <v/>
      </c>
      <c r="O195" s="17" t="str">
        <f aca="false">IF(D195="","",D195+30)</f>
        <v/>
      </c>
      <c r="P195" s="18" t="str">
        <f aca="false">IF(I195="","",IF(COUNTIF(Q195:AN195,TRUE())&gt;=I195,"PAGADO",IF(COUNTIF(Q195:AN195,TRUE())&gt;0,"PARCIAL","VIGENTE")))</f>
        <v/>
      </c>
      <c r="Q195" s="19" t="str">
        <f aca="false">IF(OR(I195="",I195&lt;1,O195=""),"",O195+0)</f>
        <v/>
      </c>
      <c r="R195" s="19" t="str">
        <f aca="false">IF(OR(I195="",I195&lt;2,O195=""),"",O195+30)</f>
        <v/>
      </c>
      <c r="S195" s="19" t="str">
        <f aca="false">IF(OR(I195="",I195&lt;3,O195=""),"",O195+60)</f>
        <v/>
      </c>
      <c r="T195" s="19" t="str">
        <f aca="false">IF(OR(I195="",I195&lt;4,O195=""),"",O195+90)</f>
        <v/>
      </c>
      <c r="U195" s="19" t="str">
        <f aca="false">IF(OR(I195="",I195&lt;5,O195=""),"",O195+120)</f>
        <v/>
      </c>
      <c r="V195" s="19" t="str">
        <f aca="false">IF(OR(I195="",I195&lt;6,O195=""),"",O195+150)</f>
        <v/>
      </c>
      <c r="W195" s="19" t="str">
        <f aca="false">IF(OR(I195="",I195&lt;7,O195=""),"",O195+180)</f>
        <v/>
      </c>
      <c r="X195" s="19" t="str">
        <f aca="false">IF(OR(I195="",I195&lt;8,O195=""),"",O195+210)</f>
        <v/>
      </c>
      <c r="Y195" s="19" t="str">
        <f aca="false">IF(OR(I195="",I195&lt;9,O195=""),"",O195+240)</f>
        <v/>
      </c>
      <c r="Z195" s="19" t="str">
        <f aca="false">IF(OR(I195="",I195&lt;10,O195=""),"",O195+270)</f>
        <v/>
      </c>
      <c r="AA195" s="19" t="str">
        <f aca="false">IF(OR(I195="",I195&lt;11,O195=""),"",O195+300)</f>
        <v/>
      </c>
      <c r="AB195" s="19" t="str">
        <f aca="false">IF(OR(I195="",I195&lt;12,O195=""),"",O195+330)</f>
        <v/>
      </c>
      <c r="AC195" s="19" t="str">
        <f aca="false">IF(OR(I195="",I195&lt;13,O195=""),"",O195+360)</f>
        <v/>
      </c>
      <c r="AD195" s="19" t="str">
        <f aca="false">IF(OR(I195="",I195&lt;14,O195=""),"",O195+390)</f>
        <v/>
      </c>
      <c r="AE195" s="19" t="str">
        <f aca="false">IF(OR(I195="",I195&lt;15,O195=""),"",O195+420)</f>
        <v/>
      </c>
      <c r="AF195" s="19" t="str">
        <f aca="false">IF(OR(I195="",I195&lt;16,O195=""),"",O195+450)</f>
        <v/>
      </c>
      <c r="AG195" s="19" t="str">
        <f aca="false">IF(OR(I195="",I195&lt;17,O195=""),"",O195+480)</f>
        <v/>
      </c>
      <c r="AH195" s="19" t="str">
        <f aca="false">IF(OR(I195="",I195&lt;18,O195=""),"",O195+510)</f>
        <v/>
      </c>
      <c r="AI195" s="19" t="str">
        <f aca="false">IF(OR(I195="",I195&lt;19,O195=""),"",O195+540)</f>
        <v/>
      </c>
      <c r="AJ195" s="19" t="str">
        <f aca="false">IF(OR(I195="",I195&lt;20,O195=""),"",O195+570)</f>
        <v/>
      </c>
      <c r="AK195" s="19" t="str">
        <f aca="false">IF(OR(I195="",I195&lt;21,O195=""),"",O195+600)</f>
        <v/>
      </c>
      <c r="AL195" s="19" t="str">
        <f aca="false">IF(OR(I195="",I195&lt;22,O195=""),"",O195+630)</f>
        <v/>
      </c>
      <c r="AM195" s="19" t="str">
        <f aca="false">IF(OR(I195="",I195&lt;23,O195=""),"",O195+660)</f>
        <v/>
      </c>
      <c r="AN195" s="19" t="str">
        <f aca="false">IF(OR(I195="",I195&lt;24,O195=""),"",O195+690)</f>
        <v/>
      </c>
      <c r="AO195" s="15" t="str">
        <f aca="false">IF(J195="","",COUNTIF(Q195:AN195,TRUE())*J195)</f>
        <v/>
      </c>
      <c r="AP195" s="15" t="str">
        <f aca="false">IF(K195="","",K195-AO195)</f>
        <v/>
      </c>
      <c r="AQ195" s="15" t="str">
        <f aca="false">IF(K195="","",K195-F195-IF(N195="",0,N195))</f>
        <v/>
      </c>
    </row>
    <row r="196" customFormat="false" ht="15" hidden="false" customHeight="false" outlineLevel="0" collapsed="false">
      <c r="A196" s="4"/>
      <c r="B196" s="4"/>
      <c r="C196" s="4"/>
      <c r="D196" s="5"/>
      <c r="E196" s="5"/>
      <c r="F196" s="6"/>
      <c r="G196" s="4"/>
      <c r="H196" s="4"/>
      <c r="I196" s="4"/>
      <c r="J196" s="6"/>
      <c r="K196" s="7" t="str">
        <f aca="false">IF(OR(I196="",J196=""),"",I196*J196)</f>
        <v/>
      </c>
      <c r="L196" s="4"/>
      <c r="M196" s="8"/>
      <c r="N196" s="7" t="str">
        <f aca="false">IF(OR(L196="",M196="",K196=""),"",IF(L196="GANANCIA",(K196-F196)*M196,IF(L196="BRUTO",K196*M196,"")))</f>
        <v/>
      </c>
      <c r="O196" s="9" t="str">
        <f aca="false">IF(D196="","",D196+30)</f>
        <v/>
      </c>
      <c r="P196" s="10" t="str">
        <f aca="false">IF(I196="","",IF(COUNTIF(Q196:AN196,TRUE())&gt;=I196,"PAGADO",IF(COUNTIF(Q196:AN196,TRUE())&gt;0,"PARCIAL","VIGENTE")))</f>
        <v/>
      </c>
      <c r="Q196" s="11" t="str">
        <f aca="false">IF(OR(I196="",I196&lt;1,O196=""),"",O196+0)</f>
        <v/>
      </c>
      <c r="R196" s="11" t="str">
        <f aca="false">IF(OR(I196="",I196&lt;2,O196=""),"",O196+30)</f>
        <v/>
      </c>
      <c r="S196" s="11" t="str">
        <f aca="false">IF(OR(I196="",I196&lt;3,O196=""),"",O196+60)</f>
        <v/>
      </c>
      <c r="T196" s="11" t="str">
        <f aca="false">IF(OR(I196="",I196&lt;4,O196=""),"",O196+90)</f>
        <v/>
      </c>
      <c r="U196" s="11" t="str">
        <f aca="false">IF(OR(I196="",I196&lt;5,O196=""),"",O196+120)</f>
        <v/>
      </c>
      <c r="V196" s="11" t="str">
        <f aca="false">IF(OR(I196="",I196&lt;6,O196=""),"",O196+150)</f>
        <v/>
      </c>
      <c r="W196" s="11" t="str">
        <f aca="false">IF(OR(I196="",I196&lt;7,O196=""),"",O196+180)</f>
        <v/>
      </c>
      <c r="X196" s="11" t="str">
        <f aca="false">IF(OR(I196="",I196&lt;8,O196=""),"",O196+210)</f>
        <v/>
      </c>
      <c r="Y196" s="11" t="str">
        <f aca="false">IF(OR(I196="",I196&lt;9,O196=""),"",O196+240)</f>
        <v/>
      </c>
      <c r="Z196" s="11" t="str">
        <f aca="false">IF(OR(I196="",I196&lt;10,O196=""),"",O196+270)</f>
        <v/>
      </c>
      <c r="AA196" s="11" t="str">
        <f aca="false">IF(OR(I196="",I196&lt;11,O196=""),"",O196+300)</f>
        <v/>
      </c>
      <c r="AB196" s="11" t="str">
        <f aca="false">IF(OR(I196="",I196&lt;12,O196=""),"",O196+330)</f>
        <v/>
      </c>
      <c r="AC196" s="11" t="str">
        <f aca="false">IF(OR(I196="",I196&lt;13,O196=""),"",O196+360)</f>
        <v/>
      </c>
      <c r="AD196" s="11" t="str">
        <f aca="false">IF(OR(I196="",I196&lt;14,O196=""),"",O196+390)</f>
        <v/>
      </c>
      <c r="AE196" s="11" t="str">
        <f aca="false">IF(OR(I196="",I196&lt;15,O196=""),"",O196+420)</f>
        <v/>
      </c>
      <c r="AF196" s="11" t="str">
        <f aca="false">IF(OR(I196="",I196&lt;16,O196=""),"",O196+450)</f>
        <v/>
      </c>
      <c r="AG196" s="11" t="str">
        <f aca="false">IF(OR(I196="",I196&lt;17,O196=""),"",O196+480)</f>
        <v/>
      </c>
      <c r="AH196" s="11" t="str">
        <f aca="false">IF(OR(I196="",I196&lt;18,O196=""),"",O196+510)</f>
        <v/>
      </c>
      <c r="AI196" s="11" t="str">
        <f aca="false">IF(OR(I196="",I196&lt;19,O196=""),"",O196+540)</f>
        <v/>
      </c>
      <c r="AJ196" s="11" t="str">
        <f aca="false">IF(OR(I196="",I196&lt;20,O196=""),"",O196+570)</f>
        <v/>
      </c>
      <c r="AK196" s="11" t="str">
        <f aca="false">IF(OR(I196="",I196&lt;21,O196=""),"",O196+600)</f>
        <v/>
      </c>
      <c r="AL196" s="11" t="str">
        <f aca="false">IF(OR(I196="",I196&lt;22,O196=""),"",O196+630)</f>
        <v/>
      </c>
      <c r="AM196" s="11" t="str">
        <f aca="false">IF(OR(I196="",I196&lt;23,O196=""),"",O196+660)</f>
        <v/>
      </c>
      <c r="AN196" s="11" t="str">
        <f aca="false">IF(OR(I196="",I196&lt;24,O196=""),"",O196+690)</f>
        <v/>
      </c>
      <c r="AO196" s="7" t="str">
        <f aca="false">IF(J196="","",COUNTIF(Q196:AN196,TRUE())*J196)</f>
        <v/>
      </c>
      <c r="AP196" s="7" t="str">
        <f aca="false">IF(K196="","",K196-AO196)</f>
        <v/>
      </c>
      <c r="AQ196" s="7" t="str">
        <f aca="false">IF(K196="","",K196-F196-IF(N196="",0,N196))</f>
        <v/>
      </c>
    </row>
    <row r="197" customFormat="false" ht="15" hidden="false" customHeight="false" outlineLevel="0" collapsed="false">
      <c r="A197" s="12"/>
      <c r="B197" s="12"/>
      <c r="C197" s="12"/>
      <c r="D197" s="13"/>
      <c r="E197" s="13"/>
      <c r="F197" s="14"/>
      <c r="G197" s="12"/>
      <c r="H197" s="12"/>
      <c r="I197" s="12"/>
      <c r="J197" s="14"/>
      <c r="K197" s="15" t="str">
        <f aca="false">IF(OR(I197="",J197=""),"",I197*J197)</f>
        <v/>
      </c>
      <c r="L197" s="12"/>
      <c r="M197" s="16"/>
      <c r="N197" s="15" t="str">
        <f aca="false">IF(OR(L197="",M197="",K197=""),"",IF(L197="GANANCIA",(K197-F197)*M197,IF(L197="BRUTO",K197*M197,"")))</f>
        <v/>
      </c>
      <c r="O197" s="17" t="str">
        <f aca="false">IF(D197="","",D197+30)</f>
        <v/>
      </c>
      <c r="P197" s="18" t="str">
        <f aca="false">IF(I197="","",IF(COUNTIF(Q197:AN197,TRUE())&gt;=I197,"PAGADO",IF(COUNTIF(Q197:AN197,TRUE())&gt;0,"PARCIAL","VIGENTE")))</f>
        <v/>
      </c>
      <c r="Q197" s="19" t="str">
        <f aca="false">IF(OR(I197="",I197&lt;1,O197=""),"",O197+0)</f>
        <v/>
      </c>
      <c r="R197" s="19" t="str">
        <f aca="false">IF(OR(I197="",I197&lt;2,O197=""),"",O197+30)</f>
        <v/>
      </c>
      <c r="S197" s="19" t="str">
        <f aca="false">IF(OR(I197="",I197&lt;3,O197=""),"",O197+60)</f>
        <v/>
      </c>
      <c r="T197" s="19" t="str">
        <f aca="false">IF(OR(I197="",I197&lt;4,O197=""),"",O197+90)</f>
        <v/>
      </c>
      <c r="U197" s="19" t="str">
        <f aca="false">IF(OR(I197="",I197&lt;5,O197=""),"",O197+120)</f>
        <v/>
      </c>
      <c r="V197" s="19" t="str">
        <f aca="false">IF(OR(I197="",I197&lt;6,O197=""),"",O197+150)</f>
        <v/>
      </c>
      <c r="W197" s="19" t="str">
        <f aca="false">IF(OR(I197="",I197&lt;7,O197=""),"",O197+180)</f>
        <v/>
      </c>
      <c r="X197" s="19" t="str">
        <f aca="false">IF(OR(I197="",I197&lt;8,O197=""),"",O197+210)</f>
        <v/>
      </c>
      <c r="Y197" s="19" t="str">
        <f aca="false">IF(OR(I197="",I197&lt;9,O197=""),"",O197+240)</f>
        <v/>
      </c>
      <c r="Z197" s="19" t="str">
        <f aca="false">IF(OR(I197="",I197&lt;10,O197=""),"",O197+270)</f>
        <v/>
      </c>
      <c r="AA197" s="19" t="str">
        <f aca="false">IF(OR(I197="",I197&lt;11,O197=""),"",O197+300)</f>
        <v/>
      </c>
      <c r="AB197" s="19" t="str">
        <f aca="false">IF(OR(I197="",I197&lt;12,O197=""),"",O197+330)</f>
        <v/>
      </c>
      <c r="AC197" s="19" t="str">
        <f aca="false">IF(OR(I197="",I197&lt;13,O197=""),"",O197+360)</f>
        <v/>
      </c>
      <c r="AD197" s="19" t="str">
        <f aca="false">IF(OR(I197="",I197&lt;14,O197=""),"",O197+390)</f>
        <v/>
      </c>
      <c r="AE197" s="19" t="str">
        <f aca="false">IF(OR(I197="",I197&lt;15,O197=""),"",O197+420)</f>
        <v/>
      </c>
      <c r="AF197" s="19" t="str">
        <f aca="false">IF(OR(I197="",I197&lt;16,O197=""),"",O197+450)</f>
        <v/>
      </c>
      <c r="AG197" s="19" t="str">
        <f aca="false">IF(OR(I197="",I197&lt;17,O197=""),"",O197+480)</f>
        <v/>
      </c>
      <c r="AH197" s="19" t="str">
        <f aca="false">IF(OR(I197="",I197&lt;18,O197=""),"",O197+510)</f>
        <v/>
      </c>
      <c r="AI197" s="19" t="str">
        <f aca="false">IF(OR(I197="",I197&lt;19,O197=""),"",O197+540)</f>
        <v/>
      </c>
      <c r="AJ197" s="19" t="str">
        <f aca="false">IF(OR(I197="",I197&lt;20,O197=""),"",O197+570)</f>
        <v/>
      </c>
      <c r="AK197" s="19" t="str">
        <f aca="false">IF(OR(I197="",I197&lt;21,O197=""),"",O197+600)</f>
        <v/>
      </c>
      <c r="AL197" s="19" t="str">
        <f aca="false">IF(OR(I197="",I197&lt;22,O197=""),"",O197+630)</f>
        <v/>
      </c>
      <c r="AM197" s="19" t="str">
        <f aca="false">IF(OR(I197="",I197&lt;23,O197=""),"",O197+660)</f>
        <v/>
      </c>
      <c r="AN197" s="19" t="str">
        <f aca="false">IF(OR(I197="",I197&lt;24,O197=""),"",O197+690)</f>
        <v/>
      </c>
      <c r="AO197" s="15" t="str">
        <f aca="false">IF(J197="","",COUNTIF(Q197:AN197,TRUE())*J197)</f>
        <v/>
      </c>
      <c r="AP197" s="15" t="str">
        <f aca="false">IF(K197="","",K197-AO197)</f>
        <v/>
      </c>
      <c r="AQ197" s="15" t="str">
        <f aca="false">IF(K197="","",K197-F197-IF(N197="",0,N197))</f>
        <v/>
      </c>
    </row>
    <row r="198" customFormat="false" ht="15" hidden="false" customHeight="false" outlineLevel="0" collapsed="false">
      <c r="A198" s="4"/>
      <c r="B198" s="4"/>
      <c r="C198" s="4"/>
      <c r="D198" s="5"/>
      <c r="E198" s="5"/>
      <c r="F198" s="6"/>
      <c r="G198" s="4"/>
      <c r="H198" s="4"/>
      <c r="I198" s="4"/>
      <c r="J198" s="6"/>
      <c r="K198" s="7" t="str">
        <f aca="false">IF(OR(I198="",J198=""),"",I198*J198)</f>
        <v/>
      </c>
      <c r="L198" s="4"/>
      <c r="M198" s="8"/>
      <c r="N198" s="7" t="str">
        <f aca="false">IF(OR(L198="",M198="",K198=""),"",IF(L198="GANANCIA",(K198-F198)*M198,IF(L198="BRUTO",K198*M198,"")))</f>
        <v/>
      </c>
      <c r="O198" s="9" t="str">
        <f aca="false">IF(D198="","",D198+30)</f>
        <v/>
      </c>
      <c r="P198" s="10" t="str">
        <f aca="false">IF(I198="","",IF(COUNTIF(Q198:AN198,TRUE())&gt;=I198,"PAGADO",IF(COUNTIF(Q198:AN198,TRUE())&gt;0,"PARCIAL","VIGENTE")))</f>
        <v/>
      </c>
      <c r="Q198" s="11" t="str">
        <f aca="false">IF(OR(I198="",I198&lt;1,O198=""),"",O198+0)</f>
        <v/>
      </c>
      <c r="R198" s="11" t="str">
        <f aca="false">IF(OR(I198="",I198&lt;2,O198=""),"",O198+30)</f>
        <v/>
      </c>
      <c r="S198" s="11" t="str">
        <f aca="false">IF(OR(I198="",I198&lt;3,O198=""),"",O198+60)</f>
        <v/>
      </c>
      <c r="T198" s="11" t="str">
        <f aca="false">IF(OR(I198="",I198&lt;4,O198=""),"",O198+90)</f>
        <v/>
      </c>
      <c r="U198" s="11" t="str">
        <f aca="false">IF(OR(I198="",I198&lt;5,O198=""),"",O198+120)</f>
        <v/>
      </c>
      <c r="V198" s="11" t="str">
        <f aca="false">IF(OR(I198="",I198&lt;6,O198=""),"",O198+150)</f>
        <v/>
      </c>
      <c r="W198" s="11" t="str">
        <f aca="false">IF(OR(I198="",I198&lt;7,O198=""),"",O198+180)</f>
        <v/>
      </c>
      <c r="X198" s="11" t="str">
        <f aca="false">IF(OR(I198="",I198&lt;8,O198=""),"",O198+210)</f>
        <v/>
      </c>
      <c r="Y198" s="11" t="str">
        <f aca="false">IF(OR(I198="",I198&lt;9,O198=""),"",O198+240)</f>
        <v/>
      </c>
      <c r="Z198" s="11" t="str">
        <f aca="false">IF(OR(I198="",I198&lt;10,O198=""),"",O198+270)</f>
        <v/>
      </c>
      <c r="AA198" s="11" t="str">
        <f aca="false">IF(OR(I198="",I198&lt;11,O198=""),"",O198+300)</f>
        <v/>
      </c>
      <c r="AB198" s="11" t="str">
        <f aca="false">IF(OR(I198="",I198&lt;12,O198=""),"",O198+330)</f>
        <v/>
      </c>
      <c r="AC198" s="11" t="str">
        <f aca="false">IF(OR(I198="",I198&lt;13,O198=""),"",O198+360)</f>
        <v/>
      </c>
      <c r="AD198" s="11" t="str">
        <f aca="false">IF(OR(I198="",I198&lt;14,O198=""),"",O198+390)</f>
        <v/>
      </c>
      <c r="AE198" s="11" t="str">
        <f aca="false">IF(OR(I198="",I198&lt;15,O198=""),"",O198+420)</f>
        <v/>
      </c>
      <c r="AF198" s="11" t="str">
        <f aca="false">IF(OR(I198="",I198&lt;16,O198=""),"",O198+450)</f>
        <v/>
      </c>
      <c r="AG198" s="11" t="str">
        <f aca="false">IF(OR(I198="",I198&lt;17,O198=""),"",O198+480)</f>
        <v/>
      </c>
      <c r="AH198" s="11" t="str">
        <f aca="false">IF(OR(I198="",I198&lt;18,O198=""),"",O198+510)</f>
        <v/>
      </c>
      <c r="AI198" s="11" t="str">
        <f aca="false">IF(OR(I198="",I198&lt;19,O198=""),"",O198+540)</f>
        <v/>
      </c>
      <c r="AJ198" s="11" t="str">
        <f aca="false">IF(OR(I198="",I198&lt;20,O198=""),"",O198+570)</f>
        <v/>
      </c>
      <c r="AK198" s="11" t="str">
        <f aca="false">IF(OR(I198="",I198&lt;21,O198=""),"",O198+600)</f>
        <v/>
      </c>
      <c r="AL198" s="11" t="str">
        <f aca="false">IF(OR(I198="",I198&lt;22,O198=""),"",O198+630)</f>
        <v/>
      </c>
      <c r="AM198" s="11" t="str">
        <f aca="false">IF(OR(I198="",I198&lt;23,O198=""),"",O198+660)</f>
        <v/>
      </c>
      <c r="AN198" s="11" t="str">
        <f aca="false">IF(OR(I198="",I198&lt;24,O198=""),"",O198+690)</f>
        <v/>
      </c>
      <c r="AO198" s="7" t="str">
        <f aca="false">IF(J198="","",COUNTIF(Q198:AN198,TRUE())*J198)</f>
        <v/>
      </c>
      <c r="AP198" s="7" t="str">
        <f aca="false">IF(K198="","",K198-AO198)</f>
        <v/>
      </c>
      <c r="AQ198" s="7" t="str">
        <f aca="false">IF(K198="","",K198-F198-IF(N198="",0,N198))</f>
        <v/>
      </c>
    </row>
    <row r="199" customFormat="false" ht="15" hidden="false" customHeight="false" outlineLevel="0" collapsed="false">
      <c r="A199" s="12"/>
      <c r="B199" s="12"/>
      <c r="C199" s="12"/>
      <c r="D199" s="13"/>
      <c r="E199" s="13"/>
      <c r="F199" s="14"/>
      <c r="G199" s="12"/>
      <c r="H199" s="12"/>
      <c r="I199" s="12"/>
      <c r="J199" s="14"/>
      <c r="K199" s="15" t="str">
        <f aca="false">IF(OR(I199="",J199=""),"",I199*J199)</f>
        <v/>
      </c>
      <c r="L199" s="12"/>
      <c r="M199" s="16"/>
      <c r="N199" s="15" t="str">
        <f aca="false">IF(OR(L199="",M199="",K199=""),"",IF(L199="GANANCIA",(K199-F199)*M199,IF(L199="BRUTO",K199*M199,"")))</f>
        <v/>
      </c>
      <c r="O199" s="17" t="str">
        <f aca="false">IF(D199="","",D199+30)</f>
        <v/>
      </c>
      <c r="P199" s="18" t="str">
        <f aca="false">IF(I199="","",IF(COUNTIF(Q199:AN199,TRUE())&gt;=I199,"PAGADO",IF(COUNTIF(Q199:AN199,TRUE())&gt;0,"PARCIAL","VIGENTE")))</f>
        <v/>
      </c>
      <c r="Q199" s="19" t="str">
        <f aca="false">IF(OR(I199="",I199&lt;1,O199=""),"",O199+0)</f>
        <v/>
      </c>
      <c r="R199" s="19" t="str">
        <f aca="false">IF(OR(I199="",I199&lt;2,O199=""),"",O199+30)</f>
        <v/>
      </c>
      <c r="S199" s="19" t="str">
        <f aca="false">IF(OR(I199="",I199&lt;3,O199=""),"",O199+60)</f>
        <v/>
      </c>
      <c r="T199" s="19" t="str">
        <f aca="false">IF(OR(I199="",I199&lt;4,O199=""),"",O199+90)</f>
        <v/>
      </c>
      <c r="U199" s="19" t="str">
        <f aca="false">IF(OR(I199="",I199&lt;5,O199=""),"",O199+120)</f>
        <v/>
      </c>
      <c r="V199" s="19" t="str">
        <f aca="false">IF(OR(I199="",I199&lt;6,O199=""),"",O199+150)</f>
        <v/>
      </c>
      <c r="W199" s="19" t="str">
        <f aca="false">IF(OR(I199="",I199&lt;7,O199=""),"",O199+180)</f>
        <v/>
      </c>
      <c r="X199" s="19" t="str">
        <f aca="false">IF(OR(I199="",I199&lt;8,O199=""),"",O199+210)</f>
        <v/>
      </c>
      <c r="Y199" s="19" t="str">
        <f aca="false">IF(OR(I199="",I199&lt;9,O199=""),"",O199+240)</f>
        <v/>
      </c>
      <c r="Z199" s="19" t="str">
        <f aca="false">IF(OR(I199="",I199&lt;10,O199=""),"",O199+270)</f>
        <v/>
      </c>
      <c r="AA199" s="19" t="str">
        <f aca="false">IF(OR(I199="",I199&lt;11,O199=""),"",O199+300)</f>
        <v/>
      </c>
      <c r="AB199" s="19" t="str">
        <f aca="false">IF(OR(I199="",I199&lt;12,O199=""),"",O199+330)</f>
        <v/>
      </c>
      <c r="AC199" s="19" t="str">
        <f aca="false">IF(OR(I199="",I199&lt;13,O199=""),"",O199+360)</f>
        <v/>
      </c>
      <c r="AD199" s="19" t="str">
        <f aca="false">IF(OR(I199="",I199&lt;14,O199=""),"",O199+390)</f>
        <v/>
      </c>
      <c r="AE199" s="19" t="str">
        <f aca="false">IF(OR(I199="",I199&lt;15,O199=""),"",O199+420)</f>
        <v/>
      </c>
      <c r="AF199" s="19" t="str">
        <f aca="false">IF(OR(I199="",I199&lt;16,O199=""),"",O199+450)</f>
        <v/>
      </c>
      <c r="AG199" s="19" t="str">
        <f aca="false">IF(OR(I199="",I199&lt;17,O199=""),"",O199+480)</f>
        <v/>
      </c>
      <c r="AH199" s="19" t="str">
        <f aca="false">IF(OR(I199="",I199&lt;18,O199=""),"",O199+510)</f>
        <v/>
      </c>
      <c r="AI199" s="19" t="str">
        <f aca="false">IF(OR(I199="",I199&lt;19,O199=""),"",O199+540)</f>
        <v/>
      </c>
      <c r="AJ199" s="19" t="str">
        <f aca="false">IF(OR(I199="",I199&lt;20,O199=""),"",O199+570)</f>
        <v/>
      </c>
      <c r="AK199" s="19" t="str">
        <f aca="false">IF(OR(I199="",I199&lt;21,O199=""),"",O199+600)</f>
        <v/>
      </c>
      <c r="AL199" s="19" t="str">
        <f aca="false">IF(OR(I199="",I199&lt;22,O199=""),"",O199+630)</f>
        <v/>
      </c>
      <c r="AM199" s="19" t="str">
        <f aca="false">IF(OR(I199="",I199&lt;23,O199=""),"",O199+660)</f>
        <v/>
      </c>
      <c r="AN199" s="19" t="str">
        <f aca="false">IF(OR(I199="",I199&lt;24,O199=""),"",O199+690)</f>
        <v/>
      </c>
      <c r="AO199" s="15" t="str">
        <f aca="false">IF(J199="","",COUNTIF(Q199:AN199,TRUE())*J199)</f>
        <v/>
      </c>
      <c r="AP199" s="15" t="str">
        <f aca="false">IF(K199="","",K199-AO199)</f>
        <v/>
      </c>
      <c r="AQ199" s="15" t="str">
        <f aca="false">IF(K199="","",K199-F199-IF(N199="",0,N199))</f>
        <v/>
      </c>
    </row>
    <row r="200" customFormat="false" ht="15" hidden="false" customHeight="false" outlineLevel="0" collapsed="false">
      <c r="A200" s="4"/>
      <c r="B200" s="4"/>
      <c r="C200" s="4"/>
      <c r="D200" s="5"/>
      <c r="E200" s="5"/>
      <c r="F200" s="6"/>
      <c r="G200" s="4"/>
      <c r="H200" s="4"/>
      <c r="I200" s="4"/>
      <c r="J200" s="6"/>
      <c r="K200" s="7" t="str">
        <f aca="false">IF(OR(I200="",J200=""),"",I200*J200)</f>
        <v/>
      </c>
      <c r="L200" s="4"/>
      <c r="M200" s="8"/>
      <c r="N200" s="7" t="str">
        <f aca="false">IF(OR(L200="",M200="",K200=""),"",IF(L200="GANANCIA",(K200-F200)*M200,IF(L200="BRUTO",K200*M200,"")))</f>
        <v/>
      </c>
      <c r="O200" s="9" t="str">
        <f aca="false">IF(D200="","",D200+30)</f>
        <v/>
      </c>
      <c r="P200" s="10" t="str">
        <f aca="false">IF(I200="","",IF(COUNTIF(Q200:AN200,TRUE())&gt;=I200,"PAGADO",IF(COUNTIF(Q200:AN200,TRUE())&gt;0,"PARCIAL","VIGENTE")))</f>
        <v/>
      </c>
      <c r="Q200" s="11" t="str">
        <f aca="false">IF(OR(I200="",I200&lt;1,O200=""),"",O200+0)</f>
        <v/>
      </c>
      <c r="R200" s="11" t="str">
        <f aca="false">IF(OR(I200="",I200&lt;2,O200=""),"",O200+30)</f>
        <v/>
      </c>
      <c r="S200" s="11" t="str">
        <f aca="false">IF(OR(I200="",I200&lt;3,O200=""),"",O200+60)</f>
        <v/>
      </c>
      <c r="T200" s="11" t="str">
        <f aca="false">IF(OR(I200="",I200&lt;4,O200=""),"",O200+90)</f>
        <v/>
      </c>
      <c r="U200" s="11" t="str">
        <f aca="false">IF(OR(I200="",I200&lt;5,O200=""),"",O200+120)</f>
        <v/>
      </c>
      <c r="V200" s="11" t="str">
        <f aca="false">IF(OR(I200="",I200&lt;6,O200=""),"",O200+150)</f>
        <v/>
      </c>
      <c r="W200" s="11" t="str">
        <f aca="false">IF(OR(I200="",I200&lt;7,O200=""),"",O200+180)</f>
        <v/>
      </c>
      <c r="X200" s="11" t="str">
        <f aca="false">IF(OR(I200="",I200&lt;8,O200=""),"",O200+210)</f>
        <v/>
      </c>
      <c r="Y200" s="11" t="str">
        <f aca="false">IF(OR(I200="",I200&lt;9,O200=""),"",O200+240)</f>
        <v/>
      </c>
      <c r="Z200" s="11" t="str">
        <f aca="false">IF(OR(I200="",I200&lt;10,O200=""),"",O200+270)</f>
        <v/>
      </c>
      <c r="AA200" s="11" t="str">
        <f aca="false">IF(OR(I200="",I200&lt;11,O200=""),"",O200+300)</f>
        <v/>
      </c>
      <c r="AB200" s="11" t="str">
        <f aca="false">IF(OR(I200="",I200&lt;12,O200=""),"",O200+330)</f>
        <v/>
      </c>
      <c r="AC200" s="11" t="str">
        <f aca="false">IF(OR(I200="",I200&lt;13,O200=""),"",O200+360)</f>
        <v/>
      </c>
      <c r="AD200" s="11" t="str">
        <f aca="false">IF(OR(I200="",I200&lt;14,O200=""),"",O200+390)</f>
        <v/>
      </c>
      <c r="AE200" s="11" t="str">
        <f aca="false">IF(OR(I200="",I200&lt;15,O200=""),"",O200+420)</f>
        <v/>
      </c>
      <c r="AF200" s="11" t="str">
        <f aca="false">IF(OR(I200="",I200&lt;16,O200=""),"",O200+450)</f>
        <v/>
      </c>
      <c r="AG200" s="11" t="str">
        <f aca="false">IF(OR(I200="",I200&lt;17,O200=""),"",O200+480)</f>
        <v/>
      </c>
      <c r="AH200" s="11" t="str">
        <f aca="false">IF(OR(I200="",I200&lt;18,O200=""),"",O200+510)</f>
        <v/>
      </c>
      <c r="AI200" s="11" t="str">
        <f aca="false">IF(OR(I200="",I200&lt;19,O200=""),"",O200+540)</f>
        <v/>
      </c>
      <c r="AJ200" s="11" t="str">
        <f aca="false">IF(OR(I200="",I200&lt;20,O200=""),"",O200+570)</f>
        <v/>
      </c>
      <c r="AK200" s="11" t="str">
        <f aca="false">IF(OR(I200="",I200&lt;21,O200=""),"",O200+600)</f>
        <v/>
      </c>
      <c r="AL200" s="11" t="str">
        <f aca="false">IF(OR(I200="",I200&lt;22,O200=""),"",O200+630)</f>
        <v/>
      </c>
      <c r="AM200" s="11" t="str">
        <f aca="false">IF(OR(I200="",I200&lt;23,O200=""),"",O200+660)</f>
        <v/>
      </c>
      <c r="AN200" s="11" t="str">
        <f aca="false">IF(OR(I200="",I200&lt;24,O200=""),"",O200+690)</f>
        <v/>
      </c>
      <c r="AO200" s="7" t="str">
        <f aca="false">IF(J200="","",COUNTIF(Q200:AN200,TRUE())*J200)</f>
        <v/>
      </c>
      <c r="AP200" s="7" t="str">
        <f aca="false">IF(K200="","",K200-AO200)</f>
        <v/>
      </c>
      <c r="AQ200" s="7" t="str">
        <f aca="false">IF(K200="","",K200-F200-IF(N200="",0,N200))</f>
        <v/>
      </c>
    </row>
    <row r="201" customFormat="false" ht="15" hidden="false" customHeight="false" outlineLevel="0" collapsed="false">
      <c r="A201" s="12"/>
      <c r="B201" s="12"/>
      <c r="C201" s="12"/>
      <c r="D201" s="13"/>
      <c r="E201" s="13"/>
      <c r="F201" s="14"/>
      <c r="G201" s="12"/>
      <c r="H201" s="12"/>
      <c r="I201" s="12"/>
      <c r="J201" s="14"/>
      <c r="K201" s="15" t="str">
        <f aca="false">IF(OR(I201="",J201=""),"",I201*J201)</f>
        <v/>
      </c>
      <c r="L201" s="12"/>
      <c r="M201" s="16"/>
      <c r="N201" s="15" t="str">
        <f aca="false">IF(OR(L201="",M201="",K201=""),"",IF(L201="GANANCIA",(K201-F201)*M201,IF(L201="BRUTO",K201*M201,"")))</f>
        <v/>
      </c>
      <c r="O201" s="17" t="str">
        <f aca="false">IF(D201="","",D201+30)</f>
        <v/>
      </c>
      <c r="P201" s="18" t="str">
        <f aca="false">IF(I201="","",IF(COUNTIF(Q201:AN201,TRUE())&gt;=I201,"PAGADO",IF(COUNTIF(Q201:AN201,TRUE())&gt;0,"PARCIAL","VIGENTE")))</f>
        <v/>
      </c>
      <c r="Q201" s="19" t="str">
        <f aca="false">IF(OR(I201="",I201&lt;1,O201=""),"",O201+0)</f>
        <v/>
      </c>
      <c r="R201" s="19" t="str">
        <f aca="false">IF(OR(I201="",I201&lt;2,O201=""),"",O201+30)</f>
        <v/>
      </c>
      <c r="S201" s="19" t="str">
        <f aca="false">IF(OR(I201="",I201&lt;3,O201=""),"",O201+60)</f>
        <v/>
      </c>
      <c r="T201" s="19" t="str">
        <f aca="false">IF(OR(I201="",I201&lt;4,O201=""),"",O201+90)</f>
        <v/>
      </c>
      <c r="U201" s="19" t="str">
        <f aca="false">IF(OR(I201="",I201&lt;5,O201=""),"",O201+120)</f>
        <v/>
      </c>
      <c r="V201" s="19" t="str">
        <f aca="false">IF(OR(I201="",I201&lt;6,O201=""),"",O201+150)</f>
        <v/>
      </c>
      <c r="W201" s="19" t="str">
        <f aca="false">IF(OR(I201="",I201&lt;7,O201=""),"",O201+180)</f>
        <v/>
      </c>
      <c r="X201" s="19" t="str">
        <f aca="false">IF(OR(I201="",I201&lt;8,O201=""),"",O201+210)</f>
        <v/>
      </c>
      <c r="Y201" s="19" t="str">
        <f aca="false">IF(OR(I201="",I201&lt;9,O201=""),"",O201+240)</f>
        <v/>
      </c>
      <c r="Z201" s="19" t="str">
        <f aca="false">IF(OR(I201="",I201&lt;10,O201=""),"",O201+270)</f>
        <v/>
      </c>
      <c r="AA201" s="19" t="str">
        <f aca="false">IF(OR(I201="",I201&lt;11,O201=""),"",O201+300)</f>
        <v/>
      </c>
      <c r="AB201" s="19" t="str">
        <f aca="false">IF(OR(I201="",I201&lt;12,O201=""),"",O201+330)</f>
        <v/>
      </c>
      <c r="AC201" s="19" t="str">
        <f aca="false">IF(OR(I201="",I201&lt;13,O201=""),"",O201+360)</f>
        <v/>
      </c>
      <c r="AD201" s="19" t="str">
        <f aca="false">IF(OR(I201="",I201&lt;14,O201=""),"",O201+390)</f>
        <v/>
      </c>
      <c r="AE201" s="19" t="str">
        <f aca="false">IF(OR(I201="",I201&lt;15,O201=""),"",O201+420)</f>
        <v/>
      </c>
      <c r="AF201" s="19" t="str">
        <f aca="false">IF(OR(I201="",I201&lt;16,O201=""),"",O201+450)</f>
        <v/>
      </c>
      <c r="AG201" s="19" t="str">
        <f aca="false">IF(OR(I201="",I201&lt;17,O201=""),"",O201+480)</f>
        <v/>
      </c>
      <c r="AH201" s="19" t="str">
        <f aca="false">IF(OR(I201="",I201&lt;18,O201=""),"",O201+510)</f>
        <v/>
      </c>
      <c r="AI201" s="19" t="str">
        <f aca="false">IF(OR(I201="",I201&lt;19,O201=""),"",O201+540)</f>
        <v/>
      </c>
      <c r="AJ201" s="19" t="str">
        <f aca="false">IF(OR(I201="",I201&lt;20,O201=""),"",O201+570)</f>
        <v/>
      </c>
      <c r="AK201" s="19" t="str">
        <f aca="false">IF(OR(I201="",I201&lt;21,O201=""),"",O201+600)</f>
        <v/>
      </c>
      <c r="AL201" s="19" t="str">
        <f aca="false">IF(OR(I201="",I201&lt;22,O201=""),"",O201+630)</f>
        <v/>
      </c>
      <c r="AM201" s="19" t="str">
        <f aca="false">IF(OR(I201="",I201&lt;23,O201=""),"",O201+660)</f>
        <v/>
      </c>
      <c r="AN201" s="19" t="str">
        <f aca="false">IF(OR(I201="",I201&lt;24,O201=""),"",O201+690)</f>
        <v/>
      </c>
      <c r="AO201" s="15" t="str">
        <f aca="false">IF(J201="","",COUNTIF(Q201:AN201,TRUE())*J201)</f>
        <v/>
      </c>
      <c r="AP201" s="15" t="str">
        <f aca="false">IF(K201="","",K201-AO201)</f>
        <v/>
      </c>
      <c r="AQ201" s="15" t="str">
        <f aca="false">IF(K201="","",K201-F201-IF(N201="",0,N201))</f>
        <v/>
      </c>
    </row>
    <row r="202" customFormat="false" ht="15" hidden="false" customHeight="false" outlineLevel="0" collapsed="false">
      <c r="A202" s="4"/>
      <c r="B202" s="4"/>
      <c r="C202" s="4"/>
      <c r="D202" s="5"/>
      <c r="E202" s="5"/>
      <c r="F202" s="6"/>
      <c r="G202" s="4"/>
      <c r="H202" s="4"/>
      <c r="I202" s="4"/>
      <c r="J202" s="6"/>
      <c r="K202" s="7" t="str">
        <f aca="false">IF(OR(I202="",J202=""),"",I202*J202)</f>
        <v/>
      </c>
      <c r="L202" s="4"/>
      <c r="M202" s="8"/>
      <c r="N202" s="7" t="str">
        <f aca="false">IF(OR(L202="",M202="",K202=""),"",IF(L202="GANANCIA",(K202-F202)*M202,IF(L202="BRUTO",K202*M202,"")))</f>
        <v/>
      </c>
      <c r="O202" s="9" t="str">
        <f aca="false">IF(D202="","",D202+30)</f>
        <v/>
      </c>
      <c r="P202" s="10" t="str">
        <f aca="false">IF(I202="","",IF(COUNTIF(Q202:AN202,TRUE())&gt;=I202,"PAGADO",IF(COUNTIF(Q202:AN202,TRUE())&gt;0,"PARCIAL","VIGENTE")))</f>
        <v/>
      </c>
      <c r="Q202" s="11" t="str">
        <f aca="false">IF(OR(I202="",I202&lt;1,O202=""),"",O202+0)</f>
        <v/>
      </c>
      <c r="R202" s="11" t="str">
        <f aca="false">IF(OR(I202="",I202&lt;2,O202=""),"",O202+30)</f>
        <v/>
      </c>
      <c r="S202" s="11" t="str">
        <f aca="false">IF(OR(I202="",I202&lt;3,O202=""),"",O202+60)</f>
        <v/>
      </c>
      <c r="T202" s="11" t="str">
        <f aca="false">IF(OR(I202="",I202&lt;4,O202=""),"",O202+90)</f>
        <v/>
      </c>
      <c r="U202" s="11" t="str">
        <f aca="false">IF(OR(I202="",I202&lt;5,O202=""),"",O202+120)</f>
        <v/>
      </c>
      <c r="V202" s="11" t="str">
        <f aca="false">IF(OR(I202="",I202&lt;6,O202=""),"",O202+150)</f>
        <v/>
      </c>
      <c r="W202" s="11" t="str">
        <f aca="false">IF(OR(I202="",I202&lt;7,O202=""),"",O202+180)</f>
        <v/>
      </c>
      <c r="X202" s="11" t="str">
        <f aca="false">IF(OR(I202="",I202&lt;8,O202=""),"",O202+210)</f>
        <v/>
      </c>
      <c r="Y202" s="11" t="str">
        <f aca="false">IF(OR(I202="",I202&lt;9,O202=""),"",O202+240)</f>
        <v/>
      </c>
      <c r="Z202" s="11" t="str">
        <f aca="false">IF(OR(I202="",I202&lt;10,O202=""),"",O202+270)</f>
        <v/>
      </c>
      <c r="AA202" s="11" t="str">
        <f aca="false">IF(OR(I202="",I202&lt;11,O202=""),"",O202+300)</f>
        <v/>
      </c>
      <c r="AB202" s="11" t="str">
        <f aca="false">IF(OR(I202="",I202&lt;12,O202=""),"",O202+330)</f>
        <v/>
      </c>
      <c r="AC202" s="11" t="str">
        <f aca="false">IF(OR(I202="",I202&lt;13,O202=""),"",O202+360)</f>
        <v/>
      </c>
      <c r="AD202" s="11" t="str">
        <f aca="false">IF(OR(I202="",I202&lt;14,O202=""),"",O202+390)</f>
        <v/>
      </c>
      <c r="AE202" s="11" t="str">
        <f aca="false">IF(OR(I202="",I202&lt;15,O202=""),"",O202+420)</f>
        <v/>
      </c>
      <c r="AF202" s="11" t="str">
        <f aca="false">IF(OR(I202="",I202&lt;16,O202=""),"",O202+450)</f>
        <v/>
      </c>
      <c r="AG202" s="11" t="str">
        <f aca="false">IF(OR(I202="",I202&lt;17,O202=""),"",O202+480)</f>
        <v/>
      </c>
      <c r="AH202" s="11" t="str">
        <f aca="false">IF(OR(I202="",I202&lt;18,O202=""),"",O202+510)</f>
        <v/>
      </c>
      <c r="AI202" s="11" t="str">
        <f aca="false">IF(OR(I202="",I202&lt;19,O202=""),"",O202+540)</f>
        <v/>
      </c>
      <c r="AJ202" s="11" t="str">
        <f aca="false">IF(OR(I202="",I202&lt;20,O202=""),"",O202+570)</f>
        <v/>
      </c>
      <c r="AK202" s="11" t="str">
        <f aca="false">IF(OR(I202="",I202&lt;21,O202=""),"",O202+600)</f>
        <v/>
      </c>
      <c r="AL202" s="11" t="str">
        <f aca="false">IF(OR(I202="",I202&lt;22,O202=""),"",O202+630)</f>
        <v/>
      </c>
      <c r="AM202" s="11" t="str">
        <f aca="false">IF(OR(I202="",I202&lt;23,O202=""),"",O202+660)</f>
        <v/>
      </c>
      <c r="AN202" s="11" t="str">
        <f aca="false">IF(OR(I202="",I202&lt;24,O202=""),"",O202+690)</f>
        <v/>
      </c>
      <c r="AO202" s="7" t="str">
        <f aca="false">IF(J202="","",COUNTIF(Q202:AN202,TRUE())*J202)</f>
        <v/>
      </c>
      <c r="AP202" s="7" t="str">
        <f aca="false">IF(K202="","",K202-AO202)</f>
        <v/>
      </c>
      <c r="AQ202" s="7" t="str">
        <f aca="false">IF(K202="","",K202-F202-IF(N202="",0,N202))</f>
        <v/>
      </c>
    </row>
    <row r="203" customFormat="false" ht="15" hidden="false" customHeight="false" outlineLevel="0" collapsed="false">
      <c r="A203" s="12"/>
      <c r="B203" s="12"/>
      <c r="C203" s="12"/>
      <c r="D203" s="13"/>
      <c r="E203" s="13"/>
      <c r="F203" s="14"/>
      <c r="G203" s="12"/>
      <c r="H203" s="12"/>
      <c r="I203" s="12"/>
      <c r="J203" s="14"/>
      <c r="K203" s="15" t="str">
        <f aca="false">IF(OR(I203="",J203=""),"",I203*J203)</f>
        <v/>
      </c>
      <c r="L203" s="12"/>
      <c r="M203" s="16"/>
      <c r="N203" s="15" t="str">
        <f aca="false">IF(OR(L203="",M203="",K203=""),"",IF(L203="GANANCIA",(K203-F203)*M203,IF(L203="BRUTO",K203*M203,"")))</f>
        <v/>
      </c>
      <c r="O203" s="17" t="str">
        <f aca="false">IF(D203="","",D203+30)</f>
        <v/>
      </c>
      <c r="P203" s="18" t="str">
        <f aca="false">IF(I203="","",IF(COUNTIF(Q203:AN203,TRUE())&gt;=I203,"PAGADO",IF(COUNTIF(Q203:AN203,TRUE())&gt;0,"PARCIAL","VIGENTE")))</f>
        <v/>
      </c>
      <c r="Q203" s="19" t="str">
        <f aca="false">IF(OR(I203="",I203&lt;1,O203=""),"",O203+0)</f>
        <v/>
      </c>
      <c r="R203" s="19" t="str">
        <f aca="false">IF(OR(I203="",I203&lt;2,O203=""),"",O203+30)</f>
        <v/>
      </c>
      <c r="S203" s="19" t="str">
        <f aca="false">IF(OR(I203="",I203&lt;3,O203=""),"",O203+60)</f>
        <v/>
      </c>
      <c r="T203" s="19" t="str">
        <f aca="false">IF(OR(I203="",I203&lt;4,O203=""),"",O203+90)</f>
        <v/>
      </c>
      <c r="U203" s="19" t="str">
        <f aca="false">IF(OR(I203="",I203&lt;5,O203=""),"",O203+120)</f>
        <v/>
      </c>
      <c r="V203" s="19" t="str">
        <f aca="false">IF(OR(I203="",I203&lt;6,O203=""),"",O203+150)</f>
        <v/>
      </c>
      <c r="W203" s="19" t="str">
        <f aca="false">IF(OR(I203="",I203&lt;7,O203=""),"",O203+180)</f>
        <v/>
      </c>
      <c r="X203" s="19" t="str">
        <f aca="false">IF(OR(I203="",I203&lt;8,O203=""),"",O203+210)</f>
        <v/>
      </c>
      <c r="Y203" s="19" t="str">
        <f aca="false">IF(OR(I203="",I203&lt;9,O203=""),"",O203+240)</f>
        <v/>
      </c>
      <c r="Z203" s="19" t="str">
        <f aca="false">IF(OR(I203="",I203&lt;10,O203=""),"",O203+270)</f>
        <v/>
      </c>
      <c r="AA203" s="19" t="str">
        <f aca="false">IF(OR(I203="",I203&lt;11,O203=""),"",O203+300)</f>
        <v/>
      </c>
      <c r="AB203" s="19" t="str">
        <f aca="false">IF(OR(I203="",I203&lt;12,O203=""),"",O203+330)</f>
        <v/>
      </c>
      <c r="AC203" s="19" t="str">
        <f aca="false">IF(OR(I203="",I203&lt;13,O203=""),"",O203+360)</f>
        <v/>
      </c>
      <c r="AD203" s="19" t="str">
        <f aca="false">IF(OR(I203="",I203&lt;14,O203=""),"",O203+390)</f>
        <v/>
      </c>
      <c r="AE203" s="19" t="str">
        <f aca="false">IF(OR(I203="",I203&lt;15,O203=""),"",O203+420)</f>
        <v/>
      </c>
      <c r="AF203" s="19" t="str">
        <f aca="false">IF(OR(I203="",I203&lt;16,O203=""),"",O203+450)</f>
        <v/>
      </c>
      <c r="AG203" s="19" t="str">
        <f aca="false">IF(OR(I203="",I203&lt;17,O203=""),"",O203+480)</f>
        <v/>
      </c>
      <c r="AH203" s="19" t="str">
        <f aca="false">IF(OR(I203="",I203&lt;18,O203=""),"",O203+510)</f>
        <v/>
      </c>
      <c r="AI203" s="19" t="str">
        <f aca="false">IF(OR(I203="",I203&lt;19,O203=""),"",O203+540)</f>
        <v/>
      </c>
      <c r="AJ203" s="19" t="str">
        <f aca="false">IF(OR(I203="",I203&lt;20,O203=""),"",O203+570)</f>
        <v/>
      </c>
      <c r="AK203" s="19" t="str">
        <f aca="false">IF(OR(I203="",I203&lt;21,O203=""),"",O203+600)</f>
        <v/>
      </c>
      <c r="AL203" s="19" t="str">
        <f aca="false">IF(OR(I203="",I203&lt;22,O203=""),"",O203+630)</f>
        <v/>
      </c>
      <c r="AM203" s="19" t="str">
        <f aca="false">IF(OR(I203="",I203&lt;23,O203=""),"",O203+660)</f>
        <v/>
      </c>
      <c r="AN203" s="19" t="str">
        <f aca="false">IF(OR(I203="",I203&lt;24,O203=""),"",O203+690)</f>
        <v/>
      </c>
      <c r="AO203" s="15" t="str">
        <f aca="false">IF(J203="","",COUNTIF(Q203:AN203,TRUE())*J203)</f>
        <v/>
      </c>
      <c r="AP203" s="15" t="str">
        <f aca="false">IF(K203="","",K203-AO203)</f>
        <v/>
      </c>
      <c r="AQ203" s="15" t="str">
        <f aca="false">IF(K203="","",K203-F203-IF(N203="",0,N203))</f>
        <v/>
      </c>
    </row>
  </sheetData>
  <mergeCells count="2">
    <mergeCell ref="A1:AQ1"/>
    <mergeCell ref="A2:AQ2"/>
  </mergeCells>
  <conditionalFormatting sqref="P4:P203">
    <cfRule type="cellIs" priority="2" operator="equal" aboveAverage="0" equalAverage="0" bottom="0" percent="0" rank="0" text="" dxfId="0">
      <formula>"PAGADO"</formula>
    </cfRule>
    <cfRule type="cellIs" priority="3" operator="equal" aboveAverage="0" equalAverage="0" bottom="0" percent="0" rank="0" text="" dxfId="1">
      <formula>"VIGENTE"</formula>
    </cfRule>
    <cfRule type="cellIs" priority="4" operator="equal" aboveAverage="0" equalAverage="0" bottom="0" percent="0" rank="0" text="" dxfId="2">
      <formula>"PARCIAL"</formula>
    </cfRule>
  </conditionalFormatting>
  <dataValidations count="1">
    <dataValidation allowBlank="true" error="Elegí GANANCIA o BRUTO" errorStyle="stop" errorTitle="Valor inválido" operator="between" showDropDown="false" showErrorMessage="false" showInputMessage="false" sqref="L4:L203" type="list">
      <formula1>"GANANCIA,BRUTO"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45"/>
  </cols>
  <sheetData>
    <row r="1" customFormat="false" ht="39.75" hidden="false" customHeight="true" outlineLevel="0" collapsed="false">
      <c r="A1" s="20" t="s">
        <v>51</v>
      </c>
      <c r="B1" s="20"/>
      <c r="C1" s="20"/>
      <c r="D1" s="20"/>
    </row>
    <row r="2" customFormat="false" ht="30" hidden="false" customHeight="true" outlineLevel="0" collapsed="false">
      <c r="A2" s="21" t="s">
        <v>52</v>
      </c>
      <c r="B2" s="21" t="s">
        <v>53</v>
      </c>
      <c r="C2" s="21" t="s">
        <v>14</v>
      </c>
      <c r="D2" s="21" t="s">
        <v>54</v>
      </c>
    </row>
    <row r="3" customFormat="false" ht="15" hidden="false" customHeight="false" outlineLevel="0" collapsed="false">
      <c r="A3" s="22" t="s">
        <v>55</v>
      </c>
      <c r="B3" s="22" t="s">
        <v>56</v>
      </c>
      <c r="C3" s="23" t="n">
        <v>0.5</v>
      </c>
      <c r="D3" s="22" t="s">
        <v>57</v>
      </c>
    </row>
    <row r="4" customFormat="false" ht="15" hidden="false" customHeight="false" outlineLevel="0" collapsed="false">
      <c r="A4" s="24" t="s">
        <v>58</v>
      </c>
      <c r="B4" s="24" t="s">
        <v>56</v>
      </c>
      <c r="C4" s="25" t="n">
        <v>0.35</v>
      </c>
      <c r="D4" s="24" t="s">
        <v>59</v>
      </c>
    </row>
    <row r="5" customFormat="false" ht="15" hidden="false" customHeight="false" outlineLevel="0" collapsed="false">
      <c r="A5" s="22" t="s">
        <v>60</v>
      </c>
      <c r="B5" s="22" t="s">
        <v>56</v>
      </c>
      <c r="C5" s="23" t="n">
        <v>0.5</v>
      </c>
      <c r="D5" s="22" t="s">
        <v>61</v>
      </c>
    </row>
    <row r="6" customFormat="false" ht="15" hidden="false" customHeight="false" outlineLevel="0" collapsed="false">
      <c r="A6" s="24" t="s">
        <v>62</v>
      </c>
      <c r="B6" s="24" t="s">
        <v>56</v>
      </c>
      <c r="C6" s="25" t="n">
        <v>0.5</v>
      </c>
      <c r="D6" s="24" t="s">
        <v>61</v>
      </c>
    </row>
    <row r="7" customFormat="false" ht="15" hidden="false" customHeight="false" outlineLevel="0" collapsed="false">
      <c r="A7" s="22" t="s">
        <v>63</v>
      </c>
      <c r="B7" s="22" t="s">
        <v>64</v>
      </c>
      <c r="C7" s="23" t="n">
        <v>0.05</v>
      </c>
      <c r="D7" s="22" t="s">
        <v>65</v>
      </c>
    </row>
    <row r="8" customFormat="false" ht="15" hidden="false" customHeight="false" outlineLevel="0" collapsed="false">
      <c r="A8" s="24" t="s">
        <v>66</v>
      </c>
      <c r="B8" s="24" t="s">
        <v>67</v>
      </c>
      <c r="C8" s="25" t="n">
        <v>0.03</v>
      </c>
      <c r="D8" s="24" t="s">
        <v>68</v>
      </c>
    </row>
    <row r="9" customFormat="false" ht="15" hidden="false" customHeight="false" outlineLevel="0" collapsed="false">
      <c r="A9" s="22" t="s">
        <v>69</v>
      </c>
      <c r="B9" s="22" t="s">
        <v>67</v>
      </c>
      <c r="C9" s="23" t="n">
        <v>0.03</v>
      </c>
      <c r="D9" s="22" t="s">
        <v>68</v>
      </c>
    </row>
    <row r="10" customFormat="false" ht="15" hidden="false" customHeight="false" outlineLevel="0" collapsed="false">
      <c r="A10" s="24" t="s">
        <v>70</v>
      </c>
      <c r="B10" s="24" t="s">
        <v>71</v>
      </c>
      <c r="C10" s="24"/>
      <c r="D10" s="24" t="s">
        <v>72</v>
      </c>
    </row>
  </sheetData>
  <mergeCells count="1">
    <mergeCell ref="A1:D1"/>
  </mergeCells>
  <dataValidations count="1">
    <dataValidation allowBlank="true" errorStyle="stop" operator="between" showDropDown="false" showErrorMessage="false" showInputMessage="false" sqref="B3:B22" type="list">
      <formula1>"GANANCIA,BRUTO,ESPECIAL,N/A"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2026-03-12T03:13:53Z</dcterms:created>
  <dc:creator>openpyxl</dc:creator>
  <dc:description/>
  <dc:language>en-US</dc:language>
  <cp:lastModifiedBy/>
  <dcterms:modified xsi:type="dcterms:W3CDTF">2026-03-12T03:13:55Z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