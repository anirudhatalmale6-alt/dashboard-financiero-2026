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MOVIMIENTOS" sheetId="3" state="visible" r:id="rId3"/>
    <sheet xmlns:r="http://schemas.openxmlformats.org/officeDocument/2006/relationships" name="GASTOS FIJOS" sheetId="4" state="visible" r:id="rId4"/>
    <sheet xmlns:r="http://schemas.openxmlformats.org/officeDocument/2006/relationships" name="TARJETAS Y CUOTAS" sheetId="5" state="visible" r:id="rId5"/>
    <sheet xmlns:r="http://schemas.openxmlformats.org/officeDocument/2006/relationships" name="RESUMEN MENSUAL" sheetId="6" state="visible" r:id="rId6"/>
    <sheet xmlns:r="http://schemas.openxmlformats.org/officeDocument/2006/relationships" name="PRESUPUESTO" sheetId="7" state="visible" r:id="rId7"/>
    <sheet xmlns:r="http://schemas.openxmlformats.org/officeDocument/2006/relationships" name="TABLERO" sheetId="8" state="visible" r:id="rId8"/>
  </sheets>
  <definedNames>
    <definedName name="CategoriasGasto">CONFIG!$A$5:$A$60</definedName>
    <definedName name="CategoriasIngreso">CONFIG!$C$5:$C$40</definedName>
    <definedName name="MediosPago">CONFIG!$E$5:$E$40</definedName>
    <definedName name="TodasCategorias">CONFIG!$M$5:$M$104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m/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7145"/>
      <sz val="12"/>
    </font>
    <font>
      <name val="Calibri"/>
      <b val="1"/>
      <color rgb="009C0006"/>
      <sz val="12"/>
    </font>
    <font>
      <name val="Calibri"/>
      <b val="1"/>
      <color rgb="001F3864"/>
      <sz val="12"/>
    </font>
    <font>
      <name val="Calibri"/>
      <b val="1"/>
      <color rgb="00BF8F00"/>
      <sz val="12"/>
    </font>
    <font>
      <name val="Calibri"/>
      <b val="1"/>
      <color rgb="002E5C8A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9C0006"/>
      </patternFill>
    </fill>
    <fill>
      <patternFill patternType="solid">
        <fgColor rgb="001E7145"/>
      </patternFill>
    </fill>
    <fill>
      <patternFill patternType="solid">
        <fgColor rgb="00FFF9E6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indent="1"/>
    </xf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4" fontId="3" fillId="0" borderId="1" pivotButton="0" quotePrefix="0" xfId="0"/>
    <xf numFmtId="0" fontId="4" fillId="0" borderId="0" pivotButton="0" quotePrefix="0" xfId="0"/>
    <xf numFmtId="164" fontId="3" fillId="0" borderId="1" pivotButton="0" quotePrefix="0" xfId="0"/>
    <xf numFmtId="1" fontId="3" fillId="4" borderId="1" pivotButton="0" quotePrefix="0" xfId="0"/>
    <xf numFmtId="4" fontId="3" fillId="4" borderId="1" pivotButton="0" quotePrefix="0" xfId="0"/>
    <xf numFmtId="0" fontId="6" fillId="0" borderId="0" pivotButton="0" quotePrefix="0" xfId="0"/>
    <xf numFmtId="4" fontId="6" fillId="0" borderId="0" pivotButton="0" quotePrefix="0" xfId="0"/>
    <xf numFmtId="164" fontId="0" fillId="0" borderId="1" pivotButton="0" quotePrefix="0" xfId="0"/>
    <xf numFmtId="4" fontId="0" fillId="0" borderId="1" pivotButton="0" quotePrefix="0" xfId="0"/>
    <xf numFmtId="165" fontId="3" fillId="4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2" fillId="5" borderId="1" pivotButton="0" quotePrefix="0" xfId="0"/>
    <xf numFmtId="0" fontId="4" fillId="0" borderId="0" applyAlignment="1" pivotButton="0" quotePrefix="0" xfId="0">
      <alignment horizontal="center"/>
    </xf>
    <xf numFmtId="3" fontId="3" fillId="0" borderId="1" pivotButton="0" quotePrefix="0" xfId="0"/>
    <xf numFmtId="3" fontId="7" fillId="0" borderId="1" pivotButton="0" quotePrefix="0" xfId="0"/>
    <xf numFmtId="0" fontId="5" fillId="6" borderId="0" pivotButton="0" quotePrefix="0" xfId="0"/>
    <xf numFmtId="3" fontId="5" fillId="6" borderId="1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7" borderId="0" pivotButton="0" quotePrefix="0" xfId="0"/>
    <xf numFmtId="3" fontId="5" fillId="7" borderId="1" pivotButton="0" quotePrefix="0" xfId="0"/>
    <xf numFmtId="0" fontId="5" fillId="2" borderId="0" pivotButton="0" quotePrefix="0" xfId="0"/>
    <xf numFmtId="3" fontId="5" fillId="2" borderId="1" pivotButton="0" quotePrefix="0" xfId="0"/>
    <xf numFmtId="3" fontId="0" fillId="8" borderId="1" pivotButton="0" quotePrefix="0" xfId="0"/>
    <xf numFmtId="3" fontId="0" fillId="4" borderId="1" pivotButton="0" quotePrefix="0" xfId="0"/>
    <xf numFmtId="9" fontId="0" fillId="4" borderId="1" pivotButton="0" quotePrefix="0" xfId="0"/>
    <xf numFmtId="0" fontId="0" fillId="4" borderId="1" pivotButton="0" quotePrefix="0" xfId="0"/>
    <xf numFmtId="0" fontId="5" fillId="7" borderId="1" pivotButton="0" quotePrefix="0" xfId="0"/>
    <xf numFmtId="4" fontId="8" fillId="0" borderId="1" applyAlignment="1" pivotButton="0" quotePrefix="0" xfId="0">
      <alignment horizontal="right"/>
    </xf>
    <xf numFmtId="0" fontId="5" fillId="6" borderId="1" pivotButton="0" quotePrefix="0" xfId="0"/>
    <xf numFmtId="4" fontId="9" fillId="0" borderId="1" applyAlignment="1" pivotButton="0" quotePrefix="0" xfId="0">
      <alignment horizontal="right"/>
    </xf>
    <xf numFmtId="0" fontId="5" fillId="2" borderId="1" pivotButton="0" quotePrefix="0" xfId="0"/>
    <xf numFmtId="4" fontId="10" fillId="0" borderId="1" applyAlignment="1" pivotButton="0" quotePrefix="0" xfId="0">
      <alignment horizontal="right"/>
    </xf>
    <xf numFmtId="0" fontId="5" fillId="9" borderId="1" pivotButton="0" quotePrefix="0" xfId="0"/>
    <xf numFmtId="4" fontId="11" fillId="0" borderId="1" applyAlignment="1" pivotButton="0" quotePrefix="0" xfId="0">
      <alignment horizontal="right"/>
    </xf>
    <xf numFmtId="0" fontId="5" fillId="3" borderId="1" pivotButton="0" quotePrefix="0" xfId="0"/>
    <xf numFmtId="4" fontId="1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6" customHeight="1">
      <c r="A1" s="1" t="inlineStr">
        <is>
          <t>PLANILLA DE CONTROL DE GASTOS - Guia de uso</t>
        </is>
      </c>
    </row>
    <row r="3">
      <c r="B3" t="inlineStr"/>
    </row>
    <row r="4">
      <c r="B4" s="2" t="inlineStr">
        <is>
          <t>Como empezar</t>
        </is>
      </c>
    </row>
    <row r="5">
      <c r="B5" s="3" t="inlineStr">
        <is>
          <t>1) Abri Google Drive &gt; Nuevo &gt; Subir archivo, subi este .xlsx y abrilo con Google Sheets.</t>
        </is>
      </c>
    </row>
    <row r="6">
      <c r="B6" s="3" t="inlineStr">
        <is>
          <t xml:space="preserve">   (o desde una planilla ya abierta: Archivo &gt; Importar &gt; Subir, y elegi 'Insertar hojas nuevas').</t>
        </is>
      </c>
    </row>
    <row r="7">
      <c r="B7" s="3" t="inlineStr">
        <is>
          <t>2) Anda a la solapa CONFIG y ajusta las categorias, los medios de pago y la cotizacion del dolar de cada mes.</t>
        </is>
      </c>
    </row>
    <row r="8">
      <c r="B8" s="3" t="inlineStr">
        <is>
          <t>3) Cargá todo en la solapa MOVIMIENTOS. Es la unica que se completa a mano todos los dias.</t>
        </is>
      </c>
    </row>
    <row r="9">
      <c r="B9" s="3" t="inlineStr">
        <is>
          <t>4) El resto de las solapas se calculan solas.</t>
        </is>
      </c>
    </row>
    <row r="10">
      <c r="B10" t="inlineStr"/>
    </row>
    <row r="11">
      <c r="B11" s="2" t="inlineStr">
        <is>
          <t>Que hace cada solapa</t>
        </is>
      </c>
    </row>
    <row r="12">
      <c r="B12" s="3" t="inlineStr">
        <is>
          <t>CONFIG - Las listas que alimentan los desplegables y la tabla de cotizacion del dolar por mes.</t>
        </is>
      </c>
    </row>
    <row r="13">
      <c r="B13" s="3" t="inlineStr">
        <is>
          <t xml:space="preserve">   Las categorias de gasto van en la columna A y las de ingreso en la columna C. La lista de la derecha</t>
        </is>
      </c>
    </row>
    <row r="14">
      <c r="B14" s="3" t="inlineStr">
        <is>
          <t xml:space="preserve">   se arma sola con las dos y es la que ves en el desplegable Categoria de MOVIMIENTOS.</t>
        </is>
      </c>
    </row>
    <row r="15">
      <c r="B15" s="3" t="inlineStr">
        <is>
          <t>MOVIMIENTOS - El diario. Una fila por gasto o ingreso. Fecha, categoria, medio de pago e importe.</t>
        </is>
      </c>
    </row>
    <row r="16">
      <c r="B16" s="3" t="inlineStr">
        <is>
          <t>GASTOS FIJOS - Los que se repiten todos los meses (alquiler, servicios, sueldos, monotributo).</t>
        </is>
      </c>
    </row>
    <row r="17">
      <c r="B17" s="3" t="inlineStr">
        <is>
          <t>TARJETAS Y CUOTAS - Compras en cuotas: cuanto pagaste, cuanto falta y en que mes termina.</t>
        </is>
      </c>
    </row>
    <row r="18">
      <c r="B18" s="3" t="inlineStr">
        <is>
          <t>RESUMEN MENSUAL - Categoria por mes, con totales. Es el cuadro que mas vas a mirar.</t>
        </is>
      </c>
    </row>
    <row r="19">
      <c r="B19" s="3" t="inlineStr">
        <is>
          <t>PRESUPUESTO - Cuanto pensabas gastar por categoria contra lo que gastaste de verdad.</t>
        </is>
      </c>
    </row>
    <row r="20">
      <c r="B20" s="3" t="inlineStr">
        <is>
          <t>TABLERO - Los numeros grandes del año: total gastos, total ingresos, resultado y el ranking de categorias.</t>
        </is>
      </c>
    </row>
    <row r="21">
      <c r="B21" t="inlineStr"/>
    </row>
    <row r="22">
      <c r="B22" s="2" t="inlineStr">
        <is>
          <t>Reglas para que las cuentas cierren</t>
        </is>
      </c>
    </row>
    <row r="23">
      <c r="B23" s="3" t="inlineStr">
        <is>
          <t>- La fecha siempre en formato dd/mm/aaaa. Las columnas Año y Mes se completan solas, no las toques.</t>
        </is>
      </c>
    </row>
    <row r="24">
      <c r="B24" s="3" t="inlineStr">
        <is>
          <t>- La columna Moneda define si el importe es en pesos o en dolares. Si carga en pesos, la planilla lo pasa</t>
        </is>
      </c>
    </row>
    <row r="25">
      <c r="B25" s="3" t="inlineStr">
        <is>
          <t xml:space="preserve">  a dolares con la cotizacion del mes que pusiste en CONFIG.</t>
        </is>
      </c>
    </row>
    <row r="26">
      <c r="B26" s="3" t="inlineStr">
        <is>
          <t>- Los importes van siempre en positivo. El signo lo pone la columna Tipo (Gasto o Ingreso).</t>
        </is>
      </c>
    </row>
    <row r="27">
      <c r="B27" s="3" t="inlineStr">
        <is>
          <t>- No borres filas del medio ni cambies el orden de las columnas: las formulas de los resumenes las buscan por letra.</t>
        </is>
      </c>
    </row>
    <row r="28">
      <c r="B28" s="3" t="inlineStr">
        <is>
          <t>- Para agregar mas filas, copia la ultima fila hacia abajo asi se arrastran las formulas de Año, Mes y U$D.</t>
        </is>
      </c>
    </row>
    <row r="29">
      <c r="B29" t="inlineStr"/>
    </row>
    <row r="30">
      <c r="B30" s="2" t="inlineStr">
        <is>
          <t>Como sumar un año nuevo</t>
        </is>
      </c>
    </row>
    <row r="31">
      <c r="B31" s="3" t="inlineStr">
        <is>
          <t>En RESUMEN MENSUAL, PRESUPUESTO y TABLERO hay una celda amarilla arriba con el año.</t>
        </is>
      </c>
    </row>
    <row r="32">
      <c r="B32" s="3" t="inlineStr">
        <is>
          <t>Cambiale el año y todos los cuadros se recalculan. No hace falta duplicar solapas.</t>
        </is>
      </c>
    </row>
    <row r="33">
      <c r="B33" t="inlineStr"/>
    </row>
    <row r="34">
      <c r="B34" s="2" t="inlineStr">
        <is>
          <t>Graficos</t>
        </is>
      </c>
    </row>
    <row r="35">
      <c r="B35" s="3" t="inlineStr">
        <is>
          <t>En RESUMEN MENSUAL selecciona la fila TOTAL GASTOS junto con la fila de meses y usa Insertar &gt; Grafico</t>
        </is>
      </c>
    </row>
    <row r="36">
      <c r="B36" s="3" t="inlineStr">
        <is>
          <t>para tener la curva del año. Para el reparto por categoria, selecciona la columna TOTAL y un grafico de torta.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30" customWidth="1" min="1" max="1"/>
    <col width="2" customWidth="1" min="2" max="2"/>
    <col width="26" customWidth="1" min="3" max="3"/>
    <col width="2" customWidth="1" min="4" max="4"/>
    <col width="24" customWidth="1" min="5" max="5"/>
    <col width="2" customWidth="1" min="6" max="6"/>
    <col width="8" customWidth="1" min="7" max="7"/>
    <col width="8" customWidth="1" min="8" max="8"/>
    <col width="10" customWidth="1" min="9" max="9"/>
    <col width="14" customWidth="1" min="10" max="10"/>
    <col width="2" customWidth="1" min="11" max="11"/>
    <col width="2" customWidth="1" min="12" max="12"/>
    <col width="30" customWidth="1" min="13" max="13"/>
  </cols>
  <sheetData>
    <row r="1" ht="26" customHeight="1">
      <c r="A1" s="1" t="inlineStr">
        <is>
          <t>CONFIGURACION</t>
        </is>
      </c>
    </row>
    <row r="2">
      <c r="A2" s="4" t="inlineStr">
        <is>
          <t>Edita libremente las listas. Lo que escribas aca es lo que aparece en los desplegables de MOVIMIENTOS.</t>
        </is>
      </c>
    </row>
    <row r="4" ht="30" customHeight="1">
      <c r="A4" s="5" t="inlineStr">
        <is>
          <t>CATEGORIAS DE GASTO</t>
        </is>
      </c>
      <c r="C4" s="5" t="inlineStr">
        <is>
          <t>CATEGORIAS DE INGRESO</t>
        </is>
      </c>
      <c r="E4" s="5" t="inlineStr">
        <is>
          <t>MEDIOS DE PAGO</t>
        </is>
      </c>
      <c r="G4" s="5" t="inlineStr">
        <is>
          <t>Año</t>
        </is>
      </c>
      <c r="H4" s="5" t="inlineStr">
        <is>
          <t>Mes</t>
        </is>
      </c>
      <c r="I4" s="5" t="inlineStr">
        <is>
          <t>Clave</t>
        </is>
      </c>
      <c r="J4" s="5" t="inlineStr">
        <is>
          <t>Cotizacion U$D</t>
        </is>
      </c>
      <c r="M4" s="5" t="inlineStr">
        <is>
          <t>LISTA COMPLETA (automatica)</t>
        </is>
      </c>
    </row>
    <row r="5">
      <c r="A5" s="6" t="inlineStr">
        <is>
          <t>Vivienda</t>
        </is>
      </c>
      <c r="C5" s="6" t="inlineStr">
        <is>
          <t>Ventas</t>
        </is>
      </c>
      <c r="E5" s="6" t="inlineStr">
        <is>
          <t>Efectivo</t>
        </is>
      </c>
      <c r="G5" s="6" t="n">
        <v>2026</v>
      </c>
      <c r="H5" s="6" t="n">
        <v>1</v>
      </c>
      <c r="I5" s="7">
        <f>IF($G5="","",$G5*100+$H5)</f>
        <v/>
      </c>
      <c r="J5" s="8" t="n">
        <v>1540</v>
      </c>
      <c r="M5" s="9">
        <f>IF(ROW()-4&lt;=COUNTA($A$5:$A$60),INDEX($A$5:$A$60,ROW()-4),IF(ROW()-4-COUNTA($A$5:$A$60)&lt;=COUNTA($C$5:$C$40),INDEX($C$5:$C$40,ROW()-4-COUNTA($A$5:$A$60)),""))</f>
        <v/>
      </c>
    </row>
    <row r="6">
      <c r="A6" s="6" t="inlineStr">
        <is>
          <t>Servicios</t>
        </is>
      </c>
      <c r="C6" s="6" t="inlineStr">
        <is>
          <t>Cobranza de Cuotas</t>
        </is>
      </c>
      <c r="E6" s="6" t="inlineStr">
        <is>
          <t>Transferencia</t>
        </is>
      </c>
      <c r="G6" s="6" t="n">
        <v>2026</v>
      </c>
      <c r="H6" s="6" t="n">
        <v>2</v>
      </c>
      <c r="I6" s="7">
        <f>IF($G6="","",$G6*100+$H6)</f>
        <v/>
      </c>
      <c r="J6" s="8" t="n">
        <v>1540</v>
      </c>
      <c r="M6" s="9">
        <f>IF(ROW()-4&lt;=COUNTA($A$5:$A$60),INDEX($A$5:$A$60,ROW()-4),IF(ROW()-4-COUNTA($A$5:$A$60)&lt;=COUNTA($C$5:$C$40),INDEX($C$5:$C$40,ROW()-4-COUNTA($A$5:$A$60)),""))</f>
        <v/>
      </c>
    </row>
    <row r="7">
      <c r="A7" s="6" t="inlineStr">
        <is>
          <t>Impuestos y Tasas</t>
        </is>
      </c>
      <c r="C7" s="6" t="inlineStr">
        <is>
          <t>Alquileres Cobrados</t>
        </is>
      </c>
      <c r="E7" s="6" t="inlineStr">
        <is>
          <t>Debito Automatico</t>
        </is>
      </c>
      <c r="G7" s="6" t="n">
        <v>2026</v>
      </c>
      <c r="H7" s="6" t="n">
        <v>3</v>
      </c>
      <c r="I7" s="7">
        <f>IF($G7="","",$G7*100+$H7)</f>
        <v/>
      </c>
      <c r="J7" s="8" t="n">
        <v>1540</v>
      </c>
      <c r="M7" s="9">
        <f>IF(ROW()-4&lt;=COUNTA($A$5:$A$60),INDEX($A$5:$A$60,ROW()-4),IF(ROW()-4-COUNTA($A$5:$A$60)&lt;=COUNTA($C$5:$C$40),INDEX($C$5:$C$40,ROW()-4-COUNTA($A$5:$A$60)),""))</f>
        <v/>
      </c>
    </row>
    <row r="8">
      <c r="A8" s="6" t="inlineStr">
        <is>
          <t>Supermercado</t>
        </is>
      </c>
      <c r="C8" s="6" t="inlineStr">
        <is>
          <t>Intereses Ganados</t>
        </is>
      </c>
      <c r="E8" s="6" t="inlineStr">
        <is>
          <t>Tarjeta de Debito</t>
        </is>
      </c>
      <c r="G8" s="6" t="n">
        <v>2026</v>
      </c>
      <c r="H8" s="6" t="n">
        <v>4</v>
      </c>
      <c r="I8" s="7">
        <f>IF($G8="","",$G8*100+$H8)</f>
        <v/>
      </c>
      <c r="J8" s="8" t="n">
        <v>1540</v>
      </c>
      <c r="M8" s="9">
        <f>IF(ROW()-4&lt;=COUNTA($A$5:$A$60),INDEX($A$5:$A$60,ROW()-4),IF(ROW()-4-COUNTA($A$5:$A$60)&lt;=COUNTA($C$5:$C$40),INDEX($C$5:$C$40,ROW()-4-COUNTA($A$5:$A$60)),""))</f>
        <v/>
      </c>
    </row>
    <row r="9">
      <c r="A9" s="6" t="inlineStr">
        <is>
          <t>Comida y Salidas</t>
        </is>
      </c>
      <c r="C9" s="6" t="inlineStr">
        <is>
          <t>Sueldo</t>
        </is>
      </c>
      <c r="E9" s="6" t="inlineStr">
        <is>
          <t>Tarjeta de Credito</t>
        </is>
      </c>
      <c r="G9" s="6" t="n">
        <v>2026</v>
      </c>
      <c r="H9" s="6" t="n">
        <v>5</v>
      </c>
      <c r="I9" s="7">
        <f>IF($G9="","",$G9*100+$H9)</f>
        <v/>
      </c>
      <c r="J9" s="8" t="n">
        <v>1540</v>
      </c>
      <c r="M9" s="9">
        <f>IF(ROW()-4&lt;=COUNTA($A$5:$A$60),INDEX($A$5:$A$60,ROW()-4),IF(ROW()-4-COUNTA($A$5:$A$60)&lt;=COUNTA($C$5:$C$40),INDEX($C$5:$C$40,ROW()-4-COUNTA($A$5:$A$60)),""))</f>
        <v/>
      </c>
    </row>
    <row r="10">
      <c r="A10" s="6" t="inlineStr">
        <is>
          <t>Transporte</t>
        </is>
      </c>
      <c r="C10" s="6" t="inlineStr">
        <is>
          <t>Honorarios</t>
        </is>
      </c>
      <c r="E10" s="6" t="inlineStr">
        <is>
          <t>Mercado Pago</t>
        </is>
      </c>
      <c r="G10" s="6" t="n">
        <v>2026</v>
      </c>
      <c r="H10" s="6" t="n">
        <v>6</v>
      </c>
      <c r="I10" s="7">
        <f>IF($G10="","",$G10*100+$H10)</f>
        <v/>
      </c>
      <c r="J10" s="8" t="n">
        <v>1540</v>
      </c>
      <c r="M10" s="9">
        <f>IF(ROW()-4&lt;=COUNTA($A$5:$A$60),INDEX($A$5:$A$60,ROW()-4),IF(ROW()-4-COUNTA($A$5:$A$60)&lt;=COUNTA($C$5:$C$40),INDEX($C$5:$C$40,ROW()-4-COUNTA($A$5:$A$60)),""))</f>
        <v/>
      </c>
    </row>
    <row r="11">
      <c r="A11" s="6" t="inlineStr">
        <is>
          <t>Combustible</t>
        </is>
      </c>
      <c r="C11" s="6" t="inlineStr">
        <is>
          <t>Devoluciones</t>
        </is>
      </c>
      <c r="E11" s="6" t="inlineStr">
        <is>
          <t>Cheque</t>
        </is>
      </c>
      <c r="G11" s="6" t="n">
        <v>2026</v>
      </c>
      <c r="H11" s="6" t="n">
        <v>7</v>
      </c>
      <c r="I11" s="7">
        <f>IF($G11="","",$G11*100+$H11)</f>
        <v/>
      </c>
      <c r="J11" s="8" t="n">
        <v>1540</v>
      </c>
      <c r="M11" s="9">
        <f>IF(ROW()-4&lt;=COUNTA($A$5:$A$60),INDEX($A$5:$A$60,ROW()-4),IF(ROW()-4-COUNTA($A$5:$A$60)&lt;=COUNTA($C$5:$C$40),INDEX($C$5:$C$40,ROW()-4-COUNTA($A$5:$A$60)),""))</f>
        <v/>
      </c>
    </row>
    <row r="12">
      <c r="A12" s="6" t="inlineStr">
        <is>
          <t>Vehiculos - Mantenimiento</t>
        </is>
      </c>
      <c r="C12" s="6" t="inlineStr">
        <is>
          <t>Aportes de Socios</t>
        </is>
      </c>
      <c r="E12" s="6" t="inlineStr">
        <is>
          <t>Dolares Efectivo</t>
        </is>
      </c>
      <c r="G12" s="6" t="n">
        <v>2026</v>
      </c>
      <c r="H12" s="6" t="n">
        <v>8</v>
      </c>
      <c r="I12" s="7">
        <f>IF($G12="","",$G12*100+$H12)</f>
        <v/>
      </c>
      <c r="J12" s="8" t="n">
        <v>1540</v>
      </c>
      <c r="M12" s="9">
        <f>IF(ROW()-4&lt;=COUNTA($A$5:$A$60),INDEX($A$5:$A$60,ROW()-4),IF(ROW()-4-COUNTA($A$5:$A$60)&lt;=COUNTA($C$5:$C$40),INDEX($C$5:$C$40,ROW()-4-COUNTA($A$5:$A$60)),""))</f>
        <v/>
      </c>
    </row>
    <row r="13">
      <c r="A13" s="6" t="inlineStr">
        <is>
          <t>Seguros</t>
        </is>
      </c>
      <c r="C13" s="6" t="inlineStr">
        <is>
          <t>Otros Ingresos</t>
        </is>
      </c>
      <c r="G13" s="6" t="n">
        <v>2026</v>
      </c>
      <c r="H13" s="6" t="n">
        <v>9</v>
      </c>
      <c r="I13" s="7">
        <f>IF($G13="","",$G13*100+$H13)</f>
        <v/>
      </c>
      <c r="J13" s="8" t="n">
        <v>1540</v>
      </c>
      <c r="M13" s="9">
        <f>IF(ROW()-4&lt;=COUNTA($A$5:$A$60),INDEX($A$5:$A$60,ROW()-4),IF(ROW()-4-COUNTA($A$5:$A$60)&lt;=COUNTA($C$5:$C$40),INDEX($C$5:$C$40,ROW()-4-COUNTA($A$5:$A$60)),""))</f>
        <v/>
      </c>
    </row>
    <row r="14">
      <c r="A14" s="6" t="inlineStr">
        <is>
          <t>Salud</t>
        </is>
      </c>
      <c r="G14" s="6" t="n">
        <v>2026</v>
      </c>
      <c r="H14" s="6" t="n">
        <v>10</v>
      </c>
      <c r="I14" s="7">
        <f>IF($G14="","",$G14*100+$H14)</f>
        <v/>
      </c>
      <c r="J14" s="8" t="n">
        <v>1540</v>
      </c>
      <c r="M14" s="9">
        <f>IF(ROW()-4&lt;=COUNTA($A$5:$A$60),INDEX($A$5:$A$60,ROW()-4),IF(ROW()-4-COUNTA($A$5:$A$60)&lt;=COUNTA($C$5:$C$40),INDEX($C$5:$C$40,ROW()-4-COUNTA($A$5:$A$60)),""))</f>
        <v/>
      </c>
    </row>
    <row r="15">
      <c r="A15" s="6" t="inlineStr">
        <is>
          <t>Educacion</t>
        </is>
      </c>
      <c r="G15" s="6" t="n">
        <v>2026</v>
      </c>
      <c r="H15" s="6" t="n">
        <v>11</v>
      </c>
      <c r="I15" s="7">
        <f>IF($G15="","",$G15*100+$H15)</f>
        <v/>
      </c>
      <c r="J15" s="8" t="n">
        <v>1540</v>
      </c>
      <c r="M15" s="9">
        <f>IF(ROW()-4&lt;=COUNTA($A$5:$A$60),INDEX($A$5:$A$60,ROW()-4),IF(ROW()-4-COUNTA($A$5:$A$60)&lt;=COUNTA($C$5:$C$40),INDEX($C$5:$C$40,ROW()-4-COUNTA($A$5:$A$60)),""))</f>
        <v/>
      </c>
    </row>
    <row r="16">
      <c r="A16" s="6" t="inlineStr">
        <is>
          <t>Indumentaria</t>
        </is>
      </c>
      <c r="G16" s="6" t="n">
        <v>2026</v>
      </c>
      <c r="H16" s="6" t="n">
        <v>12</v>
      </c>
      <c r="I16" s="7">
        <f>IF($G16="","",$G16*100+$H16)</f>
        <v/>
      </c>
      <c r="J16" s="8" t="n">
        <v>1540</v>
      </c>
      <c r="M16" s="9">
        <f>IF(ROW()-4&lt;=COUNTA($A$5:$A$60),INDEX($A$5:$A$60,ROW()-4),IF(ROW()-4-COUNTA($A$5:$A$60)&lt;=COUNTA($C$5:$C$40),INDEX($C$5:$C$40,ROW()-4-COUNTA($A$5:$A$60)),""))</f>
        <v/>
      </c>
    </row>
    <row r="17">
      <c r="A17" s="6" t="inlineStr">
        <is>
          <t>Sueldos y Cargas</t>
        </is>
      </c>
      <c r="G17" s="6" t="n">
        <v>2027</v>
      </c>
      <c r="H17" s="6" t="n">
        <v>1</v>
      </c>
      <c r="I17" s="7">
        <f>IF($G17="","",$G17*100+$H17)</f>
        <v/>
      </c>
      <c r="J17" s="8" t="n">
        <v>1540</v>
      </c>
      <c r="M17" s="9">
        <f>IF(ROW()-4&lt;=COUNTA($A$5:$A$60),INDEX($A$5:$A$60,ROW()-4),IF(ROW()-4-COUNTA($A$5:$A$60)&lt;=COUNTA($C$5:$C$40),INDEX($C$5:$C$40,ROW()-4-COUNTA($A$5:$A$60)),""))</f>
        <v/>
      </c>
    </row>
    <row r="18">
      <c r="A18" s="6" t="inlineStr">
        <is>
          <t>Honorarios Profesionales</t>
        </is>
      </c>
      <c r="G18" s="6" t="n">
        <v>2027</v>
      </c>
      <c r="H18" s="6" t="n">
        <v>2</v>
      </c>
      <c r="I18" s="7">
        <f>IF($G18="","",$G18*100+$H18)</f>
        <v/>
      </c>
      <c r="J18" s="8" t="n">
        <v>1540</v>
      </c>
      <c r="M18" s="9">
        <f>IF(ROW()-4&lt;=COUNTA($A$5:$A$60),INDEX($A$5:$A$60,ROW()-4),IF(ROW()-4-COUNTA($A$5:$A$60)&lt;=COUNTA($C$5:$C$40),INDEX($C$5:$C$40,ROW()-4-COUNTA($A$5:$A$60)),""))</f>
        <v/>
      </c>
    </row>
    <row r="19">
      <c r="A19" s="6" t="inlineStr">
        <is>
          <t>Monotributo / AFIP</t>
        </is>
      </c>
      <c r="G19" s="6" t="n">
        <v>2027</v>
      </c>
      <c r="H19" s="6" t="n">
        <v>3</v>
      </c>
      <c r="I19" s="7">
        <f>IF($G19="","",$G19*100+$H19)</f>
        <v/>
      </c>
      <c r="J19" s="8" t="n">
        <v>1540</v>
      </c>
      <c r="M19" s="9">
        <f>IF(ROW()-4&lt;=COUNTA($A$5:$A$60),INDEX($A$5:$A$60,ROW()-4),IF(ROW()-4-COUNTA($A$5:$A$60)&lt;=COUNTA($C$5:$C$40),INDEX($C$5:$C$40,ROW()-4-COUNTA($A$5:$A$60)),""))</f>
        <v/>
      </c>
    </row>
    <row r="20">
      <c r="A20" s="6" t="inlineStr">
        <is>
          <t>Bancos y Comisiones</t>
        </is>
      </c>
      <c r="G20" s="6" t="n">
        <v>2027</v>
      </c>
      <c r="H20" s="6" t="n">
        <v>4</v>
      </c>
      <c r="I20" s="7">
        <f>IF($G20="","",$G20*100+$H20)</f>
        <v/>
      </c>
      <c r="J20" s="8" t="n">
        <v>1540</v>
      </c>
      <c r="M20" s="9">
        <f>IF(ROW()-4&lt;=COUNTA($A$5:$A$60),INDEX($A$5:$A$60,ROW()-4),IF(ROW()-4-COUNTA($A$5:$A$60)&lt;=COUNTA($C$5:$C$40),INDEX($C$5:$C$40,ROW()-4-COUNTA($A$5:$A$60)),""))</f>
        <v/>
      </c>
    </row>
    <row r="21">
      <c r="A21" s="6" t="inlineStr">
        <is>
          <t>Tarjetas - Cuotas</t>
        </is>
      </c>
      <c r="G21" s="6" t="n">
        <v>2027</v>
      </c>
      <c r="H21" s="6" t="n">
        <v>5</v>
      </c>
      <c r="I21" s="7">
        <f>IF($G21="","",$G21*100+$H21)</f>
        <v/>
      </c>
      <c r="J21" s="8" t="n">
        <v>1540</v>
      </c>
      <c r="M21" s="9">
        <f>IF(ROW()-4&lt;=COUNTA($A$5:$A$60),INDEX($A$5:$A$60,ROW()-4),IF(ROW()-4-COUNTA($A$5:$A$60)&lt;=COUNTA($C$5:$C$40),INDEX($C$5:$C$40,ROW()-4-COUNTA($A$5:$A$60)),""))</f>
        <v/>
      </c>
    </row>
    <row r="22">
      <c r="A22" s="6" t="inlineStr">
        <is>
          <t>Prestamos e Intereses</t>
        </is>
      </c>
      <c r="G22" s="6" t="n">
        <v>2027</v>
      </c>
      <c r="H22" s="6" t="n">
        <v>6</v>
      </c>
      <c r="I22" s="7">
        <f>IF($G22="","",$G22*100+$H22)</f>
        <v/>
      </c>
      <c r="J22" s="8" t="n">
        <v>1540</v>
      </c>
      <c r="M22" s="9">
        <f>IF(ROW()-4&lt;=COUNTA($A$5:$A$60),INDEX($A$5:$A$60,ROW()-4),IF(ROW()-4-COUNTA($A$5:$A$60)&lt;=COUNTA($C$5:$C$40),INDEX($C$5:$C$40,ROW()-4-COUNTA($A$5:$A$60)),""))</f>
        <v/>
      </c>
    </row>
    <row r="23">
      <c r="A23" s="6" t="inlineStr">
        <is>
          <t>Inversiones</t>
        </is>
      </c>
      <c r="G23" s="6" t="n">
        <v>2027</v>
      </c>
      <c r="H23" s="6" t="n">
        <v>7</v>
      </c>
      <c r="I23" s="7">
        <f>IF($G23="","",$G23*100+$H23)</f>
        <v/>
      </c>
      <c r="J23" s="8" t="n">
        <v>1540</v>
      </c>
      <c r="M23" s="9">
        <f>IF(ROW()-4&lt;=COUNTA($A$5:$A$60),INDEX($A$5:$A$60,ROW()-4),IF(ROW()-4-COUNTA($A$5:$A$60)&lt;=COUNTA($C$5:$C$40),INDEX($C$5:$C$40,ROW()-4-COUNTA($A$5:$A$60)),""))</f>
        <v/>
      </c>
    </row>
    <row r="24">
      <c r="A24" s="6" t="inlineStr">
        <is>
          <t>Mercaderia / Stock</t>
        </is>
      </c>
      <c r="G24" s="6" t="n">
        <v>2027</v>
      </c>
      <c r="H24" s="6" t="n">
        <v>8</v>
      </c>
      <c r="I24" s="7">
        <f>IF($G24="","",$G24*100+$H24)</f>
        <v/>
      </c>
      <c r="J24" s="8" t="n">
        <v>1540</v>
      </c>
      <c r="M24" s="9">
        <f>IF(ROW()-4&lt;=COUNTA($A$5:$A$60),INDEX($A$5:$A$60,ROW()-4),IF(ROW()-4-COUNTA($A$5:$A$60)&lt;=COUNTA($C$5:$C$40),INDEX($C$5:$C$40,ROW()-4-COUNTA($A$5:$A$60)),""))</f>
        <v/>
      </c>
    </row>
    <row r="25">
      <c r="A25" s="6" t="inlineStr">
        <is>
          <t>Fletes y Logistica</t>
        </is>
      </c>
      <c r="G25" s="6" t="n">
        <v>2027</v>
      </c>
      <c r="H25" s="6" t="n">
        <v>9</v>
      </c>
      <c r="I25" s="7">
        <f>IF($G25="","",$G25*100+$H25)</f>
        <v/>
      </c>
      <c r="J25" s="8" t="n">
        <v>1540</v>
      </c>
      <c r="M25" s="9">
        <f>IF(ROW()-4&lt;=COUNTA($A$5:$A$60),INDEX($A$5:$A$60,ROW()-4),IF(ROW()-4-COUNTA($A$5:$A$60)&lt;=COUNTA($C$5:$C$40),INDEX($C$5:$C$40,ROW()-4-COUNTA($A$5:$A$60)),""))</f>
        <v/>
      </c>
    </row>
    <row r="26">
      <c r="A26" s="6" t="inlineStr">
        <is>
          <t>Marketing y Publicidad</t>
        </is>
      </c>
      <c r="G26" s="6" t="n">
        <v>2027</v>
      </c>
      <c r="H26" s="6" t="n">
        <v>10</v>
      </c>
      <c r="I26" s="7">
        <f>IF($G26="","",$G26*100+$H26)</f>
        <v/>
      </c>
      <c r="J26" s="8" t="n">
        <v>1540</v>
      </c>
      <c r="M26" s="9">
        <f>IF(ROW()-4&lt;=COUNTA($A$5:$A$60),INDEX($A$5:$A$60,ROW()-4),IF(ROW()-4-COUNTA($A$5:$A$60)&lt;=COUNTA($C$5:$C$40),INDEX($C$5:$C$40,ROW()-4-COUNTA($A$5:$A$60)),""))</f>
        <v/>
      </c>
    </row>
    <row r="27">
      <c r="A27" s="6" t="inlineStr">
        <is>
          <t>Tecnologia y Software</t>
        </is>
      </c>
      <c r="G27" s="6" t="n">
        <v>2027</v>
      </c>
      <c r="H27" s="6" t="n">
        <v>11</v>
      </c>
      <c r="I27" s="7">
        <f>IF($G27="","",$G27*100+$H27)</f>
        <v/>
      </c>
      <c r="J27" s="8" t="n">
        <v>1540</v>
      </c>
      <c r="M27" s="9">
        <f>IF(ROW()-4&lt;=COUNTA($A$5:$A$60),INDEX($A$5:$A$60,ROW()-4),IF(ROW()-4-COUNTA($A$5:$A$60)&lt;=COUNTA($C$5:$C$40),INDEX($C$5:$C$40,ROW()-4-COUNTA($A$5:$A$60)),""))</f>
        <v/>
      </c>
    </row>
    <row r="28">
      <c r="A28" s="6" t="inlineStr">
        <is>
          <t>Alquileres Comerciales</t>
        </is>
      </c>
      <c r="G28" s="6" t="n">
        <v>2027</v>
      </c>
      <c r="H28" s="6" t="n">
        <v>12</v>
      </c>
      <c r="I28" s="7">
        <f>IF($G28="","",$G28*100+$H28)</f>
        <v/>
      </c>
      <c r="J28" s="8" t="n">
        <v>1540</v>
      </c>
      <c r="M28" s="9">
        <f>IF(ROW()-4&lt;=COUNTA($A$5:$A$60),INDEX($A$5:$A$60,ROW()-4),IF(ROW()-4-COUNTA($A$5:$A$60)&lt;=COUNTA($C$5:$C$40),INDEX($C$5:$C$40,ROW()-4-COUNTA($A$5:$A$60)),""))</f>
        <v/>
      </c>
    </row>
    <row r="29">
      <c r="A29" s="6" t="inlineStr">
        <is>
          <t>Viajes</t>
        </is>
      </c>
      <c r="M29" s="9">
        <f>IF(ROW()-4&lt;=COUNTA($A$5:$A$60),INDEX($A$5:$A$60,ROW()-4),IF(ROW()-4-COUNTA($A$5:$A$60)&lt;=COUNTA($C$5:$C$40),INDEX($C$5:$C$40,ROW()-4-COUNTA($A$5:$A$60)),""))</f>
        <v/>
      </c>
    </row>
    <row r="30">
      <c r="A30" s="6" t="inlineStr">
        <is>
          <t>Regalos y Donaciones</t>
        </is>
      </c>
      <c r="G30" s="9" t="inlineStr">
        <is>
          <t>La columna Clave la usa la planilla para buscar la cotizacion. No la toques.</t>
        </is>
      </c>
      <c r="M30" s="9">
        <f>IF(ROW()-4&lt;=COUNTA($A$5:$A$60),INDEX($A$5:$A$60,ROW()-4),IF(ROW()-4-COUNTA($A$5:$A$60)&lt;=COUNTA($C$5:$C$40),INDEX($C$5:$C$40,ROW()-4-COUNTA($A$5:$A$60)),""))</f>
        <v/>
      </c>
    </row>
    <row r="31">
      <c r="A31" s="6" t="inlineStr">
        <is>
          <t>Mascotas</t>
        </is>
      </c>
      <c r="M31" s="9">
        <f>IF(ROW()-4&lt;=COUNTA($A$5:$A$60),INDEX($A$5:$A$60,ROW()-4),IF(ROW()-4-COUNTA($A$5:$A$60)&lt;=COUNTA($C$5:$C$40),INDEX($C$5:$C$40,ROW()-4-COUNTA($A$5:$A$60)),""))</f>
        <v/>
      </c>
    </row>
    <row r="32">
      <c r="A32" s="6" t="inlineStr">
        <is>
          <t>Ocio y Suscripciones</t>
        </is>
      </c>
      <c r="M32" s="9">
        <f>IF(ROW()-4&lt;=COUNTA($A$5:$A$60),INDEX($A$5:$A$60,ROW()-4),IF(ROW()-4-COUNTA($A$5:$A$60)&lt;=COUNTA($C$5:$C$40),INDEX($C$5:$C$40,ROW()-4-COUNTA($A$5:$A$60)),""))</f>
        <v/>
      </c>
    </row>
    <row r="33">
      <c r="A33" s="6" t="inlineStr">
        <is>
          <t>Gastos Varios</t>
        </is>
      </c>
      <c r="M33" s="9">
        <f>IF(ROW()-4&lt;=COUNTA($A$5:$A$60),INDEX($A$5:$A$60,ROW()-4),IF(ROW()-4-COUNTA($A$5:$A$60)&lt;=COUNTA($C$5:$C$40),INDEX($C$5:$C$40,ROW()-4-COUNTA($A$5:$A$60)),""))</f>
        <v/>
      </c>
    </row>
    <row r="34">
      <c r="M34" s="9">
        <f>IF(ROW()-4&lt;=COUNTA($A$5:$A$60),INDEX($A$5:$A$60,ROW()-4),IF(ROW()-4-COUNTA($A$5:$A$60)&lt;=COUNTA($C$5:$C$40),INDEX($C$5:$C$40,ROW()-4-COUNTA($A$5:$A$60)),""))</f>
        <v/>
      </c>
    </row>
    <row r="35">
      <c r="M35" s="9">
        <f>IF(ROW()-4&lt;=COUNTA($A$5:$A$60),INDEX($A$5:$A$60,ROW()-4),IF(ROW()-4-COUNTA($A$5:$A$60)&lt;=COUNTA($C$5:$C$40),INDEX($C$5:$C$40,ROW()-4-COUNTA($A$5:$A$60)),""))</f>
        <v/>
      </c>
    </row>
    <row r="36">
      <c r="M36" s="9">
        <f>IF(ROW()-4&lt;=COUNTA($A$5:$A$60),INDEX($A$5:$A$60,ROW()-4),IF(ROW()-4-COUNTA($A$5:$A$60)&lt;=COUNTA($C$5:$C$40),INDEX($C$5:$C$40,ROW()-4-COUNTA($A$5:$A$60)),""))</f>
        <v/>
      </c>
    </row>
    <row r="37">
      <c r="M37" s="9">
        <f>IF(ROW()-4&lt;=COUNTA($A$5:$A$60),INDEX($A$5:$A$60,ROW()-4),IF(ROW()-4-COUNTA($A$5:$A$60)&lt;=COUNTA($C$5:$C$40),INDEX($C$5:$C$40,ROW()-4-COUNTA($A$5:$A$60)),""))</f>
        <v/>
      </c>
    </row>
    <row r="38">
      <c r="M38" s="9">
        <f>IF(ROW()-4&lt;=COUNTA($A$5:$A$60),INDEX($A$5:$A$60,ROW()-4),IF(ROW()-4-COUNTA($A$5:$A$60)&lt;=COUNTA($C$5:$C$40),INDEX($C$5:$C$40,ROW()-4-COUNTA($A$5:$A$60)),""))</f>
        <v/>
      </c>
    </row>
    <row r="39">
      <c r="M39" s="9">
        <f>IF(ROW()-4&lt;=COUNTA($A$5:$A$60),INDEX($A$5:$A$60,ROW()-4),IF(ROW()-4-COUNTA($A$5:$A$60)&lt;=COUNTA($C$5:$C$40),INDEX($C$5:$C$40,ROW()-4-COUNTA($A$5:$A$60)),""))</f>
        <v/>
      </c>
    </row>
    <row r="40">
      <c r="M40" s="9">
        <f>IF(ROW()-4&lt;=COUNTA($A$5:$A$60),INDEX($A$5:$A$60,ROW()-4),IF(ROW()-4-COUNTA($A$5:$A$60)&lt;=COUNTA($C$5:$C$40),INDEX($C$5:$C$40,ROW()-4-COUNTA($A$5:$A$60)),""))</f>
        <v/>
      </c>
    </row>
    <row r="41">
      <c r="M41" s="9">
        <f>IF(ROW()-4&lt;=COUNTA($A$5:$A$60),INDEX($A$5:$A$60,ROW()-4),IF(ROW()-4-COUNTA($A$5:$A$60)&lt;=COUNTA($C$5:$C$40),INDEX($C$5:$C$40,ROW()-4-COUNTA($A$5:$A$60)),""))</f>
        <v/>
      </c>
    </row>
    <row r="42">
      <c r="M42" s="9">
        <f>IF(ROW()-4&lt;=COUNTA($A$5:$A$60),INDEX($A$5:$A$60,ROW()-4),IF(ROW()-4-COUNTA($A$5:$A$60)&lt;=COUNTA($C$5:$C$40),INDEX($C$5:$C$40,ROW()-4-COUNTA($A$5:$A$60)),""))</f>
        <v/>
      </c>
    </row>
    <row r="43">
      <c r="M43" s="9">
        <f>IF(ROW()-4&lt;=COUNTA($A$5:$A$60),INDEX($A$5:$A$60,ROW()-4),IF(ROW()-4-COUNTA($A$5:$A$60)&lt;=COUNTA($C$5:$C$40),INDEX($C$5:$C$40,ROW()-4-COUNTA($A$5:$A$60)),""))</f>
        <v/>
      </c>
    </row>
    <row r="44">
      <c r="M44" s="9">
        <f>IF(ROW()-4&lt;=COUNTA($A$5:$A$60),INDEX($A$5:$A$60,ROW()-4),IF(ROW()-4-COUNTA($A$5:$A$60)&lt;=COUNTA($C$5:$C$40),INDEX($C$5:$C$40,ROW()-4-COUNTA($A$5:$A$60)),""))</f>
        <v/>
      </c>
    </row>
    <row r="45">
      <c r="M45" s="9">
        <f>IF(ROW()-4&lt;=COUNTA($A$5:$A$60),INDEX($A$5:$A$60,ROW()-4),IF(ROW()-4-COUNTA($A$5:$A$60)&lt;=COUNTA($C$5:$C$40),INDEX($C$5:$C$40,ROW()-4-COUNTA($A$5:$A$60)),""))</f>
        <v/>
      </c>
    </row>
    <row r="46">
      <c r="M46" s="9">
        <f>IF(ROW()-4&lt;=COUNTA($A$5:$A$60),INDEX($A$5:$A$60,ROW()-4),IF(ROW()-4-COUNTA($A$5:$A$60)&lt;=COUNTA($C$5:$C$40),INDEX($C$5:$C$40,ROW()-4-COUNTA($A$5:$A$60)),""))</f>
        <v/>
      </c>
    </row>
    <row r="47">
      <c r="M47" s="9">
        <f>IF(ROW()-4&lt;=COUNTA($A$5:$A$60),INDEX($A$5:$A$60,ROW()-4),IF(ROW()-4-COUNTA($A$5:$A$60)&lt;=COUNTA($C$5:$C$40),INDEX($C$5:$C$40,ROW()-4-COUNTA($A$5:$A$60)),""))</f>
        <v/>
      </c>
    </row>
    <row r="48">
      <c r="M48" s="9">
        <f>IF(ROW()-4&lt;=COUNTA($A$5:$A$60),INDEX($A$5:$A$60,ROW()-4),IF(ROW()-4-COUNTA($A$5:$A$60)&lt;=COUNTA($C$5:$C$40),INDEX($C$5:$C$40,ROW()-4-COUNTA($A$5:$A$60)),""))</f>
        <v/>
      </c>
    </row>
    <row r="49">
      <c r="M49" s="9">
        <f>IF(ROW()-4&lt;=COUNTA($A$5:$A$60),INDEX($A$5:$A$60,ROW()-4),IF(ROW()-4-COUNTA($A$5:$A$60)&lt;=COUNTA($C$5:$C$40),INDEX($C$5:$C$40,ROW()-4-COUNTA($A$5:$A$60)),""))</f>
        <v/>
      </c>
    </row>
    <row r="50">
      <c r="M50" s="9">
        <f>IF(ROW()-4&lt;=COUNTA($A$5:$A$60),INDEX($A$5:$A$60,ROW()-4),IF(ROW()-4-COUNTA($A$5:$A$60)&lt;=COUNTA($C$5:$C$40),INDEX($C$5:$C$40,ROW()-4-COUNTA($A$5:$A$60)),""))</f>
        <v/>
      </c>
    </row>
    <row r="51">
      <c r="M51" s="9">
        <f>IF(ROW()-4&lt;=COUNTA($A$5:$A$60),INDEX($A$5:$A$60,ROW()-4),IF(ROW()-4-COUNTA($A$5:$A$60)&lt;=COUNTA($C$5:$C$40),INDEX($C$5:$C$40,ROW()-4-COUNTA($A$5:$A$60)),""))</f>
        <v/>
      </c>
    </row>
    <row r="52">
      <c r="M52" s="9">
        <f>IF(ROW()-4&lt;=COUNTA($A$5:$A$60),INDEX($A$5:$A$60,ROW()-4),IF(ROW()-4-COUNTA($A$5:$A$60)&lt;=COUNTA($C$5:$C$40),INDEX($C$5:$C$40,ROW()-4-COUNTA($A$5:$A$60)),""))</f>
        <v/>
      </c>
    </row>
    <row r="53">
      <c r="M53" s="9">
        <f>IF(ROW()-4&lt;=COUNTA($A$5:$A$60),INDEX($A$5:$A$60,ROW()-4),IF(ROW()-4-COUNTA($A$5:$A$60)&lt;=COUNTA($C$5:$C$40),INDEX($C$5:$C$40,ROW()-4-COUNTA($A$5:$A$60)),""))</f>
        <v/>
      </c>
    </row>
    <row r="54">
      <c r="M54" s="9">
        <f>IF(ROW()-4&lt;=COUNTA($A$5:$A$60),INDEX($A$5:$A$60,ROW()-4),IF(ROW()-4-COUNTA($A$5:$A$60)&lt;=COUNTA($C$5:$C$40),INDEX($C$5:$C$40,ROW()-4-COUNTA($A$5:$A$60)),""))</f>
        <v/>
      </c>
    </row>
    <row r="55">
      <c r="M55" s="9">
        <f>IF(ROW()-4&lt;=COUNTA($A$5:$A$60),INDEX($A$5:$A$60,ROW()-4),IF(ROW()-4-COUNTA($A$5:$A$60)&lt;=COUNTA($C$5:$C$40),INDEX($C$5:$C$40,ROW()-4-COUNTA($A$5:$A$60)),""))</f>
        <v/>
      </c>
    </row>
    <row r="56">
      <c r="M56" s="9">
        <f>IF(ROW()-4&lt;=COUNTA($A$5:$A$60),INDEX($A$5:$A$60,ROW()-4),IF(ROW()-4-COUNTA($A$5:$A$60)&lt;=COUNTA($C$5:$C$40),INDEX($C$5:$C$40,ROW()-4-COUNTA($A$5:$A$60)),""))</f>
        <v/>
      </c>
    </row>
    <row r="57">
      <c r="M57" s="9">
        <f>IF(ROW()-4&lt;=COUNTA($A$5:$A$60),INDEX($A$5:$A$60,ROW()-4),IF(ROW()-4-COUNTA($A$5:$A$60)&lt;=COUNTA($C$5:$C$40),INDEX($C$5:$C$40,ROW()-4-COUNTA($A$5:$A$60)),""))</f>
        <v/>
      </c>
    </row>
    <row r="58">
      <c r="M58" s="9">
        <f>IF(ROW()-4&lt;=COUNTA($A$5:$A$60),INDEX($A$5:$A$60,ROW()-4),IF(ROW()-4-COUNTA($A$5:$A$60)&lt;=COUNTA($C$5:$C$40),INDEX($C$5:$C$40,ROW()-4-COUNTA($A$5:$A$60)),""))</f>
        <v/>
      </c>
    </row>
    <row r="59">
      <c r="M59" s="9">
        <f>IF(ROW()-4&lt;=COUNTA($A$5:$A$60),INDEX($A$5:$A$60,ROW()-4),IF(ROW()-4-COUNTA($A$5:$A$60)&lt;=COUNTA($C$5:$C$40),INDEX($C$5:$C$40,ROW()-4-COUNTA($A$5:$A$60)),""))</f>
        <v/>
      </c>
    </row>
    <row r="60">
      <c r="M60" s="9">
        <f>IF(ROW()-4&lt;=COUNTA($A$5:$A$60),INDEX($A$5:$A$60,ROW()-4),IF(ROW()-4-COUNTA($A$5:$A$60)&lt;=COUNTA($C$5:$C$40),INDEX($C$5:$C$40,ROW()-4-COUNTA($A$5:$A$60)),""))</f>
        <v/>
      </c>
    </row>
    <row r="61">
      <c r="M61" s="9">
        <f>IF(ROW()-4&lt;=COUNTA($A$5:$A$60),INDEX($A$5:$A$60,ROW()-4),IF(ROW()-4-COUNTA($A$5:$A$60)&lt;=COUNTA($C$5:$C$40),INDEX($C$5:$C$40,ROW()-4-COUNTA($A$5:$A$60)),""))</f>
        <v/>
      </c>
    </row>
    <row r="62">
      <c r="M62" s="9">
        <f>IF(ROW()-4&lt;=COUNTA($A$5:$A$60),INDEX($A$5:$A$60,ROW()-4),IF(ROW()-4-COUNTA($A$5:$A$60)&lt;=COUNTA($C$5:$C$40),INDEX($C$5:$C$40,ROW()-4-COUNTA($A$5:$A$60)),""))</f>
        <v/>
      </c>
    </row>
    <row r="63">
      <c r="M63" s="9">
        <f>IF(ROW()-4&lt;=COUNTA($A$5:$A$60),INDEX($A$5:$A$60,ROW()-4),IF(ROW()-4-COUNTA($A$5:$A$60)&lt;=COUNTA($C$5:$C$40),INDEX($C$5:$C$40,ROW()-4-COUNTA($A$5:$A$60)),""))</f>
        <v/>
      </c>
    </row>
    <row r="64">
      <c r="M64" s="9">
        <f>IF(ROW()-4&lt;=COUNTA($A$5:$A$60),INDEX($A$5:$A$60,ROW()-4),IF(ROW()-4-COUNTA($A$5:$A$60)&lt;=COUNTA($C$5:$C$40),INDEX($C$5:$C$40,ROW()-4-COUNTA($A$5:$A$60)),""))</f>
        <v/>
      </c>
    </row>
    <row r="65">
      <c r="M65" s="9">
        <f>IF(ROW()-4&lt;=COUNTA($A$5:$A$60),INDEX($A$5:$A$60,ROW()-4),IF(ROW()-4-COUNTA($A$5:$A$60)&lt;=COUNTA($C$5:$C$40),INDEX($C$5:$C$40,ROW()-4-COUNTA($A$5:$A$60)),""))</f>
        <v/>
      </c>
    </row>
    <row r="66">
      <c r="M66" s="9">
        <f>IF(ROW()-4&lt;=COUNTA($A$5:$A$60),INDEX($A$5:$A$60,ROW()-4),IF(ROW()-4-COUNTA($A$5:$A$60)&lt;=COUNTA($C$5:$C$40),INDEX($C$5:$C$40,ROW()-4-COUNTA($A$5:$A$60)),""))</f>
        <v/>
      </c>
    </row>
    <row r="67">
      <c r="M67" s="9">
        <f>IF(ROW()-4&lt;=COUNTA($A$5:$A$60),INDEX($A$5:$A$60,ROW()-4),IF(ROW()-4-COUNTA($A$5:$A$60)&lt;=COUNTA($C$5:$C$40),INDEX($C$5:$C$40,ROW()-4-COUNTA($A$5:$A$60)),""))</f>
        <v/>
      </c>
    </row>
    <row r="68">
      <c r="M68" s="9">
        <f>IF(ROW()-4&lt;=COUNTA($A$5:$A$60),INDEX($A$5:$A$60,ROW()-4),IF(ROW()-4-COUNTA($A$5:$A$60)&lt;=COUNTA($C$5:$C$40),INDEX($C$5:$C$40,ROW()-4-COUNTA($A$5:$A$60)),""))</f>
        <v/>
      </c>
    </row>
    <row r="69">
      <c r="M69" s="9">
        <f>IF(ROW()-4&lt;=COUNTA($A$5:$A$60),INDEX($A$5:$A$60,ROW()-4),IF(ROW()-4-COUNTA($A$5:$A$60)&lt;=COUNTA($C$5:$C$40),INDEX($C$5:$C$40,ROW()-4-COUNTA($A$5:$A$60)),""))</f>
        <v/>
      </c>
    </row>
    <row r="70">
      <c r="M70" s="9">
        <f>IF(ROW()-4&lt;=COUNTA($A$5:$A$60),INDEX($A$5:$A$60,ROW()-4),IF(ROW()-4-COUNTA($A$5:$A$60)&lt;=COUNTA($C$5:$C$40),INDEX($C$5:$C$40,ROW()-4-COUNTA($A$5:$A$60)),""))</f>
        <v/>
      </c>
    </row>
    <row r="71">
      <c r="M71" s="9">
        <f>IF(ROW()-4&lt;=COUNTA($A$5:$A$60),INDEX($A$5:$A$60,ROW()-4),IF(ROW()-4-COUNTA($A$5:$A$60)&lt;=COUNTA($C$5:$C$40),INDEX($C$5:$C$40,ROW()-4-COUNTA($A$5:$A$60)),""))</f>
        <v/>
      </c>
    </row>
    <row r="72">
      <c r="M72" s="9">
        <f>IF(ROW()-4&lt;=COUNTA($A$5:$A$60),INDEX($A$5:$A$60,ROW()-4),IF(ROW()-4-COUNTA($A$5:$A$60)&lt;=COUNTA($C$5:$C$40),INDEX($C$5:$C$40,ROW()-4-COUNTA($A$5:$A$60)),""))</f>
        <v/>
      </c>
    </row>
    <row r="73">
      <c r="M73" s="9">
        <f>IF(ROW()-4&lt;=COUNTA($A$5:$A$60),INDEX($A$5:$A$60,ROW()-4),IF(ROW()-4-COUNTA($A$5:$A$60)&lt;=COUNTA($C$5:$C$40),INDEX($C$5:$C$40,ROW()-4-COUNTA($A$5:$A$60)),""))</f>
        <v/>
      </c>
    </row>
    <row r="74">
      <c r="M74" s="9">
        <f>IF(ROW()-4&lt;=COUNTA($A$5:$A$60),INDEX($A$5:$A$60,ROW()-4),IF(ROW()-4-COUNTA($A$5:$A$60)&lt;=COUNTA($C$5:$C$40),INDEX($C$5:$C$40,ROW()-4-COUNTA($A$5:$A$60)),""))</f>
        <v/>
      </c>
    </row>
    <row r="75">
      <c r="M75" s="9">
        <f>IF(ROW()-4&lt;=COUNTA($A$5:$A$60),INDEX($A$5:$A$60,ROW()-4),IF(ROW()-4-COUNTA($A$5:$A$60)&lt;=COUNTA($C$5:$C$40),INDEX($C$5:$C$40,ROW()-4-COUNTA($A$5:$A$60)),""))</f>
        <v/>
      </c>
    </row>
    <row r="76">
      <c r="M76" s="9">
        <f>IF(ROW()-4&lt;=COUNTA($A$5:$A$60),INDEX($A$5:$A$60,ROW()-4),IF(ROW()-4-COUNTA($A$5:$A$60)&lt;=COUNTA($C$5:$C$40),INDEX($C$5:$C$40,ROW()-4-COUNTA($A$5:$A$60)),""))</f>
        <v/>
      </c>
    </row>
    <row r="77">
      <c r="M77" s="9">
        <f>IF(ROW()-4&lt;=COUNTA($A$5:$A$60),INDEX($A$5:$A$60,ROW()-4),IF(ROW()-4-COUNTA($A$5:$A$60)&lt;=COUNTA($C$5:$C$40),INDEX($C$5:$C$40,ROW()-4-COUNTA($A$5:$A$60)),""))</f>
        <v/>
      </c>
    </row>
    <row r="78">
      <c r="M78" s="9">
        <f>IF(ROW()-4&lt;=COUNTA($A$5:$A$60),INDEX($A$5:$A$60,ROW()-4),IF(ROW()-4-COUNTA($A$5:$A$60)&lt;=COUNTA($C$5:$C$40),INDEX($C$5:$C$40,ROW()-4-COUNTA($A$5:$A$60)),""))</f>
        <v/>
      </c>
    </row>
    <row r="79">
      <c r="M79" s="9">
        <f>IF(ROW()-4&lt;=COUNTA($A$5:$A$60),INDEX($A$5:$A$60,ROW()-4),IF(ROW()-4-COUNTA($A$5:$A$60)&lt;=COUNTA($C$5:$C$40),INDEX($C$5:$C$40,ROW()-4-COUNTA($A$5:$A$60)),""))</f>
        <v/>
      </c>
    </row>
    <row r="80">
      <c r="M80" s="9">
        <f>IF(ROW()-4&lt;=COUNTA($A$5:$A$60),INDEX($A$5:$A$60,ROW()-4),IF(ROW()-4-COUNTA($A$5:$A$60)&lt;=COUNTA($C$5:$C$40),INDEX($C$5:$C$40,ROW()-4-COUNTA($A$5:$A$60)),""))</f>
        <v/>
      </c>
    </row>
    <row r="81">
      <c r="M81" s="9">
        <f>IF(ROW()-4&lt;=COUNTA($A$5:$A$60),INDEX($A$5:$A$60,ROW()-4),IF(ROW()-4-COUNTA($A$5:$A$60)&lt;=COUNTA($C$5:$C$40),INDEX($C$5:$C$40,ROW()-4-COUNTA($A$5:$A$60)),""))</f>
        <v/>
      </c>
    </row>
    <row r="82">
      <c r="M82" s="9">
        <f>IF(ROW()-4&lt;=COUNTA($A$5:$A$60),INDEX($A$5:$A$60,ROW()-4),IF(ROW()-4-COUNTA($A$5:$A$60)&lt;=COUNTA($C$5:$C$40),INDEX($C$5:$C$40,ROW()-4-COUNTA($A$5:$A$60)),""))</f>
        <v/>
      </c>
    </row>
    <row r="83">
      <c r="M83" s="9">
        <f>IF(ROW()-4&lt;=COUNTA($A$5:$A$60),INDEX($A$5:$A$60,ROW()-4),IF(ROW()-4-COUNTA($A$5:$A$60)&lt;=COUNTA($C$5:$C$40),INDEX($C$5:$C$40,ROW()-4-COUNTA($A$5:$A$60)),""))</f>
        <v/>
      </c>
    </row>
    <row r="84">
      <c r="M84" s="9">
        <f>IF(ROW()-4&lt;=COUNTA($A$5:$A$60),INDEX($A$5:$A$60,ROW()-4),IF(ROW()-4-COUNTA($A$5:$A$60)&lt;=COUNTA($C$5:$C$40),INDEX($C$5:$C$40,ROW()-4-COUNTA($A$5:$A$60)),""))</f>
        <v/>
      </c>
    </row>
    <row r="85">
      <c r="M85" s="9">
        <f>IF(ROW()-4&lt;=COUNTA($A$5:$A$60),INDEX($A$5:$A$60,ROW()-4),IF(ROW()-4-COUNTA($A$5:$A$60)&lt;=COUNTA($C$5:$C$40),INDEX($C$5:$C$40,ROW()-4-COUNTA($A$5:$A$60)),""))</f>
        <v/>
      </c>
    </row>
    <row r="86">
      <c r="M86" s="9">
        <f>IF(ROW()-4&lt;=COUNTA($A$5:$A$60),INDEX($A$5:$A$60,ROW()-4),IF(ROW()-4-COUNTA($A$5:$A$60)&lt;=COUNTA($C$5:$C$40),INDEX($C$5:$C$40,ROW()-4-COUNTA($A$5:$A$60)),""))</f>
        <v/>
      </c>
    </row>
    <row r="87">
      <c r="M87" s="9">
        <f>IF(ROW()-4&lt;=COUNTA($A$5:$A$60),INDEX($A$5:$A$60,ROW()-4),IF(ROW()-4-COUNTA($A$5:$A$60)&lt;=COUNTA($C$5:$C$40),INDEX($C$5:$C$40,ROW()-4-COUNTA($A$5:$A$60)),""))</f>
        <v/>
      </c>
    </row>
    <row r="88">
      <c r="M88" s="9">
        <f>IF(ROW()-4&lt;=COUNTA($A$5:$A$60),INDEX($A$5:$A$60,ROW()-4),IF(ROW()-4-COUNTA($A$5:$A$60)&lt;=COUNTA($C$5:$C$40),INDEX($C$5:$C$40,ROW()-4-COUNTA($A$5:$A$60)),""))</f>
        <v/>
      </c>
    </row>
    <row r="89">
      <c r="M89" s="9">
        <f>IF(ROW()-4&lt;=COUNTA($A$5:$A$60),INDEX($A$5:$A$60,ROW()-4),IF(ROW()-4-COUNTA($A$5:$A$60)&lt;=COUNTA($C$5:$C$40),INDEX($C$5:$C$40,ROW()-4-COUNTA($A$5:$A$60)),""))</f>
        <v/>
      </c>
    </row>
    <row r="90">
      <c r="M90" s="9">
        <f>IF(ROW()-4&lt;=COUNTA($A$5:$A$60),INDEX($A$5:$A$60,ROW()-4),IF(ROW()-4-COUNTA($A$5:$A$60)&lt;=COUNTA($C$5:$C$40),INDEX($C$5:$C$40,ROW()-4-COUNTA($A$5:$A$60)),""))</f>
        <v/>
      </c>
    </row>
    <row r="91">
      <c r="M91" s="9">
        <f>IF(ROW()-4&lt;=COUNTA($A$5:$A$60),INDEX($A$5:$A$60,ROW()-4),IF(ROW()-4-COUNTA($A$5:$A$60)&lt;=COUNTA($C$5:$C$40),INDEX($C$5:$C$40,ROW()-4-COUNTA($A$5:$A$60)),""))</f>
        <v/>
      </c>
    </row>
    <row r="92">
      <c r="M92" s="9">
        <f>IF(ROW()-4&lt;=COUNTA($A$5:$A$60),INDEX($A$5:$A$60,ROW()-4),IF(ROW()-4-COUNTA($A$5:$A$60)&lt;=COUNTA($C$5:$C$40),INDEX($C$5:$C$40,ROW()-4-COUNTA($A$5:$A$60)),""))</f>
        <v/>
      </c>
    </row>
    <row r="93">
      <c r="M93" s="9">
        <f>IF(ROW()-4&lt;=COUNTA($A$5:$A$60),INDEX($A$5:$A$60,ROW()-4),IF(ROW()-4-COUNTA($A$5:$A$60)&lt;=COUNTA($C$5:$C$40),INDEX($C$5:$C$40,ROW()-4-COUNTA($A$5:$A$60)),""))</f>
        <v/>
      </c>
    </row>
    <row r="94">
      <c r="M94" s="9">
        <f>IF(ROW()-4&lt;=COUNTA($A$5:$A$60),INDEX($A$5:$A$60,ROW()-4),IF(ROW()-4-COUNTA($A$5:$A$60)&lt;=COUNTA($C$5:$C$40),INDEX($C$5:$C$40,ROW()-4-COUNTA($A$5:$A$60)),""))</f>
        <v/>
      </c>
    </row>
    <row r="95">
      <c r="M95" s="9">
        <f>IF(ROW()-4&lt;=COUNTA($A$5:$A$60),INDEX($A$5:$A$60,ROW()-4),IF(ROW()-4-COUNTA($A$5:$A$60)&lt;=COUNTA($C$5:$C$40),INDEX($C$5:$C$40,ROW()-4-COUNTA($A$5:$A$60)),""))</f>
        <v/>
      </c>
    </row>
    <row r="96">
      <c r="M96" s="9">
        <f>IF(ROW()-4&lt;=COUNTA($A$5:$A$60),INDEX($A$5:$A$60,ROW()-4),IF(ROW()-4-COUNTA($A$5:$A$60)&lt;=COUNTA($C$5:$C$40),INDEX($C$5:$C$40,ROW()-4-COUNTA($A$5:$A$60)),""))</f>
        <v/>
      </c>
    </row>
    <row r="97">
      <c r="M97" s="9">
        <f>IF(ROW()-4&lt;=COUNTA($A$5:$A$60),INDEX($A$5:$A$60,ROW()-4),IF(ROW()-4-COUNTA($A$5:$A$60)&lt;=COUNTA($C$5:$C$40),INDEX($C$5:$C$40,ROW()-4-COUNTA($A$5:$A$60)),""))</f>
        <v/>
      </c>
    </row>
    <row r="98">
      <c r="M98" s="9">
        <f>IF(ROW()-4&lt;=COUNTA($A$5:$A$60),INDEX($A$5:$A$60,ROW()-4),IF(ROW()-4-COUNTA($A$5:$A$60)&lt;=COUNTA($C$5:$C$40),INDEX($C$5:$C$40,ROW()-4-COUNTA($A$5:$A$60)),""))</f>
        <v/>
      </c>
    </row>
    <row r="99">
      <c r="M99" s="9">
        <f>IF(ROW()-4&lt;=COUNTA($A$5:$A$60),INDEX($A$5:$A$60,ROW()-4),IF(ROW()-4-COUNTA($A$5:$A$60)&lt;=COUNTA($C$5:$C$40),INDEX($C$5:$C$40,ROW()-4-COUNTA($A$5:$A$60)),""))</f>
        <v/>
      </c>
    </row>
    <row r="100">
      <c r="M100" s="9">
        <f>IF(ROW()-4&lt;=COUNTA($A$5:$A$60),INDEX($A$5:$A$60,ROW()-4),IF(ROW()-4-COUNTA($A$5:$A$60)&lt;=COUNTA($C$5:$C$40),INDEX($C$5:$C$40,ROW()-4-COUNTA($A$5:$A$60)),""))</f>
        <v/>
      </c>
    </row>
    <row r="101">
      <c r="M101" s="9">
        <f>IF(ROW()-4&lt;=COUNTA($A$5:$A$60),INDEX($A$5:$A$60,ROW()-4),IF(ROW()-4-COUNTA($A$5:$A$60)&lt;=COUNTA($C$5:$C$40),INDEX($C$5:$C$40,ROW()-4-COUNTA($A$5:$A$60)),""))</f>
        <v/>
      </c>
    </row>
    <row r="102">
      <c r="M102" s="9">
        <f>IF(ROW()-4&lt;=COUNTA($A$5:$A$60),INDEX($A$5:$A$60,ROW()-4),IF(ROW()-4-COUNTA($A$5:$A$60)&lt;=COUNTA($C$5:$C$40),INDEX($C$5:$C$40,ROW()-4-COUNTA($A$5:$A$60)),""))</f>
        <v/>
      </c>
    </row>
    <row r="103">
      <c r="M103" s="9">
        <f>IF(ROW()-4&lt;=COUNTA($A$5:$A$60),INDEX($A$5:$A$60,ROW()-4),IF(ROW()-4-COUNTA($A$5:$A$60)&lt;=COUNTA($C$5:$C$40),INDEX($C$5:$C$40,ROW()-4-COUNTA($A$5:$A$60)),""))</f>
        <v/>
      </c>
    </row>
    <row r="104">
      <c r="M104" s="9">
        <f>IF(ROW()-4&lt;=COUNTA($A$5:$A$60),INDEX($A$5:$A$60,ROW()-4),IF(ROW()-4-COUNTA($A$5:$A$60)&lt;=COUNTA($C$5:$C$40),INDEX($C$5:$C$40,ROW()-4-COUNTA($A$5:$A$60)),""))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0" customWidth="1" min="4" max="4"/>
    <col width="24" customWidth="1" min="5" max="5"/>
    <col width="34" customWidth="1" min="6" max="6"/>
    <col width="18" customWidth="1" min="7" max="7"/>
    <col width="9" customWidth="1" min="8" max="8"/>
    <col width="14" customWidth="1" min="9" max="9"/>
    <col width="14" customWidth="1" min="10" max="10"/>
    <col width="13" customWidth="1" min="11" max="11"/>
    <col width="12" customWidth="1" min="12" max="12"/>
    <col width="26" customWidth="1" min="13" max="13"/>
  </cols>
  <sheetData>
    <row r="1" ht="26" customHeight="1">
      <c r="A1" s="1" t="inlineStr">
        <is>
          <t>MOVIMIENTOS - Gastos e Ingresos</t>
        </is>
      </c>
    </row>
    <row r="2">
      <c r="A2" s="4" t="inlineStr">
        <is>
          <t>Una fila por movimiento. Solo se completan las columnas blancas; Año, Mes e Importe U$D se calculan solos.</t>
        </is>
      </c>
    </row>
    <row r="4" ht="30" customHeight="1">
      <c r="A4" s="5" t="inlineStr">
        <is>
          <t>Fecha</t>
        </is>
      </c>
      <c r="B4" s="5" t="inlineStr">
        <is>
          <t>Año</t>
        </is>
      </c>
      <c r="C4" s="5" t="inlineStr">
        <is>
          <t>Mes</t>
        </is>
      </c>
      <c r="D4" s="5" t="inlineStr">
        <is>
          <t>Tipo</t>
        </is>
      </c>
      <c r="E4" s="5" t="inlineStr">
        <is>
          <t>Categoria</t>
        </is>
      </c>
      <c r="F4" s="5" t="inlineStr">
        <is>
          <t>Detalle</t>
        </is>
      </c>
      <c r="G4" s="5" t="inlineStr">
        <is>
          <t>Medio de Pago</t>
        </is>
      </c>
      <c r="H4" s="5" t="inlineStr">
        <is>
          <t>Moneda</t>
        </is>
      </c>
      <c r="I4" s="5" t="inlineStr">
        <is>
          <t>Importe</t>
        </is>
      </c>
      <c r="J4" s="5" t="inlineStr">
        <is>
          <t>Importe U$D</t>
        </is>
      </c>
      <c r="K4" s="5" t="inlineStr">
        <is>
          <t>Fijo / Variable</t>
        </is>
      </c>
      <c r="L4" s="5" t="inlineStr">
        <is>
          <t>Estado</t>
        </is>
      </c>
      <c r="M4" s="5" t="inlineStr">
        <is>
          <t>Notas</t>
        </is>
      </c>
    </row>
    <row r="5">
      <c r="A5" s="10">
        <f>DATE(2026,1,5)</f>
        <v/>
      </c>
      <c r="B5" s="11">
        <f>IF($A5="","",YEAR($A5))</f>
        <v/>
      </c>
      <c r="C5" s="11">
        <f>IF($A5="","",MONTH($A5))</f>
        <v/>
      </c>
      <c r="D5" s="6" t="inlineStr">
        <is>
          <t>Gasto</t>
        </is>
      </c>
      <c r="E5" s="6" t="inlineStr">
        <is>
          <t>Vivienda</t>
        </is>
      </c>
      <c r="F5" s="6" t="inlineStr">
        <is>
          <t>Alquiler oficina enero</t>
        </is>
      </c>
      <c r="G5" s="6" t="inlineStr">
        <is>
          <t>Transferencia</t>
        </is>
      </c>
      <c r="H5" s="6" t="inlineStr">
        <is>
          <t>$</t>
        </is>
      </c>
      <c r="I5" s="8" t="n">
        <v>850000</v>
      </c>
      <c r="J5" s="12">
        <f>IF($I5="","",IF($H5="U$D",$I5,IFERROR($I5/VLOOKUP($B5*100+$C5,CONFIG!$I$5:$J$60,2,FALSE),"sin cotiz")))</f>
        <v/>
      </c>
      <c r="K5" s="6" t="inlineStr">
        <is>
          <t>Fijo</t>
        </is>
      </c>
      <c r="L5" s="6" t="inlineStr">
        <is>
          <t>Pagado</t>
        </is>
      </c>
      <c r="M5" s="6" t="inlineStr">
        <is>
          <t>EJEMPLO - borra estas 5 filas</t>
        </is>
      </c>
    </row>
    <row r="6">
      <c r="A6" s="10">
        <f>DATE(2026,1,7)</f>
        <v/>
      </c>
      <c r="B6" s="11">
        <f>IF($A6="","",YEAR($A6))</f>
        <v/>
      </c>
      <c r="C6" s="11">
        <f>IF($A6="","",MONTH($A6))</f>
        <v/>
      </c>
      <c r="D6" s="6" t="inlineStr">
        <is>
          <t>Gasto</t>
        </is>
      </c>
      <c r="E6" s="6" t="inlineStr">
        <is>
          <t>Combustible</t>
        </is>
      </c>
      <c r="F6" s="6" t="inlineStr">
        <is>
          <t>Nafta Peugeot 3008</t>
        </is>
      </c>
      <c r="G6" s="6" t="inlineStr">
        <is>
          <t>Tarjeta de Credito</t>
        </is>
      </c>
      <c r="H6" s="6" t="inlineStr">
        <is>
          <t>$</t>
        </is>
      </c>
      <c r="I6" s="8" t="n">
        <v>62000</v>
      </c>
      <c r="J6" s="12">
        <f>IF($I6="","",IF($H6="U$D",$I6,IFERROR($I6/VLOOKUP($B6*100+$C6,CONFIG!$I$5:$J$60,2,FALSE),"sin cotiz")))</f>
        <v/>
      </c>
      <c r="K6" s="6" t="inlineStr">
        <is>
          <t>Variable</t>
        </is>
      </c>
      <c r="L6" s="6" t="inlineStr">
        <is>
          <t>Pagado</t>
        </is>
      </c>
      <c r="M6" s="6" t="inlineStr">
        <is>
          <t>EJEMPLO</t>
        </is>
      </c>
    </row>
    <row r="7">
      <c r="A7" s="10">
        <f>DATE(2026,1,10)</f>
        <v/>
      </c>
      <c r="B7" s="11">
        <f>IF($A7="","",YEAR($A7))</f>
        <v/>
      </c>
      <c r="C7" s="11">
        <f>IF($A7="","",MONTH($A7))</f>
        <v/>
      </c>
      <c r="D7" s="6" t="inlineStr">
        <is>
          <t>Ingreso</t>
        </is>
      </c>
      <c r="E7" s="6" t="inlineStr">
        <is>
          <t>Cobranza de Cuotas</t>
        </is>
      </c>
      <c r="F7" s="6" t="inlineStr">
        <is>
          <t>Cuota Juan Financiera</t>
        </is>
      </c>
      <c r="G7" s="6" t="inlineStr">
        <is>
          <t>Transferencia</t>
        </is>
      </c>
      <c r="H7" s="6" t="inlineStr">
        <is>
          <t>U$D</t>
        </is>
      </c>
      <c r="I7" s="8" t="n">
        <v>1000</v>
      </c>
      <c r="J7" s="12">
        <f>IF($I7="","",IF($H7="U$D",$I7,IFERROR($I7/VLOOKUP($B7*100+$C7,CONFIG!$I$5:$J$60,2,FALSE),"sin cotiz")))</f>
        <v/>
      </c>
      <c r="K7" s="6" t="inlineStr">
        <is>
          <t>Fijo</t>
        </is>
      </c>
      <c r="L7" s="6" t="inlineStr">
        <is>
          <t>Pagado</t>
        </is>
      </c>
      <c r="M7" s="6" t="inlineStr">
        <is>
          <t>EJEMPLO</t>
        </is>
      </c>
    </row>
    <row r="8">
      <c r="A8" s="10">
        <f>DATE(2026,1,12)</f>
        <v/>
      </c>
      <c r="B8" s="11">
        <f>IF($A8="","",YEAR($A8))</f>
        <v/>
      </c>
      <c r="C8" s="11">
        <f>IF($A8="","",MONTH($A8))</f>
        <v/>
      </c>
      <c r="D8" s="6" t="inlineStr">
        <is>
          <t>Gasto</t>
        </is>
      </c>
      <c r="E8" s="6" t="inlineStr">
        <is>
          <t>Monotributo / AFIP</t>
        </is>
      </c>
      <c r="F8" s="6" t="inlineStr">
        <is>
          <t>Monotributo enero</t>
        </is>
      </c>
      <c r="G8" s="6" t="inlineStr">
        <is>
          <t>Debito Automatico</t>
        </is>
      </c>
      <c r="H8" s="6" t="inlineStr">
        <is>
          <t>$</t>
        </is>
      </c>
      <c r="I8" s="8" t="n">
        <v>48000</v>
      </c>
      <c r="J8" s="12">
        <f>IF($I8="","",IF($H8="U$D",$I8,IFERROR($I8/VLOOKUP($B8*100+$C8,CONFIG!$I$5:$J$60,2,FALSE),"sin cotiz")))</f>
        <v/>
      </c>
      <c r="K8" s="6" t="inlineStr">
        <is>
          <t>Fijo</t>
        </is>
      </c>
      <c r="L8" s="6" t="inlineStr">
        <is>
          <t>Pagado</t>
        </is>
      </c>
      <c r="M8" s="6" t="inlineStr">
        <is>
          <t>EJEMPLO</t>
        </is>
      </c>
    </row>
    <row r="9">
      <c r="A9" s="10">
        <f>DATE(2026,1,15)</f>
        <v/>
      </c>
      <c r="B9" s="11">
        <f>IF($A9="","",YEAR($A9))</f>
        <v/>
      </c>
      <c r="C9" s="11">
        <f>IF($A9="","",MONTH($A9))</f>
        <v/>
      </c>
      <c r="D9" s="6" t="inlineStr">
        <is>
          <t>Gasto</t>
        </is>
      </c>
      <c r="E9" s="6" t="inlineStr">
        <is>
          <t>Sueldos y Cargas</t>
        </is>
      </c>
      <c r="F9" s="6" t="inlineStr">
        <is>
          <t>Sueldo Lucas</t>
        </is>
      </c>
      <c r="G9" s="6" t="inlineStr">
        <is>
          <t>Transferencia</t>
        </is>
      </c>
      <c r="H9" s="6" t="inlineStr">
        <is>
          <t>$</t>
        </is>
      </c>
      <c r="I9" s="8" t="n">
        <v>900000</v>
      </c>
      <c r="J9" s="12">
        <f>IF($I9="","",IF($H9="U$D",$I9,IFERROR($I9/VLOOKUP($B9*100+$C9,CONFIG!$I$5:$J$60,2,FALSE),"sin cotiz")))</f>
        <v/>
      </c>
      <c r="K9" s="6" t="inlineStr">
        <is>
          <t>Fijo</t>
        </is>
      </c>
      <c r="L9" s="6" t="inlineStr">
        <is>
          <t>Pendiente</t>
        </is>
      </c>
      <c r="M9" s="6" t="inlineStr">
        <is>
          <t>EJEMPLO - queda como pendiente a proposito</t>
        </is>
      </c>
    </row>
    <row r="10">
      <c r="A10" s="10" t="n"/>
      <c r="B10" s="11">
        <f>IF($A10="","",YEAR($A10))</f>
        <v/>
      </c>
      <c r="C10" s="11">
        <f>IF($A10="","",MONTH($A10))</f>
        <v/>
      </c>
      <c r="D10" s="6" t="n"/>
      <c r="E10" s="6" t="n"/>
      <c r="F10" s="6" t="n"/>
      <c r="G10" s="6" t="n"/>
      <c r="H10" s="6" t="n"/>
      <c r="I10" s="8" t="n"/>
      <c r="J10" s="12">
        <f>IF($I10="","",IF($H10="U$D",$I10,IFERROR($I10/VLOOKUP($B10*100+$C10,CONFIG!$I$5:$J$60,2,FALSE),"sin cotiz")))</f>
        <v/>
      </c>
      <c r="K10" s="6" t="n"/>
      <c r="L10" s="6" t="n"/>
      <c r="M10" s="6" t="n"/>
    </row>
    <row r="11">
      <c r="A11" s="10" t="n"/>
      <c r="B11" s="11">
        <f>IF($A11="","",YEAR($A11))</f>
        <v/>
      </c>
      <c r="C11" s="11">
        <f>IF($A11="","",MONTH($A11))</f>
        <v/>
      </c>
      <c r="D11" s="6" t="n"/>
      <c r="E11" s="6" t="n"/>
      <c r="F11" s="6" t="n"/>
      <c r="G11" s="6" t="n"/>
      <c r="H11" s="6" t="n"/>
      <c r="I11" s="8" t="n"/>
      <c r="J11" s="12">
        <f>IF($I11="","",IF($H11="U$D",$I11,IFERROR($I11/VLOOKUP($B11*100+$C11,CONFIG!$I$5:$J$60,2,FALSE),"sin cotiz")))</f>
        <v/>
      </c>
      <c r="K11" s="6" t="n"/>
      <c r="L11" s="6" t="n"/>
      <c r="M11" s="6" t="n"/>
    </row>
    <row r="12">
      <c r="A12" s="10" t="n"/>
      <c r="B12" s="11">
        <f>IF($A12="","",YEAR($A12))</f>
        <v/>
      </c>
      <c r="C12" s="11">
        <f>IF($A12="","",MONTH($A12))</f>
        <v/>
      </c>
      <c r="D12" s="6" t="n"/>
      <c r="E12" s="6" t="n"/>
      <c r="F12" s="6" t="n"/>
      <c r="G12" s="6" t="n"/>
      <c r="H12" s="6" t="n"/>
      <c r="I12" s="8" t="n"/>
      <c r="J12" s="12">
        <f>IF($I12="","",IF($H12="U$D",$I12,IFERROR($I12/VLOOKUP($B12*100+$C12,CONFIG!$I$5:$J$60,2,FALSE),"sin cotiz")))</f>
        <v/>
      </c>
      <c r="K12" s="6" t="n"/>
      <c r="L12" s="6" t="n"/>
      <c r="M12" s="6" t="n"/>
    </row>
    <row r="13">
      <c r="A13" s="10" t="n"/>
      <c r="B13" s="11">
        <f>IF($A13="","",YEAR($A13))</f>
        <v/>
      </c>
      <c r="C13" s="11">
        <f>IF($A13="","",MONTH($A13))</f>
        <v/>
      </c>
      <c r="D13" s="6" t="n"/>
      <c r="E13" s="6" t="n"/>
      <c r="F13" s="6" t="n"/>
      <c r="G13" s="6" t="n"/>
      <c r="H13" s="6" t="n"/>
      <c r="I13" s="8" t="n"/>
      <c r="J13" s="12">
        <f>IF($I13="","",IF($H13="U$D",$I13,IFERROR($I13/VLOOKUP($B13*100+$C13,CONFIG!$I$5:$J$60,2,FALSE),"sin cotiz")))</f>
        <v/>
      </c>
      <c r="K13" s="6" t="n"/>
      <c r="L13" s="6" t="n"/>
      <c r="M13" s="6" t="n"/>
    </row>
    <row r="14">
      <c r="A14" s="10" t="n"/>
      <c r="B14" s="11">
        <f>IF($A14="","",YEAR($A14))</f>
        <v/>
      </c>
      <c r="C14" s="11">
        <f>IF($A14="","",MONTH($A14))</f>
        <v/>
      </c>
      <c r="D14" s="6" t="n"/>
      <c r="E14" s="6" t="n"/>
      <c r="F14" s="6" t="n"/>
      <c r="G14" s="6" t="n"/>
      <c r="H14" s="6" t="n"/>
      <c r="I14" s="8" t="n"/>
      <c r="J14" s="12">
        <f>IF($I14="","",IF($H14="U$D",$I14,IFERROR($I14/VLOOKUP($B14*100+$C14,CONFIG!$I$5:$J$60,2,FALSE),"sin cotiz")))</f>
        <v/>
      </c>
      <c r="K14" s="6" t="n"/>
      <c r="L14" s="6" t="n"/>
      <c r="M14" s="6" t="n"/>
    </row>
    <row r="15">
      <c r="A15" s="10" t="n"/>
      <c r="B15" s="11">
        <f>IF($A15="","",YEAR($A15))</f>
        <v/>
      </c>
      <c r="C15" s="11">
        <f>IF($A15="","",MONTH($A15))</f>
        <v/>
      </c>
      <c r="D15" s="6" t="n"/>
      <c r="E15" s="6" t="n"/>
      <c r="F15" s="6" t="n"/>
      <c r="G15" s="6" t="n"/>
      <c r="H15" s="6" t="n"/>
      <c r="I15" s="8" t="n"/>
      <c r="J15" s="12">
        <f>IF($I15="","",IF($H15="U$D",$I15,IFERROR($I15/VLOOKUP($B15*100+$C15,CONFIG!$I$5:$J$60,2,FALSE),"sin cotiz")))</f>
        <v/>
      </c>
      <c r="K15" s="6" t="n"/>
      <c r="L15" s="6" t="n"/>
      <c r="M15" s="6" t="n"/>
    </row>
    <row r="16">
      <c r="A16" s="10" t="n"/>
      <c r="B16" s="11">
        <f>IF($A16="","",YEAR($A16))</f>
        <v/>
      </c>
      <c r="C16" s="11">
        <f>IF($A16="","",MONTH($A16))</f>
        <v/>
      </c>
      <c r="D16" s="6" t="n"/>
      <c r="E16" s="6" t="n"/>
      <c r="F16" s="6" t="n"/>
      <c r="G16" s="6" t="n"/>
      <c r="H16" s="6" t="n"/>
      <c r="I16" s="8" t="n"/>
      <c r="J16" s="12">
        <f>IF($I16="","",IF($H16="U$D",$I16,IFERROR($I16/VLOOKUP($B16*100+$C16,CONFIG!$I$5:$J$60,2,FALSE),"sin cotiz")))</f>
        <v/>
      </c>
      <c r="K16" s="6" t="n"/>
      <c r="L16" s="6" t="n"/>
      <c r="M16" s="6" t="n"/>
    </row>
    <row r="17">
      <c r="A17" s="10" t="n"/>
      <c r="B17" s="11">
        <f>IF($A17="","",YEAR($A17))</f>
        <v/>
      </c>
      <c r="C17" s="11">
        <f>IF($A17="","",MONTH($A17))</f>
        <v/>
      </c>
      <c r="D17" s="6" t="n"/>
      <c r="E17" s="6" t="n"/>
      <c r="F17" s="6" t="n"/>
      <c r="G17" s="6" t="n"/>
      <c r="H17" s="6" t="n"/>
      <c r="I17" s="8" t="n"/>
      <c r="J17" s="12">
        <f>IF($I17="","",IF($H17="U$D",$I17,IFERROR($I17/VLOOKUP($B17*100+$C17,CONFIG!$I$5:$J$60,2,FALSE),"sin cotiz")))</f>
        <v/>
      </c>
      <c r="K17" s="6" t="n"/>
      <c r="L17" s="6" t="n"/>
      <c r="M17" s="6" t="n"/>
    </row>
    <row r="18">
      <c r="A18" s="10" t="n"/>
      <c r="B18" s="11">
        <f>IF($A18="","",YEAR($A18))</f>
        <v/>
      </c>
      <c r="C18" s="11">
        <f>IF($A18="","",MONTH($A18))</f>
        <v/>
      </c>
      <c r="D18" s="6" t="n"/>
      <c r="E18" s="6" t="n"/>
      <c r="F18" s="6" t="n"/>
      <c r="G18" s="6" t="n"/>
      <c r="H18" s="6" t="n"/>
      <c r="I18" s="8" t="n"/>
      <c r="J18" s="12">
        <f>IF($I18="","",IF($H18="U$D",$I18,IFERROR($I18/VLOOKUP($B18*100+$C18,CONFIG!$I$5:$J$60,2,FALSE),"sin cotiz")))</f>
        <v/>
      </c>
      <c r="K18" s="6" t="n"/>
      <c r="L18" s="6" t="n"/>
      <c r="M18" s="6" t="n"/>
    </row>
    <row r="19">
      <c r="A19" s="10" t="n"/>
      <c r="B19" s="11">
        <f>IF($A19="","",YEAR($A19))</f>
        <v/>
      </c>
      <c r="C19" s="11">
        <f>IF($A19="","",MONTH($A19))</f>
        <v/>
      </c>
      <c r="D19" s="6" t="n"/>
      <c r="E19" s="6" t="n"/>
      <c r="F19" s="6" t="n"/>
      <c r="G19" s="6" t="n"/>
      <c r="H19" s="6" t="n"/>
      <c r="I19" s="8" t="n"/>
      <c r="J19" s="12">
        <f>IF($I19="","",IF($H19="U$D",$I19,IFERROR($I19/VLOOKUP($B19*100+$C19,CONFIG!$I$5:$J$60,2,FALSE),"sin cotiz")))</f>
        <v/>
      </c>
      <c r="K19" s="6" t="n"/>
      <c r="L19" s="6" t="n"/>
      <c r="M19" s="6" t="n"/>
    </row>
    <row r="20">
      <c r="A20" s="10" t="n"/>
      <c r="B20" s="11">
        <f>IF($A20="","",YEAR($A20))</f>
        <v/>
      </c>
      <c r="C20" s="11">
        <f>IF($A20="","",MONTH($A20))</f>
        <v/>
      </c>
      <c r="D20" s="6" t="n"/>
      <c r="E20" s="6" t="n"/>
      <c r="F20" s="6" t="n"/>
      <c r="G20" s="6" t="n"/>
      <c r="H20" s="6" t="n"/>
      <c r="I20" s="8" t="n"/>
      <c r="J20" s="12">
        <f>IF($I20="","",IF($H20="U$D",$I20,IFERROR($I20/VLOOKUP($B20*100+$C20,CONFIG!$I$5:$J$60,2,FALSE),"sin cotiz")))</f>
        <v/>
      </c>
      <c r="K20" s="6" t="n"/>
      <c r="L20" s="6" t="n"/>
      <c r="M20" s="6" t="n"/>
    </row>
    <row r="21">
      <c r="A21" s="10" t="n"/>
      <c r="B21" s="11">
        <f>IF($A21="","",YEAR($A21))</f>
        <v/>
      </c>
      <c r="C21" s="11">
        <f>IF($A21="","",MONTH($A21))</f>
        <v/>
      </c>
      <c r="D21" s="6" t="n"/>
      <c r="E21" s="6" t="n"/>
      <c r="F21" s="6" t="n"/>
      <c r="G21" s="6" t="n"/>
      <c r="H21" s="6" t="n"/>
      <c r="I21" s="8" t="n"/>
      <c r="J21" s="12">
        <f>IF($I21="","",IF($H21="U$D",$I21,IFERROR($I21/VLOOKUP($B21*100+$C21,CONFIG!$I$5:$J$60,2,FALSE),"sin cotiz")))</f>
        <v/>
      </c>
      <c r="K21" s="6" t="n"/>
      <c r="L21" s="6" t="n"/>
      <c r="M21" s="6" t="n"/>
    </row>
    <row r="22">
      <c r="A22" s="10" t="n"/>
      <c r="B22" s="11">
        <f>IF($A22="","",YEAR($A22))</f>
        <v/>
      </c>
      <c r="C22" s="11">
        <f>IF($A22="","",MONTH($A22))</f>
        <v/>
      </c>
      <c r="D22" s="6" t="n"/>
      <c r="E22" s="6" t="n"/>
      <c r="F22" s="6" t="n"/>
      <c r="G22" s="6" t="n"/>
      <c r="H22" s="6" t="n"/>
      <c r="I22" s="8" t="n"/>
      <c r="J22" s="12">
        <f>IF($I22="","",IF($H22="U$D",$I22,IFERROR($I22/VLOOKUP($B22*100+$C22,CONFIG!$I$5:$J$60,2,FALSE),"sin cotiz")))</f>
        <v/>
      </c>
      <c r="K22" s="6" t="n"/>
      <c r="L22" s="6" t="n"/>
      <c r="M22" s="6" t="n"/>
    </row>
    <row r="23">
      <c r="A23" s="10" t="n"/>
      <c r="B23" s="11">
        <f>IF($A23="","",YEAR($A23))</f>
        <v/>
      </c>
      <c r="C23" s="11">
        <f>IF($A23="","",MONTH($A23))</f>
        <v/>
      </c>
      <c r="D23" s="6" t="n"/>
      <c r="E23" s="6" t="n"/>
      <c r="F23" s="6" t="n"/>
      <c r="G23" s="6" t="n"/>
      <c r="H23" s="6" t="n"/>
      <c r="I23" s="8" t="n"/>
      <c r="J23" s="12">
        <f>IF($I23="","",IF($H23="U$D",$I23,IFERROR($I23/VLOOKUP($B23*100+$C23,CONFIG!$I$5:$J$60,2,FALSE),"sin cotiz")))</f>
        <v/>
      </c>
      <c r="K23" s="6" t="n"/>
      <c r="L23" s="6" t="n"/>
      <c r="M23" s="6" t="n"/>
    </row>
    <row r="24">
      <c r="A24" s="10" t="n"/>
      <c r="B24" s="11">
        <f>IF($A24="","",YEAR($A24))</f>
        <v/>
      </c>
      <c r="C24" s="11">
        <f>IF($A24="","",MONTH($A24))</f>
        <v/>
      </c>
      <c r="D24" s="6" t="n"/>
      <c r="E24" s="6" t="n"/>
      <c r="F24" s="6" t="n"/>
      <c r="G24" s="6" t="n"/>
      <c r="H24" s="6" t="n"/>
      <c r="I24" s="8" t="n"/>
      <c r="J24" s="12">
        <f>IF($I24="","",IF($H24="U$D",$I24,IFERROR($I24/VLOOKUP($B24*100+$C24,CONFIG!$I$5:$J$60,2,FALSE),"sin cotiz")))</f>
        <v/>
      </c>
      <c r="K24" s="6" t="n"/>
      <c r="L24" s="6" t="n"/>
      <c r="M24" s="6" t="n"/>
    </row>
    <row r="25">
      <c r="A25" s="10" t="n"/>
      <c r="B25" s="11">
        <f>IF($A25="","",YEAR($A25))</f>
        <v/>
      </c>
      <c r="C25" s="11">
        <f>IF($A25="","",MONTH($A25))</f>
        <v/>
      </c>
      <c r="D25" s="6" t="n"/>
      <c r="E25" s="6" t="n"/>
      <c r="F25" s="6" t="n"/>
      <c r="G25" s="6" t="n"/>
      <c r="H25" s="6" t="n"/>
      <c r="I25" s="8" t="n"/>
      <c r="J25" s="12">
        <f>IF($I25="","",IF($H25="U$D",$I25,IFERROR($I25/VLOOKUP($B25*100+$C25,CONFIG!$I$5:$J$60,2,FALSE),"sin cotiz")))</f>
        <v/>
      </c>
      <c r="K25" s="6" t="n"/>
      <c r="L25" s="6" t="n"/>
      <c r="M25" s="6" t="n"/>
    </row>
    <row r="26">
      <c r="A26" s="10" t="n"/>
      <c r="B26" s="11">
        <f>IF($A26="","",YEAR($A26))</f>
        <v/>
      </c>
      <c r="C26" s="11">
        <f>IF($A26="","",MONTH($A26))</f>
        <v/>
      </c>
      <c r="D26" s="6" t="n"/>
      <c r="E26" s="6" t="n"/>
      <c r="F26" s="6" t="n"/>
      <c r="G26" s="6" t="n"/>
      <c r="H26" s="6" t="n"/>
      <c r="I26" s="8" t="n"/>
      <c r="J26" s="12">
        <f>IF($I26="","",IF($H26="U$D",$I26,IFERROR($I26/VLOOKUP($B26*100+$C26,CONFIG!$I$5:$J$60,2,FALSE),"sin cotiz")))</f>
        <v/>
      </c>
      <c r="K26" s="6" t="n"/>
      <c r="L26" s="6" t="n"/>
      <c r="M26" s="6" t="n"/>
    </row>
    <row r="27">
      <c r="A27" s="10" t="n"/>
      <c r="B27" s="11">
        <f>IF($A27="","",YEAR($A27))</f>
        <v/>
      </c>
      <c r="C27" s="11">
        <f>IF($A27="","",MONTH($A27))</f>
        <v/>
      </c>
      <c r="D27" s="6" t="n"/>
      <c r="E27" s="6" t="n"/>
      <c r="F27" s="6" t="n"/>
      <c r="G27" s="6" t="n"/>
      <c r="H27" s="6" t="n"/>
      <c r="I27" s="8" t="n"/>
      <c r="J27" s="12">
        <f>IF($I27="","",IF($H27="U$D",$I27,IFERROR($I27/VLOOKUP($B27*100+$C27,CONFIG!$I$5:$J$60,2,FALSE),"sin cotiz")))</f>
        <v/>
      </c>
      <c r="K27" s="6" t="n"/>
      <c r="L27" s="6" t="n"/>
      <c r="M27" s="6" t="n"/>
    </row>
    <row r="28">
      <c r="A28" s="10" t="n"/>
      <c r="B28" s="11">
        <f>IF($A28="","",YEAR($A28))</f>
        <v/>
      </c>
      <c r="C28" s="11">
        <f>IF($A28="","",MONTH($A28))</f>
        <v/>
      </c>
      <c r="D28" s="6" t="n"/>
      <c r="E28" s="6" t="n"/>
      <c r="F28" s="6" t="n"/>
      <c r="G28" s="6" t="n"/>
      <c r="H28" s="6" t="n"/>
      <c r="I28" s="8" t="n"/>
      <c r="J28" s="12">
        <f>IF($I28="","",IF($H28="U$D",$I28,IFERROR($I28/VLOOKUP($B28*100+$C28,CONFIG!$I$5:$J$60,2,FALSE),"sin cotiz")))</f>
        <v/>
      </c>
      <c r="K28" s="6" t="n"/>
      <c r="L28" s="6" t="n"/>
      <c r="M28" s="6" t="n"/>
    </row>
    <row r="29">
      <c r="A29" s="10" t="n"/>
      <c r="B29" s="11">
        <f>IF($A29="","",YEAR($A29))</f>
        <v/>
      </c>
      <c r="C29" s="11">
        <f>IF($A29="","",MONTH($A29))</f>
        <v/>
      </c>
      <c r="D29" s="6" t="n"/>
      <c r="E29" s="6" t="n"/>
      <c r="F29" s="6" t="n"/>
      <c r="G29" s="6" t="n"/>
      <c r="H29" s="6" t="n"/>
      <c r="I29" s="8" t="n"/>
      <c r="J29" s="12">
        <f>IF($I29="","",IF($H29="U$D",$I29,IFERROR($I29/VLOOKUP($B29*100+$C29,CONFIG!$I$5:$J$60,2,FALSE),"sin cotiz")))</f>
        <v/>
      </c>
      <c r="K29" s="6" t="n"/>
      <c r="L29" s="6" t="n"/>
      <c r="M29" s="6" t="n"/>
    </row>
    <row r="30">
      <c r="A30" s="10" t="n"/>
      <c r="B30" s="11">
        <f>IF($A30="","",YEAR($A30))</f>
        <v/>
      </c>
      <c r="C30" s="11">
        <f>IF($A30="","",MONTH($A30))</f>
        <v/>
      </c>
      <c r="D30" s="6" t="n"/>
      <c r="E30" s="6" t="n"/>
      <c r="F30" s="6" t="n"/>
      <c r="G30" s="6" t="n"/>
      <c r="H30" s="6" t="n"/>
      <c r="I30" s="8" t="n"/>
      <c r="J30" s="12">
        <f>IF($I30="","",IF($H30="U$D",$I30,IFERROR($I30/VLOOKUP($B30*100+$C30,CONFIG!$I$5:$J$60,2,FALSE),"sin cotiz")))</f>
        <v/>
      </c>
      <c r="K30" s="6" t="n"/>
      <c r="L30" s="6" t="n"/>
      <c r="M30" s="6" t="n"/>
    </row>
    <row r="31">
      <c r="A31" s="10" t="n"/>
      <c r="B31" s="11">
        <f>IF($A31="","",YEAR($A31))</f>
        <v/>
      </c>
      <c r="C31" s="11">
        <f>IF($A31="","",MONTH($A31))</f>
        <v/>
      </c>
      <c r="D31" s="6" t="n"/>
      <c r="E31" s="6" t="n"/>
      <c r="F31" s="6" t="n"/>
      <c r="G31" s="6" t="n"/>
      <c r="H31" s="6" t="n"/>
      <c r="I31" s="8" t="n"/>
      <c r="J31" s="12">
        <f>IF($I31="","",IF($H31="U$D",$I31,IFERROR($I31/VLOOKUP($B31*100+$C31,CONFIG!$I$5:$J$60,2,FALSE),"sin cotiz")))</f>
        <v/>
      </c>
      <c r="K31" s="6" t="n"/>
      <c r="L31" s="6" t="n"/>
      <c r="M31" s="6" t="n"/>
    </row>
    <row r="32">
      <c r="A32" s="10" t="n"/>
      <c r="B32" s="11">
        <f>IF($A32="","",YEAR($A32))</f>
        <v/>
      </c>
      <c r="C32" s="11">
        <f>IF($A32="","",MONTH($A32))</f>
        <v/>
      </c>
      <c r="D32" s="6" t="n"/>
      <c r="E32" s="6" t="n"/>
      <c r="F32" s="6" t="n"/>
      <c r="G32" s="6" t="n"/>
      <c r="H32" s="6" t="n"/>
      <c r="I32" s="8" t="n"/>
      <c r="J32" s="12">
        <f>IF($I32="","",IF($H32="U$D",$I32,IFERROR($I32/VLOOKUP($B32*100+$C32,CONFIG!$I$5:$J$60,2,FALSE),"sin cotiz")))</f>
        <v/>
      </c>
      <c r="K32" s="6" t="n"/>
      <c r="L32" s="6" t="n"/>
      <c r="M32" s="6" t="n"/>
    </row>
    <row r="33">
      <c r="A33" s="10" t="n"/>
      <c r="B33" s="11">
        <f>IF($A33="","",YEAR($A33))</f>
        <v/>
      </c>
      <c r="C33" s="11">
        <f>IF($A33="","",MONTH($A33))</f>
        <v/>
      </c>
      <c r="D33" s="6" t="n"/>
      <c r="E33" s="6" t="n"/>
      <c r="F33" s="6" t="n"/>
      <c r="G33" s="6" t="n"/>
      <c r="H33" s="6" t="n"/>
      <c r="I33" s="8" t="n"/>
      <c r="J33" s="12">
        <f>IF($I33="","",IF($H33="U$D",$I33,IFERROR($I33/VLOOKUP($B33*100+$C33,CONFIG!$I$5:$J$60,2,FALSE),"sin cotiz")))</f>
        <v/>
      </c>
      <c r="K33" s="6" t="n"/>
      <c r="L33" s="6" t="n"/>
      <c r="M33" s="6" t="n"/>
    </row>
    <row r="34">
      <c r="A34" s="10" t="n"/>
      <c r="B34" s="11">
        <f>IF($A34="","",YEAR($A34))</f>
        <v/>
      </c>
      <c r="C34" s="11">
        <f>IF($A34="","",MONTH($A34))</f>
        <v/>
      </c>
      <c r="D34" s="6" t="n"/>
      <c r="E34" s="6" t="n"/>
      <c r="F34" s="6" t="n"/>
      <c r="G34" s="6" t="n"/>
      <c r="H34" s="6" t="n"/>
      <c r="I34" s="8" t="n"/>
      <c r="J34" s="12">
        <f>IF($I34="","",IF($H34="U$D",$I34,IFERROR($I34/VLOOKUP($B34*100+$C34,CONFIG!$I$5:$J$60,2,FALSE),"sin cotiz")))</f>
        <v/>
      </c>
      <c r="K34" s="6" t="n"/>
      <c r="L34" s="6" t="n"/>
      <c r="M34" s="6" t="n"/>
    </row>
    <row r="35">
      <c r="A35" s="10" t="n"/>
      <c r="B35" s="11">
        <f>IF($A35="","",YEAR($A35))</f>
        <v/>
      </c>
      <c r="C35" s="11">
        <f>IF($A35="","",MONTH($A35))</f>
        <v/>
      </c>
      <c r="D35" s="6" t="n"/>
      <c r="E35" s="6" t="n"/>
      <c r="F35" s="6" t="n"/>
      <c r="G35" s="6" t="n"/>
      <c r="H35" s="6" t="n"/>
      <c r="I35" s="8" t="n"/>
      <c r="J35" s="12">
        <f>IF($I35="","",IF($H35="U$D",$I35,IFERROR($I35/VLOOKUP($B35*100+$C35,CONFIG!$I$5:$J$60,2,FALSE),"sin cotiz")))</f>
        <v/>
      </c>
      <c r="K35" s="6" t="n"/>
      <c r="L35" s="6" t="n"/>
      <c r="M35" s="6" t="n"/>
    </row>
    <row r="36">
      <c r="A36" s="10" t="n"/>
      <c r="B36" s="11">
        <f>IF($A36="","",YEAR($A36))</f>
        <v/>
      </c>
      <c r="C36" s="11">
        <f>IF($A36="","",MONTH($A36))</f>
        <v/>
      </c>
      <c r="D36" s="6" t="n"/>
      <c r="E36" s="6" t="n"/>
      <c r="F36" s="6" t="n"/>
      <c r="G36" s="6" t="n"/>
      <c r="H36" s="6" t="n"/>
      <c r="I36" s="8" t="n"/>
      <c r="J36" s="12">
        <f>IF($I36="","",IF($H36="U$D",$I36,IFERROR($I36/VLOOKUP($B36*100+$C36,CONFIG!$I$5:$J$60,2,FALSE),"sin cotiz")))</f>
        <v/>
      </c>
      <c r="K36" s="6" t="n"/>
      <c r="L36" s="6" t="n"/>
      <c r="M36" s="6" t="n"/>
    </row>
    <row r="37">
      <c r="A37" s="10" t="n"/>
      <c r="B37" s="11">
        <f>IF($A37="","",YEAR($A37))</f>
        <v/>
      </c>
      <c r="C37" s="11">
        <f>IF($A37="","",MONTH($A37))</f>
        <v/>
      </c>
      <c r="D37" s="6" t="n"/>
      <c r="E37" s="6" t="n"/>
      <c r="F37" s="6" t="n"/>
      <c r="G37" s="6" t="n"/>
      <c r="H37" s="6" t="n"/>
      <c r="I37" s="8" t="n"/>
      <c r="J37" s="12">
        <f>IF($I37="","",IF($H37="U$D",$I37,IFERROR($I37/VLOOKUP($B37*100+$C37,CONFIG!$I$5:$J$60,2,FALSE),"sin cotiz")))</f>
        <v/>
      </c>
      <c r="K37" s="6" t="n"/>
      <c r="L37" s="6" t="n"/>
      <c r="M37" s="6" t="n"/>
    </row>
    <row r="38">
      <c r="A38" s="10" t="n"/>
      <c r="B38" s="11">
        <f>IF($A38="","",YEAR($A38))</f>
        <v/>
      </c>
      <c r="C38" s="11">
        <f>IF($A38="","",MONTH($A38))</f>
        <v/>
      </c>
      <c r="D38" s="6" t="n"/>
      <c r="E38" s="6" t="n"/>
      <c r="F38" s="6" t="n"/>
      <c r="G38" s="6" t="n"/>
      <c r="H38" s="6" t="n"/>
      <c r="I38" s="8" t="n"/>
      <c r="J38" s="12">
        <f>IF($I38="","",IF($H38="U$D",$I38,IFERROR($I38/VLOOKUP($B38*100+$C38,CONFIG!$I$5:$J$60,2,FALSE),"sin cotiz")))</f>
        <v/>
      </c>
      <c r="K38" s="6" t="n"/>
      <c r="L38" s="6" t="n"/>
      <c r="M38" s="6" t="n"/>
    </row>
    <row r="39">
      <c r="A39" s="10" t="n"/>
      <c r="B39" s="11">
        <f>IF($A39="","",YEAR($A39))</f>
        <v/>
      </c>
      <c r="C39" s="11">
        <f>IF($A39="","",MONTH($A39))</f>
        <v/>
      </c>
      <c r="D39" s="6" t="n"/>
      <c r="E39" s="6" t="n"/>
      <c r="F39" s="6" t="n"/>
      <c r="G39" s="6" t="n"/>
      <c r="H39" s="6" t="n"/>
      <c r="I39" s="8" t="n"/>
      <c r="J39" s="12">
        <f>IF($I39="","",IF($H39="U$D",$I39,IFERROR($I39/VLOOKUP($B39*100+$C39,CONFIG!$I$5:$J$60,2,FALSE),"sin cotiz")))</f>
        <v/>
      </c>
      <c r="K39" s="6" t="n"/>
      <c r="L39" s="6" t="n"/>
      <c r="M39" s="6" t="n"/>
    </row>
    <row r="40">
      <c r="A40" s="10" t="n"/>
      <c r="B40" s="11">
        <f>IF($A40="","",YEAR($A40))</f>
        <v/>
      </c>
      <c r="C40" s="11">
        <f>IF($A40="","",MONTH($A40))</f>
        <v/>
      </c>
      <c r="D40" s="6" t="n"/>
      <c r="E40" s="6" t="n"/>
      <c r="F40" s="6" t="n"/>
      <c r="G40" s="6" t="n"/>
      <c r="H40" s="6" t="n"/>
      <c r="I40" s="8" t="n"/>
      <c r="J40" s="12">
        <f>IF($I40="","",IF($H40="U$D",$I40,IFERROR($I40/VLOOKUP($B40*100+$C40,CONFIG!$I$5:$J$60,2,FALSE),"sin cotiz")))</f>
        <v/>
      </c>
      <c r="K40" s="6" t="n"/>
      <c r="L40" s="6" t="n"/>
      <c r="M40" s="6" t="n"/>
    </row>
    <row r="41">
      <c r="A41" s="10" t="n"/>
      <c r="B41" s="11">
        <f>IF($A41="","",YEAR($A41))</f>
        <v/>
      </c>
      <c r="C41" s="11">
        <f>IF($A41="","",MONTH($A41))</f>
        <v/>
      </c>
      <c r="D41" s="6" t="n"/>
      <c r="E41" s="6" t="n"/>
      <c r="F41" s="6" t="n"/>
      <c r="G41" s="6" t="n"/>
      <c r="H41" s="6" t="n"/>
      <c r="I41" s="8" t="n"/>
      <c r="J41" s="12">
        <f>IF($I41="","",IF($H41="U$D",$I41,IFERROR($I41/VLOOKUP($B41*100+$C41,CONFIG!$I$5:$J$60,2,FALSE),"sin cotiz")))</f>
        <v/>
      </c>
      <c r="K41" s="6" t="n"/>
      <c r="L41" s="6" t="n"/>
      <c r="M41" s="6" t="n"/>
    </row>
    <row r="42">
      <c r="A42" s="10" t="n"/>
      <c r="B42" s="11">
        <f>IF($A42="","",YEAR($A42))</f>
        <v/>
      </c>
      <c r="C42" s="11">
        <f>IF($A42="","",MONTH($A42))</f>
        <v/>
      </c>
      <c r="D42" s="6" t="n"/>
      <c r="E42" s="6" t="n"/>
      <c r="F42" s="6" t="n"/>
      <c r="G42" s="6" t="n"/>
      <c r="H42" s="6" t="n"/>
      <c r="I42" s="8" t="n"/>
      <c r="J42" s="12">
        <f>IF($I42="","",IF($H42="U$D",$I42,IFERROR($I42/VLOOKUP($B42*100+$C42,CONFIG!$I$5:$J$60,2,FALSE),"sin cotiz")))</f>
        <v/>
      </c>
      <c r="K42" s="6" t="n"/>
      <c r="L42" s="6" t="n"/>
      <c r="M42" s="6" t="n"/>
    </row>
    <row r="43">
      <c r="A43" s="10" t="n"/>
      <c r="B43" s="11">
        <f>IF($A43="","",YEAR($A43))</f>
        <v/>
      </c>
      <c r="C43" s="11">
        <f>IF($A43="","",MONTH($A43))</f>
        <v/>
      </c>
      <c r="D43" s="6" t="n"/>
      <c r="E43" s="6" t="n"/>
      <c r="F43" s="6" t="n"/>
      <c r="G43" s="6" t="n"/>
      <c r="H43" s="6" t="n"/>
      <c r="I43" s="8" t="n"/>
      <c r="J43" s="12">
        <f>IF($I43="","",IF($H43="U$D",$I43,IFERROR($I43/VLOOKUP($B43*100+$C43,CONFIG!$I$5:$J$60,2,FALSE),"sin cotiz")))</f>
        <v/>
      </c>
      <c r="K43" s="6" t="n"/>
      <c r="L43" s="6" t="n"/>
      <c r="M43" s="6" t="n"/>
    </row>
    <row r="44">
      <c r="A44" s="10" t="n"/>
      <c r="B44" s="11">
        <f>IF($A44="","",YEAR($A44))</f>
        <v/>
      </c>
      <c r="C44" s="11">
        <f>IF($A44="","",MONTH($A44))</f>
        <v/>
      </c>
      <c r="D44" s="6" t="n"/>
      <c r="E44" s="6" t="n"/>
      <c r="F44" s="6" t="n"/>
      <c r="G44" s="6" t="n"/>
      <c r="H44" s="6" t="n"/>
      <c r="I44" s="8" t="n"/>
      <c r="J44" s="12">
        <f>IF($I44="","",IF($H44="U$D",$I44,IFERROR($I44/VLOOKUP($B44*100+$C44,CONFIG!$I$5:$J$60,2,FALSE),"sin cotiz")))</f>
        <v/>
      </c>
      <c r="K44" s="6" t="n"/>
      <c r="L44" s="6" t="n"/>
      <c r="M44" s="6" t="n"/>
    </row>
    <row r="45">
      <c r="A45" s="10" t="n"/>
      <c r="B45" s="11">
        <f>IF($A45="","",YEAR($A45))</f>
        <v/>
      </c>
      <c r="C45" s="11">
        <f>IF($A45="","",MONTH($A45))</f>
        <v/>
      </c>
      <c r="D45" s="6" t="n"/>
      <c r="E45" s="6" t="n"/>
      <c r="F45" s="6" t="n"/>
      <c r="G45" s="6" t="n"/>
      <c r="H45" s="6" t="n"/>
      <c r="I45" s="8" t="n"/>
      <c r="J45" s="12">
        <f>IF($I45="","",IF($H45="U$D",$I45,IFERROR($I45/VLOOKUP($B45*100+$C45,CONFIG!$I$5:$J$60,2,FALSE),"sin cotiz")))</f>
        <v/>
      </c>
      <c r="K45" s="6" t="n"/>
      <c r="L45" s="6" t="n"/>
      <c r="M45" s="6" t="n"/>
    </row>
    <row r="46">
      <c r="A46" s="10" t="n"/>
      <c r="B46" s="11">
        <f>IF($A46="","",YEAR($A46))</f>
        <v/>
      </c>
      <c r="C46" s="11">
        <f>IF($A46="","",MONTH($A46))</f>
        <v/>
      </c>
      <c r="D46" s="6" t="n"/>
      <c r="E46" s="6" t="n"/>
      <c r="F46" s="6" t="n"/>
      <c r="G46" s="6" t="n"/>
      <c r="H46" s="6" t="n"/>
      <c r="I46" s="8" t="n"/>
      <c r="J46" s="12">
        <f>IF($I46="","",IF($H46="U$D",$I46,IFERROR($I46/VLOOKUP($B46*100+$C46,CONFIG!$I$5:$J$60,2,FALSE),"sin cotiz")))</f>
        <v/>
      </c>
      <c r="K46" s="6" t="n"/>
      <c r="L46" s="6" t="n"/>
      <c r="M46" s="6" t="n"/>
    </row>
    <row r="47">
      <c r="A47" s="10" t="n"/>
      <c r="B47" s="11">
        <f>IF($A47="","",YEAR($A47))</f>
        <v/>
      </c>
      <c r="C47" s="11">
        <f>IF($A47="","",MONTH($A47))</f>
        <v/>
      </c>
      <c r="D47" s="6" t="n"/>
      <c r="E47" s="6" t="n"/>
      <c r="F47" s="6" t="n"/>
      <c r="G47" s="6" t="n"/>
      <c r="H47" s="6" t="n"/>
      <c r="I47" s="8" t="n"/>
      <c r="J47" s="12">
        <f>IF($I47="","",IF($H47="U$D",$I47,IFERROR($I47/VLOOKUP($B47*100+$C47,CONFIG!$I$5:$J$60,2,FALSE),"sin cotiz")))</f>
        <v/>
      </c>
      <c r="K47" s="6" t="n"/>
      <c r="L47" s="6" t="n"/>
      <c r="M47" s="6" t="n"/>
    </row>
    <row r="48">
      <c r="A48" s="10" t="n"/>
      <c r="B48" s="11">
        <f>IF($A48="","",YEAR($A48))</f>
        <v/>
      </c>
      <c r="C48" s="11">
        <f>IF($A48="","",MONTH($A48))</f>
        <v/>
      </c>
      <c r="D48" s="6" t="n"/>
      <c r="E48" s="6" t="n"/>
      <c r="F48" s="6" t="n"/>
      <c r="G48" s="6" t="n"/>
      <c r="H48" s="6" t="n"/>
      <c r="I48" s="8" t="n"/>
      <c r="J48" s="12">
        <f>IF($I48="","",IF($H48="U$D",$I48,IFERROR($I48/VLOOKUP($B48*100+$C48,CONFIG!$I$5:$J$60,2,FALSE),"sin cotiz")))</f>
        <v/>
      </c>
      <c r="K48" s="6" t="n"/>
      <c r="L48" s="6" t="n"/>
      <c r="M48" s="6" t="n"/>
    </row>
    <row r="49">
      <c r="A49" s="10" t="n"/>
      <c r="B49" s="11">
        <f>IF($A49="","",YEAR($A49))</f>
        <v/>
      </c>
      <c r="C49" s="11">
        <f>IF($A49="","",MONTH($A49))</f>
        <v/>
      </c>
      <c r="D49" s="6" t="n"/>
      <c r="E49" s="6" t="n"/>
      <c r="F49" s="6" t="n"/>
      <c r="G49" s="6" t="n"/>
      <c r="H49" s="6" t="n"/>
      <c r="I49" s="8" t="n"/>
      <c r="J49" s="12">
        <f>IF($I49="","",IF($H49="U$D",$I49,IFERROR($I49/VLOOKUP($B49*100+$C49,CONFIG!$I$5:$J$60,2,FALSE),"sin cotiz")))</f>
        <v/>
      </c>
      <c r="K49" s="6" t="n"/>
      <c r="L49" s="6" t="n"/>
      <c r="M49" s="6" t="n"/>
    </row>
    <row r="50">
      <c r="A50" s="10" t="n"/>
      <c r="B50" s="11">
        <f>IF($A50="","",YEAR($A50))</f>
        <v/>
      </c>
      <c r="C50" s="11">
        <f>IF($A50="","",MONTH($A50))</f>
        <v/>
      </c>
      <c r="D50" s="6" t="n"/>
      <c r="E50" s="6" t="n"/>
      <c r="F50" s="6" t="n"/>
      <c r="G50" s="6" t="n"/>
      <c r="H50" s="6" t="n"/>
      <c r="I50" s="8" t="n"/>
      <c r="J50" s="12">
        <f>IF($I50="","",IF($H50="U$D",$I50,IFERROR($I50/VLOOKUP($B50*100+$C50,CONFIG!$I$5:$J$60,2,FALSE),"sin cotiz")))</f>
        <v/>
      </c>
      <c r="K50" s="6" t="n"/>
      <c r="L50" s="6" t="n"/>
      <c r="M50" s="6" t="n"/>
    </row>
    <row r="51">
      <c r="A51" s="10" t="n"/>
      <c r="B51" s="11">
        <f>IF($A51="","",YEAR($A51))</f>
        <v/>
      </c>
      <c r="C51" s="11">
        <f>IF($A51="","",MONTH($A51))</f>
        <v/>
      </c>
      <c r="D51" s="6" t="n"/>
      <c r="E51" s="6" t="n"/>
      <c r="F51" s="6" t="n"/>
      <c r="G51" s="6" t="n"/>
      <c r="H51" s="6" t="n"/>
      <c r="I51" s="8" t="n"/>
      <c r="J51" s="12">
        <f>IF($I51="","",IF($H51="U$D",$I51,IFERROR($I51/VLOOKUP($B51*100+$C51,CONFIG!$I$5:$J$60,2,FALSE),"sin cotiz")))</f>
        <v/>
      </c>
      <c r="K51" s="6" t="n"/>
      <c r="L51" s="6" t="n"/>
      <c r="M51" s="6" t="n"/>
    </row>
    <row r="52">
      <c r="A52" s="10" t="n"/>
      <c r="B52" s="11">
        <f>IF($A52="","",YEAR($A52))</f>
        <v/>
      </c>
      <c r="C52" s="11">
        <f>IF($A52="","",MONTH($A52))</f>
        <v/>
      </c>
      <c r="D52" s="6" t="n"/>
      <c r="E52" s="6" t="n"/>
      <c r="F52" s="6" t="n"/>
      <c r="G52" s="6" t="n"/>
      <c r="H52" s="6" t="n"/>
      <c r="I52" s="8" t="n"/>
      <c r="J52" s="12">
        <f>IF($I52="","",IF($H52="U$D",$I52,IFERROR($I52/VLOOKUP($B52*100+$C52,CONFIG!$I$5:$J$60,2,FALSE),"sin cotiz")))</f>
        <v/>
      </c>
      <c r="K52" s="6" t="n"/>
      <c r="L52" s="6" t="n"/>
      <c r="M52" s="6" t="n"/>
    </row>
    <row r="53">
      <c r="A53" s="10" t="n"/>
      <c r="B53" s="11">
        <f>IF($A53="","",YEAR($A53))</f>
        <v/>
      </c>
      <c r="C53" s="11">
        <f>IF($A53="","",MONTH($A53))</f>
        <v/>
      </c>
      <c r="D53" s="6" t="n"/>
      <c r="E53" s="6" t="n"/>
      <c r="F53" s="6" t="n"/>
      <c r="G53" s="6" t="n"/>
      <c r="H53" s="6" t="n"/>
      <c r="I53" s="8" t="n"/>
      <c r="J53" s="12">
        <f>IF($I53="","",IF($H53="U$D",$I53,IFERROR($I53/VLOOKUP($B53*100+$C53,CONFIG!$I$5:$J$60,2,FALSE),"sin cotiz")))</f>
        <v/>
      </c>
      <c r="K53" s="6" t="n"/>
      <c r="L53" s="6" t="n"/>
      <c r="M53" s="6" t="n"/>
    </row>
    <row r="54">
      <c r="A54" s="10" t="n"/>
      <c r="B54" s="11">
        <f>IF($A54="","",YEAR($A54))</f>
        <v/>
      </c>
      <c r="C54" s="11">
        <f>IF($A54="","",MONTH($A54))</f>
        <v/>
      </c>
      <c r="D54" s="6" t="n"/>
      <c r="E54" s="6" t="n"/>
      <c r="F54" s="6" t="n"/>
      <c r="G54" s="6" t="n"/>
      <c r="H54" s="6" t="n"/>
      <c r="I54" s="8" t="n"/>
      <c r="J54" s="12">
        <f>IF($I54="","",IF($H54="U$D",$I54,IFERROR($I54/VLOOKUP($B54*100+$C54,CONFIG!$I$5:$J$60,2,FALSE),"sin cotiz")))</f>
        <v/>
      </c>
      <c r="K54" s="6" t="n"/>
      <c r="L54" s="6" t="n"/>
      <c r="M54" s="6" t="n"/>
    </row>
    <row r="55">
      <c r="A55" s="10" t="n"/>
      <c r="B55" s="11">
        <f>IF($A55="","",YEAR($A55))</f>
        <v/>
      </c>
      <c r="C55" s="11">
        <f>IF($A55="","",MONTH($A55))</f>
        <v/>
      </c>
      <c r="D55" s="6" t="n"/>
      <c r="E55" s="6" t="n"/>
      <c r="F55" s="6" t="n"/>
      <c r="G55" s="6" t="n"/>
      <c r="H55" s="6" t="n"/>
      <c r="I55" s="8" t="n"/>
      <c r="J55" s="12">
        <f>IF($I55="","",IF($H55="U$D",$I55,IFERROR($I55/VLOOKUP($B55*100+$C55,CONFIG!$I$5:$J$60,2,FALSE),"sin cotiz")))</f>
        <v/>
      </c>
      <c r="K55" s="6" t="n"/>
      <c r="L55" s="6" t="n"/>
      <c r="M55" s="6" t="n"/>
    </row>
    <row r="56">
      <c r="A56" s="10" t="n"/>
      <c r="B56" s="11">
        <f>IF($A56="","",YEAR($A56))</f>
        <v/>
      </c>
      <c r="C56" s="11">
        <f>IF($A56="","",MONTH($A56))</f>
        <v/>
      </c>
      <c r="D56" s="6" t="n"/>
      <c r="E56" s="6" t="n"/>
      <c r="F56" s="6" t="n"/>
      <c r="G56" s="6" t="n"/>
      <c r="H56" s="6" t="n"/>
      <c r="I56" s="8" t="n"/>
      <c r="J56" s="12">
        <f>IF($I56="","",IF($H56="U$D",$I56,IFERROR($I56/VLOOKUP($B56*100+$C56,CONFIG!$I$5:$J$60,2,FALSE),"sin cotiz")))</f>
        <v/>
      </c>
      <c r="K56" s="6" t="n"/>
      <c r="L56" s="6" t="n"/>
      <c r="M56" s="6" t="n"/>
    </row>
    <row r="57">
      <c r="A57" s="10" t="n"/>
      <c r="B57" s="11">
        <f>IF($A57="","",YEAR($A57))</f>
        <v/>
      </c>
      <c r="C57" s="11">
        <f>IF($A57="","",MONTH($A57))</f>
        <v/>
      </c>
      <c r="D57" s="6" t="n"/>
      <c r="E57" s="6" t="n"/>
      <c r="F57" s="6" t="n"/>
      <c r="G57" s="6" t="n"/>
      <c r="H57" s="6" t="n"/>
      <c r="I57" s="8" t="n"/>
      <c r="J57" s="12">
        <f>IF($I57="","",IF($H57="U$D",$I57,IFERROR($I57/VLOOKUP($B57*100+$C57,CONFIG!$I$5:$J$60,2,FALSE),"sin cotiz")))</f>
        <v/>
      </c>
      <c r="K57" s="6" t="n"/>
      <c r="L57" s="6" t="n"/>
      <c r="M57" s="6" t="n"/>
    </row>
    <row r="58">
      <c r="A58" s="10" t="n"/>
      <c r="B58" s="11">
        <f>IF($A58="","",YEAR($A58))</f>
        <v/>
      </c>
      <c r="C58" s="11">
        <f>IF($A58="","",MONTH($A58))</f>
        <v/>
      </c>
      <c r="D58" s="6" t="n"/>
      <c r="E58" s="6" t="n"/>
      <c r="F58" s="6" t="n"/>
      <c r="G58" s="6" t="n"/>
      <c r="H58" s="6" t="n"/>
      <c r="I58" s="8" t="n"/>
      <c r="J58" s="12">
        <f>IF($I58="","",IF($H58="U$D",$I58,IFERROR($I58/VLOOKUP($B58*100+$C58,CONFIG!$I$5:$J$60,2,FALSE),"sin cotiz")))</f>
        <v/>
      </c>
      <c r="K58" s="6" t="n"/>
      <c r="L58" s="6" t="n"/>
      <c r="M58" s="6" t="n"/>
    </row>
    <row r="59">
      <c r="A59" s="10" t="n"/>
      <c r="B59" s="11">
        <f>IF($A59="","",YEAR($A59))</f>
        <v/>
      </c>
      <c r="C59" s="11">
        <f>IF($A59="","",MONTH($A59))</f>
        <v/>
      </c>
      <c r="D59" s="6" t="n"/>
      <c r="E59" s="6" t="n"/>
      <c r="F59" s="6" t="n"/>
      <c r="G59" s="6" t="n"/>
      <c r="H59" s="6" t="n"/>
      <c r="I59" s="8" t="n"/>
      <c r="J59" s="12">
        <f>IF($I59="","",IF($H59="U$D",$I59,IFERROR($I59/VLOOKUP($B59*100+$C59,CONFIG!$I$5:$J$60,2,FALSE),"sin cotiz")))</f>
        <v/>
      </c>
      <c r="K59" s="6" t="n"/>
      <c r="L59" s="6" t="n"/>
      <c r="M59" s="6" t="n"/>
    </row>
    <row r="60">
      <c r="A60" s="10" t="n"/>
      <c r="B60" s="11">
        <f>IF($A60="","",YEAR($A60))</f>
        <v/>
      </c>
      <c r="C60" s="11">
        <f>IF($A60="","",MONTH($A60))</f>
        <v/>
      </c>
      <c r="D60" s="6" t="n"/>
      <c r="E60" s="6" t="n"/>
      <c r="F60" s="6" t="n"/>
      <c r="G60" s="6" t="n"/>
      <c r="H60" s="6" t="n"/>
      <c r="I60" s="8" t="n"/>
      <c r="J60" s="12">
        <f>IF($I60="","",IF($H60="U$D",$I60,IFERROR($I60/VLOOKUP($B60*100+$C60,CONFIG!$I$5:$J$60,2,FALSE),"sin cotiz")))</f>
        <v/>
      </c>
      <c r="K60" s="6" t="n"/>
      <c r="L60" s="6" t="n"/>
      <c r="M60" s="6" t="n"/>
    </row>
    <row r="61">
      <c r="A61" s="10" t="n"/>
      <c r="B61" s="11">
        <f>IF($A61="","",YEAR($A61))</f>
        <v/>
      </c>
      <c r="C61" s="11">
        <f>IF($A61="","",MONTH($A61))</f>
        <v/>
      </c>
      <c r="D61" s="6" t="n"/>
      <c r="E61" s="6" t="n"/>
      <c r="F61" s="6" t="n"/>
      <c r="G61" s="6" t="n"/>
      <c r="H61" s="6" t="n"/>
      <c r="I61" s="8" t="n"/>
      <c r="J61" s="12">
        <f>IF($I61="","",IF($H61="U$D",$I61,IFERROR($I61/VLOOKUP($B61*100+$C61,CONFIG!$I$5:$J$60,2,FALSE),"sin cotiz")))</f>
        <v/>
      </c>
      <c r="K61" s="6" t="n"/>
      <c r="L61" s="6" t="n"/>
      <c r="M61" s="6" t="n"/>
    </row>
    <row r="62">
      <c r="A62" s="10" t="n"/>
      <c r="B62" s="11">
        <f>IF($A62="","",YEAR($A62))</f>
        <v/>
      </c>
      <c r="C62" s="11">
        <f>IF($A62="","",MONTH($A62))</f>
        <v/>
      </c>
      <c r="D62" s="6" t="n"/>
      <c r="E62" s="6" t="n"/>
      <c r="F62" s="6" t="n"/>
      <c r="G62" s="6" t="n"/>
      <c r="H62" s="6" t="n"/>
      <c r="I62" s="8" t="n"/>
      <c r="J62" s="12">
        <f>IF($I62="","",IF($H62="U$D",$I62,IFERROR($I62/VLOOKUP($B62*100+$C62,CONFIG!$I$5:$J$60,2,FALSE),"sin cotiz")))</f>
        <v/>
      </c>
      <c r="K62" s="6" t="n"/>
      <c r="L62" s="6" t="n"/>
      <c r="M62" s="6" t="n"/>
    </row>
    <row r="63">
      <c r="A63" s="10" t="n"/>
      <c r="B63" s="11">
        <f>IF($A63="","",YEAR($A63))</f>
        <v/>
      </c>
      <c r="C63" s="11">
        <f>IF($A63="","",MONTH($A63))</f>
        <v/>
      </c>
      <c r="D63" s="6" t="n"/>
      <c r="E63" s="6" t="n"/>
      <c r="F63" s="6" t="n"/>
      <c r="G63" s="6" t="n"/>
      <c r="H63" s="6" t="n"/>
      <c r="I63" s="8" t="n"/>
      <c r="J63" s="12">
        <f>IF($I63="","",IF($H63="U$D",$I63,IFERROR($I63/VLOOKUP($B63*100+$C63,CONFIG!$I$5:$J$60,2,FALSE),"sin cotiz")))</f>
        <v/>
      </c>
      <c r="K63" s="6" t="n"/>
      <c r="L63" s="6" t="n"/>
      <c r="M63" s="6" t="n"/>
    </row>
    <row r="64">
      <c r="A64" s="10" t="n"/>
      <c r="B64" s="11">
        <f>IF($A64="","",YEAR($A64))</f>
        <v/>
      </c>
      <c r="C64" s="11">
        <f>IF($A64="","",MONTH($A64))</f>
        <v/>
      </c>
      <c r="D64" s="6" t="n"/>
      <c r="E64" s="6" t="n"/>
      <c r="F64" s="6" t="n"/>
      <c r="G64" s="6" t="n"/>
      <c r="H64" s="6" t="n"/>
      <c r="I64" s="8" t="n"/>
      <c r="J64" s="12">
        <f>IF($I64="","",IF($H64="U$D",$I64,IFERROR($I64/VLOOKUP($B64*100+$C64,CONFIG!$I$5:$J$60,2,FALSE),"sin cotiz")))</f>
        <v/>
      </c>
      <c r="K64" s="6" t="n"/>
      <c r="L64" s="6" t="n"/>
      <c r="M64" s="6" t="n"/>
    </row>
    <row r="65">
      <c r="A65" s="10" t="n"/>
      <c r="B65" s="11">
        <f>IF($A65="","",YEAR($A65))</f>
        <v/>
      </c>
      <c r="C65" s="11">
        <f>IF($A65="","",MONTH($A65))</f>
        <v/>
      </c>
      <c r="D65" s="6" t="n"/>
      <c r="E65" s="6" t="n"/>
      <c r="F65" s="6" t="n"/>
      <c r="G65" s="6" t="n"/>
      <c r="H65" s="6" t="n"/>
      <c r="I65" s="8" t="n"/>
      <c r="J65" s="12">
        <f>IF($I65="","",IF($H65="U$D",$I65,IFERROR($I65/VLOOKUP($B65*100+$C65,CONFIG!$I$5:$J$60,2,FALSE),"sin cotiz")))</f>
        <v/>
      </c>
      <c r="K65" s="6" t="n"/>
      <c r="L65" s="6" t="n"/>
      <c r="M65" s="6" t="n"/>
    </row>
    <row r="66">
      <c r="A66" s="10" t="n"/>
      <c r="B66" s="11">
        <f>IF($A66="","",YEAR($A66))</f>
        <v/>
      </c>
      <c r="C66" s="11">
        <f>IF($A66="","",MONTH($A66))</f>
        <v/>
      </c>
      <c r="D66" s="6" t="n"/>
      <c r="E66" s="6" t="n"/>
      <c r="F66" s="6" t="n"/>
      <c r="G66" s="6" t="n"/>
      <c r="H66" s="6" t="n"/>
      <c r="I66" s="8" t="n"/>
      <c r="J66" s="12">
        <f>IF($I66="","",IF($H66="U$D",$I66,IFERROR($I66/VLOOKUP($B66*100+$C66,CONFIG!$I$5:$J$60,2,FALSE),"sin cotiz")))</f>
        <v/>
      </c>
      <c r="K66" s="6" t="n"/>
      <c r="L66" s="6" t="n"/>
      <c r="M66" s="6" t="n"/>
    </row>
    <row r="67">
      <c r="A67" s="10" t="n"/>
      <c r="B67" s="11">
        <f>IF($A67="","",YEAR($A67))</f>
        <v/>
      </c>
      <c r="C67" s="11">
        <f>IF($A67="","",MONTH($A67))</f>
        <v/>
      </c>
      <c r="D67" s="6" t="n"/>
      <c r="E67" s="6" t="n"/>
      <c r="F67" s="6" t="n"/>
      <c r="G67" s="6" t="n"/>
      <c r="H67" s="6" t="n"/>
      <c r="I67" s="8" t="n"/>
      <c r="J67" s="12">
        <f>IF($I67="","",IF($H67="U$D",$I67,IFERROR($I67/VLOOKUP($B67*100+$C67,CONFIG!$I$5:$J$60,2,FALSE),"sin cotiz")))</f>
        <v/>
      </c>
      <c r="K67" s="6" t="n"/>
      <c r="L67" s="6" t="n"/>
      <c r="M67" s="6" t="n"/>
    </row>
    <row r="68">
      <c r="A68" s="10" t="n"/>
      <c r="B68" s="11">
        <f>IF($A68="","",YEAR($A68))</f>
        <v/>
      </c>
      <c r="C68" s="11">
        <f>IF($A68="","",MONTH($A68))</f>
        <v/>
      </c>
      <c r="D68" s="6" t="n"/>
      <c r="E68" s="6" t="n"/>
      <c r="F68" s="6" t="n"/>
      <c r="G68" s="6" t="n"/>
      <c r="H68" s="6" t="n"/>
      <c r="I68" s="8" t="n"/>
      <c r="J68" s="12">
        <f>IF($I68="","",IF($H68="U$D",$I68,IFERROR($I68/VLOOKUP($B68*100+$C68,CONFIG!$I$5:$J$60,2,FALSE),"sin cotiz")))</f>
        <v/>
      </c>
      <c r="K68" s="6" t="n"/>
      <c r="L68" s="6" t="n"/>
      <c r="M68" s="6" t="n"/>
    </row>
    <row r="69">
      <c r="A69" s="10" t="n"/>
      <c r="B69" s="11">
        <f>IF($A69="","",YEAR($A69))</f>
        <v/>
      </c>
      <c r="C69" s="11">
        <f>IF($A69="","",MONTH($A69))</f>
        <v/>
      </c>
      <c r="D69" s="6" t="n"/>
      <c r="E69" s="6" t="n"/>
      <c r="F69" s="6" t="n"/>
      <c r="G69" s="6" t="n"/>
      <c r="H69" s="6" t="n"/>
      <c r="I69" s="8" t="n"/>
      <c r="J69" s="12">
        <f>IF($I69="","",IF($H69="U$D",$I69,IFERROR($I69/VLOOKUP($B69*100+$C69,CONFIG!$I$5:$J$60,2,FALSE),"sin cotiz")))</f>
        <v/>
      </c>
      <c r="K69" s="6" t="n"/>
      <c r="L69" s="6" t="n"/>
      <c r="M69" s="6" t="n"/>
    </row>
    <row r="70">
      <c r="A70" s="10" t="n"/>
      <c r="B70" s="11">
        <f>IF($A70="","",YEAR($A70))</f>
        <v/>
      </c>
      <c r="C70" s="11">
        <f>IF($A70="","",MONTH($A70))</f>
        <v/>
      </c>
      <c r="D70" s="6" t="n"/>
      <c r="E70" s="6" t="n"/>
      <c r="F70" s="6" t="n"/>
      <c r="G70" s="6" t="n"/>
      <c r="H70" s="6" t="n"/>
      <c r="I70" s="8" t="n"/>
      <c r="J70" s="12">
        <f>IF($I70="","",IF($H70="U$D",$I70,IFERROR($I70/VLOOKUP($B70*100+$C70,CONFIG!$I$5:$J$60,2,FALSE),"sin cotiz")))</f>
        <v/>
      </c>
      <c r="K70" s="6" t="n"/>
      <c r="L70" s="6" t="n"/>
      <c r="M70" s="6" t="n"/>
    </row>
    <row r="71">
      <c r="A71" s="10" t="n"/>
      <c r="B71" s="11">
        <f>IF($A71="","",YEAR($A71))</f>
        <v/>
      </c>
      <c r="C71" s="11">
        <f>IF($A71="","",MONTH($A71))</f>
        <v/>
      </c>
      <c r="D71" s="6" t="n"/>
      <c r="E71" s="6" t="n"/>
      <c r="F71" s="6" t="n"/>
      <c r="G71" s="6" t="n"/>
      <c r="H71" s="6" t="n"/>
      <c r="I71" s="8" t="n"/>
      <c r="J71" s="12">
        <f>IF($I71="","",IF($H71="U$D",$I71,IFERROR($I71/VLOOKUP($B71*100+$C71,CONFIG!$I$5:$J$60,2,FALSE),"sin cotiz")))</f>
        <v/>
      </c>
      <c r="K71" s="6" t="n"/>
      <c r="L71" s="6" t="n"/>
      <c r="M71" s="6" t="n"/>
    </row>
    <row r="72">
      <c r="A72" s="10" t="n"/>
      <c r="B72" s="11">
        <f>IF($A72="","",YEAR($A72))</f>
        <v/>
      </c>
      <c r="C72" s="11">
        <f>IF($A72="","",MONTH($A72))</f>
        <v/>
      </c>
      <c r="D72" s="6" t="n"/>
      <c r="E72" s="6" t="n"/>
      <c r="F72" s="6" t="n"/>
      <c r="G72" s="6" t="n"/>
      <c r="H72" s="6" t="n"/>
      <c r="I72" s="8" t="n"/>
      <c r="J72" s="12">
        <f>IF($I72="","",IF($H72="U$D",$I72,IFERROR($I72/VLOOKUP($B72*100+$C72,CONFIG!$I$5:$J$60,2,FALSE),"sin cotiz")))</f>
        <v/>
      </c>
      <c r="K72" s="6" t="n"/>
      <c r="L72" s="6" t="n"/>
      <c r="M72" s="6" t="n"/>
    </row>
    <row r="73">
      <c r="A73" s="10" t="n"/>
      <c r="B73" s="11">
        <f>IF($A73="","",YEAR($A73))</f>
        <v/>
      </c>
      <c r="C73" s="11">
        <f>IF($A73="","",MONTH($A73))</f>
        <v/>
      </c>
      <c r="D73" s="6" t="n"/>
      <c r="E73" s="6" t="n"/>
      <c r="F73" s="6" t="n"/>
      <c r="G73" s="6" t="n"/>
      <c r="H73" s="6" t="n"/>
      <c r="I73" s="8" t="n"/>
      <c r="J73" s="12">
        <f>IF($I73="","",IF($H73="U$D",$I73,IFERROR($I73/VLOOKUP($B73*100+$C73,CONFIG!$I$5:$J$60,2,FALSE),"sin cotiz")))</f>
        <v/>
      </c>
      <c r="K73" s="6" t="n"/>
      <c r="L73" s="6" t="n"/>
      <c r="M73" s="6" t="n"/>
    </row>
    <row r="74">
      <c r="A74" s="10" t="n"/>
      <c r="B74" s="11">
        <f>IF($A74="","",YEAR($A74))</f>
        <v/>
      </c>
      <c r="C74" s="11">
        <f>IF($A74="","",MONTH($A74))</f>
        <v/>
      </c>
      <c r="D74" s="6" t="n"/>
      <c r="E74" s="6" t="n"/>
      <c r="F74" s="6" t="n"/>
      <c r="G74" s="6" t="n"/>
      <c r="H74" s="6" t="n"/>
      <c r="I74" s="8" t="n"/>
      <c r="J74" s="12">
        <f>IF($I74="","",IF($H74="U$D",$I74,IFERROR($I74/VLOOKUP($B74*100+$C74,CONFIG!$I$5:$J$60,2,FALSE),"sin cotiz")))</f>
        <v/>
      </c>
      <c r="K74" s="6" t="n"/>
      <c r="L74" s="6" t="n"/>
      <c r="M74" s="6" t="n"/>
    </row>
    <row r="75">
      <c r="A75" s="10" t="n"/>
      <c r="B75" s="11">
        <f>IF($A75="","",YEAR($A75))</f>
        <v/>
      </c>
      <c r="C75" s="11">
        <f>IF($A75="","",MONTH($A75))</f>
        <v/>
      </c>
      <c r="D75" s="6" t="n"/>
      <c r="E75" s="6" t="n"/>
      <c r="F75" s="6" t="n"/>
      <c r="G75" s="6" t="n"/>
      <c r="H75" s="6" t="n"/>
      <c r="I75" s="8" t="n"/>
      <c r="J75" s="12">
        <f>IF($I75="","",IF($H75="U$D",$I75,IFERROR($I75/VLOOKUP($B75*100+$C75,CONFIG!$I$5:$J$60,2,FALSE),"sin cotiz")))</f>
        <v/>
      </c>
      <c r="K75" s="6" t="n"/>
      <c r="L75" s="6" t="n"/>
      <c r="M75" s="6" t="n"/>
    </row>
    <row r="76">
      <c r="A76" s="10" t="n"/>
      <c r="B76" s="11">
        <f>IF($A76="","",YEAR($A76))</f>
        <v/>
      </c>
      <c r="C76" s="11">
        <f>IF($A76="","",MONTH($A76))</f>
        <v/>
      </c>
      <c r="D76" s="6" t="n"/>
      <c r="E76" s="6" t="n"/>
      <c r="F76" s="6" t="n"/>
      <c r="G76" s="6" t="n"/>
      <c r="H76" s="6" t="n"/>
      <c r="I76" s="8" t="n"/>
      <c r="J76" s="12">
        <f>IF($I76="","",IF($H76="U$D",$I76,IFERROR($I76/VLOOKUP($B76*100+$C76,CONFIG!$I$5:$J$60,2,FALSE),"sin cotiz")))</f>
        <v/>
      </c>
      <c r="K76" s="6" t="n"/>
      <c r="L76" s="6" t="n"/>
      <c r="M76" s="6" t="n"/>
    </row>
    <row r="77">
      <c r="A77" s="10" t="n"/>
      <c r="B77" s="11">
        <f>IF($A77="","",YEAR($A77))</f>
        <v/>
      </c>
      <c r="C77" s="11">
        <f>IF($A77="","",MONTH($A77))</f>
        <v/>
      </c>
      <c r="D77" s="6" t="n"/>
      <c r="E77" s="6" t="n"/>
      <c r="F77" s="6" t="n"/>
      <c r="G77" s="6" t="n"/>
      <c r="H77" s="6" t="n"/>
      <c r="I77" s="8" t="n"/>
      <c r="J77" s="12">
        <f>IF($I77="","",IF($H77="U$D",$I77,IFERROR($I77/VLOOKUP($B77*100+$C77,CONFIG!$I$5:$J$60,2,FALSE),"sin cotiz")))</f>
        <v/>
      </c>
      <c r="K77" s="6" t="n"/>
      <c r="L77" s="6" t="n"/>
      <c r="M77" s="6" t="n"/>
    </row>
    <row r="78">
      <c r="A78" s="10" t="n"/>
      <c r="B78" s="11">
        <f>IF($A78="","",YEAR($A78))</f>
        <v/>
      </c>
      <c r="C78" s="11">
        <f>IF($A78="","",MONTH($A78))</f>
        <v/>
      </c>
      <c r="D78" s="6" t="n"/>
      <c r="E78" s="6" t="n"/>
      <c r="F78" s="6" t="n"/>
      <c r="G78" s="6" t="n"/>
      <c r="H78" s="6" t="n"/>
      <c r="I78" s="8" t="n"/>
      <c r="J78" s="12">
        <f>IF($I78="","",IF($H78="U$D",$I78,IFERROR($I78/VLOOKUP($B78*100+$C78,CONFIG!$I$5:$J$60,2,FALSE),"sin cotiz")))</f>
        <v/>
      </c>
      <c r="K78" s="6" t="n"/>
      <c r="L78" s="6" t="n"/>
      <c r="M78" s="6" t="n"/>
    </row>
    <row r="79">
      <c r="A79" s="10" t="n"/>
      <c r="B79" s="11">
        <f>IF($A79="","",YEAR($A79))</f>
        <v/>
      </c>
      <c r="C79" s="11">
        <f>IF($A79="","",MONTH($A79))</f>
        <v/>
      </c>
      <c r="D79" s="6" t="n"/>
      <c r="E79" s="6" t="n"/>
      <c r="F79" s="6" t="n"/>
      <c r="G79" s="6" t="n"/>
      <c r="H79" s="6" t="n"/>
      <c r="I79" s="8" t="n"/>
      <c r="J79" s="12">
        <f>IF($I79="","",IF($H79="U$D",$I79,IFERROR($I79/VLOOKUP($B79*100+$C79,CONFIG!$I$5:$J$60,2,FALSE),"sin cotiz")))</f>
        <v/>
      </c>
      <c r="K79" s="6" t="n"/>
      <c r="L79" s="6" t="n"/>
      <c r="M79" s="6" t="n"/>
    </row>
    <row r="80">
      <c r="A80" s="10" t="n"/>
      <c r="B80" s="11">
        <f>IF($A80="","",YEAR($A80))</f>
        <v/>
      </c>
      <c r="C80" s="11">
        <f>IF($A80="","",MONTH($A80))</f>
        <v/>
      </c>
      <c r="D80" s="6" t="n"/>
      <c r="E80" s="6" t="n"/>
      <c r="F80" s="6" t="n"/>
      <c r="G80" s="6" t="n"/>
      <c r="H80" s="6" t="n"/>
      <c r="I80" s="8" t="n"/>
      <c r="J80" s="12">
        <f>IF($I80="","",IF($H80="U$D",$I80,IFERROR($I80/VLOOKUP($B80*100+$C80,CONFIG!$I$5:$J$60,2,FALSE),"sin cotiz")))</f>
        <v/>
      </c>
      <c r="K80" s="6" t="n"/>
      <c r="L80" s="6" t="n"/>
      <c r="M80" s="6" t="n"/>
    </row>
    <row r="81">
      <c r="A81" s="10" t="n"/>
      <c r="B81" s="11">
        <f>IF($A81="","",YEAR($A81))</f>
        <v/>
      </c>
      <c r="C81" s="11">
        <f>IF($A81="","",MONTH($A81))</f>
        <v/>
      </c>
      <c r="D81" s="6" t="n"/>
      <c r="E81" s="6" t="n"/>
      <c r="F81" s="6" t="n"/>
      <c r="G81" s="6" t="n"/>
      <c r="H81" s="6" t="n"/>
      <c r="I81" s="8" t="n"/>
      <c r="J81" s="12">
        <f>IF($I81="","",IF($H81="U$D",$I81,IFERROR($I81/VLOOKUP($B81*100+$C81,CONFIG!$I$5:$J$60,2,FALSE),"sin cotiz")))</f>
        <v/>
      </c>
      <c r="K81" s="6" t="n"/>
      <c r="L81" s="6" t="n"/>
      <c r="M81" s="6" t="n"/>
    </row>
    <row r="82">
      <c r="A82" s="10" t="n"/>
      <c r="B82" s="11">
        <f>IF($A82="","",YEAR($A82))</f>
        <v/>
      </c>
      <c r="C82" s="11">
        <f>IF($A82="","",MONTH($A82))</f>
        <v/>
      </c>
      <c r="D82" s="6" t="n"/>
      <c r="E82" s="6" t="n"/>
      <c r="F82" s="6" t="n"/>
      <c r="G82" s="6" t="n"/>
      <c r="H82" s="6" t="n"/>
      <c r="I82" s="8" t="n"/>
      <c r="J82" s="12">
        <f>IF($I82="","",IF($H82="U$D",$I82,IFERROR($I82/VLOOKUP($B82*100+$C82,CONFIG!$I$5:$J$60,2,FALSE),"sin cotiz")))</f>
        <v/>
      </c>
      <c r="K82" s="6" t="n"/>
      <c r="L82" s="6" t="n"/>
      <c r="M82" s="6" t="n"/>
    </row>
    <row r="83">
      <c r="A83" s="10" t="n"/>
      <c r="B83" s="11">
        <f>IF($A83="","",YEAR($A83))</f>
        <v/>
      </c>
      <c r="C83" s="11">
        <f>IF($A83="","",MONTH($A83))</f>
        <v/>
      </c>
      <c r="D83" s="6" t="n"/>
      <c r="E83" s="6" t="n"/>
      <c r="F83" s="6" t="n"/>
      <c r="G83" s="6" t="n"/>
      <c r="H83" s="6" t="n"/>
      <c r="I83" s="8" t="n"/>
      <c r="J83" s="12">
        <f>IF($I83="","",IF($H83="U$D",$I83,IFERROR($I83/VLOOKUP($B83*100+$C83,CONFIG!$I$5:$J$60,2,FALSE),"sin cotiz")))</f>
        <v/>
      </c>
      <c r="K83" s="6" t="n"/>
      <c r="L83" s="6" t="n"/>
      <c r="M83" s="6" t="n"/>
    </row>
    <row r="84">
      <c r="A84" s="10" t="n"/>
      <c r="B84" s="11">
        <f>IF($A84="","",YEAR($A84))</f>
        <v/>
      </c>
      <c r="C84" s="11">
        <f>IF($A84="","",MONTH($A84))</f>
        <v/>
      </c>
      <c r="D84" s="6" t="n"/>
      <c r="E84" s="6" t="n"/>
      <c r="F84" s="6" t="n"/>
      <c r="G84" s="6" t="n"/>
      <c r="H84" s="6" t="n"/>
      <c r="I84" s="8" t="n"/>
      <c r="J84" s="12">
        <f>IF($I84="","",IF($H84="U$D",$I84,IFERROR($I84/VLOOKUP($B84*100+$C84,CONFIG!$I$5:$J$60,2,FALSE),"sin cotiz")))</f>
        <v/>
      </c>
      <c r="K84" s="6" t="n"/>
      <c r="L84" s="6" t="n"/>
      <c r="M84" s="6" t="n"/>
    </row>
    <row r="85">
      <c r="A85" s="10" t="n"/>
      <c r="B85" s="11">
        <f>IF($A85="","",YEAR($A85))</f>
        <v/>
      </c>
      <c r="C85" s="11">
        <f>IF($A85="","",MONTH($A85))</f>
        <v/>
      </c>
      <c r="D85" s="6" t="n"/>
      <c r="E85" s="6" t="n"/>
      <c r="F85" s="6" t="n"/>
      <c r="G85" s="6" t="n"/>
      <c r="H85" s="6" t="n"/>
      <c r="I85" s="8" t="n"/>
      <c r="J85" s="12">
        <f>IF($I85="","",IF($H85="U$D",$I85,IFERROR($I85/VLOOKUP($B85*100+$C85,CONFIG!$I$5:$J$60,2,FALSE),"sin cotiz")))</f>
        <v/>
      </c>
      <c r="K85" s="6" t="n"/>
      <c r="L85" s="6" t="n"/>
      <c r="M85" s="6" t="n"/>
    </row>
    <row r="86">
      <c r="A86" s="10" t="n"/>
      <c r="B86" s="11">
        <f>IF($A86="","",YEAR($A86))</f>
        <v/>
      </c>
      <c r="C86" s="11">
        <f>IF($A86="","",MONTH($A86))</f>
        <v/>
      </c>
      <c r="D86" s="6" t="n"/>
      <c r="E86" s="6" t="n"/>
      <c r="F86" s="6" t="n"/>
      <c r="G86" s="6" t="n"/>
      <c r="H86" s="6" t="n"/>
      <c r="I86" s="8" t="n"/>
      <c r="J86" s="12">
        <f>IF($I86="","",IF($H86="U$D",$I86,IFERROR($I86/VLOOKUP($B86*100+$C86,CONFIG!$I$5:$J$60,2,FALSE),"sin cotiz")))</f>
        <v/>
      </c>
      <c r="K86" s="6" t="n"/>
      <c r="L86" s="6" t="n"/>
      <c r="M86" s="6" t="n"/>
    </row>
    <row r="87">
      <c r="A87" s="10" t="n"/>
      <c r="B87" s="11">
        <f>IF($A87="","",YEAR($A87))</f>
        <v/>
      </c>
      <c r="C87" s="11">
        <f>IF($A87="","",MONTH($A87))</f>
        <v/>
      </c>
      <c r="D87" s="6" t="n"/>
      <c r="E87" s="6" t="n"/>
      <c r="F87" s="6" t="n"/>
      <c r="G87" s="6" t="n"/>
      <c r="H87" s="6" t="n"/>
      <c r="I87" s="8" t="n"/>
      <c r="J87" s="12">
        <f>IF($I87="","",IF($H87="U$D",$I87,IFERROR($I87/VLOOKUP($B87*100+$C87,CONFIG!$I$5:$J$60,2,FALSE),"sin cotiz")))</f>
        <v/>
      </c>
      <c r="K87" s="6" t="n"/>
      <c r="L87" s="6" t="n"/>
      <c r="M87" s="6" t="n"/>
    </row>
    <row r="88">
      <c r="A88" s="10" t="n"/>
      <c r="B88" s="11">
        <f>IF($A88="","",YEAR($A88))</f>
        <v/>
      </c>
      <c r="C88" s="11">
        <f>IF($A88="","",MONTH($A88))</f>
        <v/>
      </c>
      <c r="D88" s="6" t="n"/>
      <c r="E88" s="6" t="n"/>
      <c r="F88" s="6" t="n"/>
      <c r="G88" s="6" t="n"/>
      <c r="H88" s="6" t="n"/>
      <c r="I88" s="8" t="n"/>
      <c r="J88" s="12">
        <f>IF($I88="","",IF($H88="U$D",$I88,IFERROR($I88/VLOOKUP($B88*100+$C88,CONFIG!$I$5:$J$60,2,FALSE),"sin cotiz")))</f>
        <v/>
      </c>
      <c r="K88" s="6" t="n"/>
      <c r="L88" s="6" t="n"/>
      <c r="M88" s="6" t="n"/>
    </row>
    <row r="89">
      <c r="A89" s="10" t="n"/>
      <c r="B89" s="11">
        <f>IF($A89="","",YEAR($A89))</f>
        <v/>
      </c>
      <c r="C89" s="11">
        <f>IF($A89="","",MONTH($A89))</f>
        <v/>
      </c>
      <c r="D89" s="6" t="n"/>
      <c r="E89" s="6" t="n"/>
      <c r="F89" s="6" t="n"/>
      <c r="G89" s="6" t="n"/>
      <c r="H89" s="6" t="n"/>
      <c r="I89" s="8" t="n"/>
      <c r="J89" s="12">
        <f>IF($I89="","",IF($H89="U$D",$I89,IFERROR($I89/VLOOKUP($B89*100+$C89,CONFIG!$I$5:$J$60,2,FALSE),"sin cotiz")))</f>
        <v/>
      </c>
      <c r="K89" s="6" t="n"/>
      <c r="L89" s="6" t="n"/>
      <c r="M89" s="6" t="n"/>
    </row>
    <row r="90">
      <c r="A90" s="10" t="n"/>
      <c r="B90" s="11">
        <f>IF($A90="","",YEAR($A90))</f>
        <v/>
      </c>
      <c r="C90" s="11">
        <f>IF($A90="","",MONTH($A90))</f>
        <v/>
      </c>
      <c r="D90" s="6" t="n"/>
      <c r="E90" s="6" t="n"/>
      <c r="F90" s="6" t="n"/>
      <c r="G90" s="6" t="n"/>
      <c r="H90" s="6" t="n"/>
      <c r="I90" s="8" t="n"/>
      <c r="J90" s="12">
        <f>IF($I90="","",IF($H90="U$D",$I90,IFERROR($I90/VLOOKUP($B90*100+$C90,CONFIG!$I$5:$J$60,2,FALSE),"sin cotiz")))</f>
        <v/>
      </c>
      <c r="K90" s="6" t="n"/>
      <c r="L90" s="6" t="n"/>
      <c r="M90" s="6" t="n"/>
    </row>
    <row r="91">
      <c r="A91" s="10" t="n"/>
      <c r="B91" s="11">
        <f>IF($A91="","",YEAR($A91))</f>
        <v/>
      </c>
      <c r="C91" s="11">
        <f>IF($A91="","",MONTH($A91))</f>
        <v/>
      </c>
      <c r="D91" s="6" t="n"/>
      <c r="E91" s="6" t="n"/>
      <c r="F91" s="6" t="n"/>
      <c r="G91" s="6" t="n"/>
      <c r="H91" s="6" t="n"/>
      <c r="I91" s="8" t="n"/>
      <c r="J91" s="12">
        <f>IF($I91="","",IF($H91="U$D",$I91,IFERROR($I91/VLOOKUP($B91*100+$C91,CONFIG!$I$5:$J$60,2,FALSE),"sin cotiz")))</f>
        <v/>
      </c>
      <c r="K91" s="6" t="n"/>
      <c r="L91" s="6" t="n"/>
      <c r="M91" s="6" t="n"/>
    </row>
    <row r="92">
      <c r="A92" s="10" t="n"/>
      <c r="B92" s="11">
        <f>IF($A92="","",YEAR($A92))</f>
        <v/>
      </c>
      <c r="C92" s="11">
        <f>IF($A92="","",MONTH($A92))</f>
        <v/>
      </c>
      <c r="D92" s="6" t="n"/>
      <c r="E92" s="6" t="n"/>
      <c r="F92" s="6" t="n"/>
      <c r="G92" s="6" t="n"/>
      <c r="H92" s="6" t="n"/>
      <c r="I92" s="8" t="n"/>
      <c r="J92" s="12">
        <f>IF($I92="","",IF($H92="U$D",$I92,IFERROR($I92/VLOOKUP($B92*100+$C92,CONFIG!$I$5:$J$60,2,FALSE),"sin cotiz")))</f>
        <v/>
      </c>
      <c r="K92" s="6" t="n"/>
      <c r="L92" s="6" t="n"/>
      <c r="M92" s="6" t="n"/>
    </row>
    <row r="93">
      <c r="A93" s="10" t="n"/>
      <c r="B93" s="11">
        <f>IF($A93="","",YEAR($A93))</f>
        <v/>
      </c>
      <c r="C93" s="11">
        <f>IF($A93="","",MONTH($A93))</f>
        <v/>
      </c>
      <c r="D93" s="6" t="n"/>
      <c r="E93" s="6" t="n"/>
      <c r="F93" s="6" t="n"/>
      <c r="G93" s="6" t="n"/>
      <c r="H93" s="6" t="n"/>
      <c r="I93" s="8" t="n"/>
      <c r="J93" s="12">
        <f>IF($I93="","",IF($H93="U$D",$I93,IFERROR($I93/VLOOKUP($B93*100+$C93,CONFIG!$I$5:$J$60,2,FALSE),"sin cotiz")))</f>
        <v/>
      </c>
      <c r="K93" s="6" t="n"/>
      <c r="L93" s="6" t="n"/>
      <c r="M93" s="6" t="n"/>
    </row>
    <row r="94">
      <c r="A94" s="10" t="n"/>
      <c r="B94" s="11">
        <f>IF($A94="","",YEAR($A94))</f>
        <v/>
      </c>
      <c r="C94" s="11">
        <f>IF($A94="","",MONTH($A94))</f>
        <v/>
      </c>
      <c r="D94" s="6" t="n"/>
      <c r="E94" s="6" t="n"/>
      <c r="F94" s="6" t="n"/>
      <c r="G94" s="6" t="n"/>
      <c r="H94" s="6" t="n"/>
      <c r="I94" s="8" t="n"/>
      <c r="J94" s="12">
        <f>IF($I94="","",IF($H94="U$D",$I94,IFERROR($I94/VLOOKUP($B94*100+$C94,CONFIG!$I$5:$J$60,2,FALSE),"sin cotiz")))</f>
        <v/>
      </c>
      <c r="K94" s="6" t="n"/>
      <c r="L94" s="6" t="n"/>
      <c r="M94" s="6" t="n"/>
    </row>
    <row r="95">
      <c r="A95" s="10" t="n"/>
      <c r="B95" s="11">
        <f>IF($A95="","",YEAR($A95))</f>
        <v/>
      </c>
      <c r="C95" s="11">
        <f>IF($A95="","",MONTH($A95))</f>
        <v/>
      </c>
      <c r="D95" s="6" t="n"/>
      <c r="E95" s="6" t="n"/>
      <c r="F95" s="6" t="n"/>
      <c r="G95" s="6" t="n"/>
      <c r="H95" s="6" t="n"/>
      <c r="I95" s="8" t="n"/>
      <c r="J95" s="12">
        <f>IF($I95="","",IF($H95="U$D",$I95,IFERROR($I95/VLOOKUP($B95*100+$C95,CONFIG!$I$5:$J$60,2,FALSE),"sin cotiz")))</f>
        <v/>
      </c>
      <c r="K95" s="6" t="n"/>
      <c r="L95" s="6" t="n"/>
      <c r="M95" s="6" t="n"/>
    </row>
    <row r="96">
      <c r="A96" s="10" t="n"/>
      <c r="B96" s="11">
        <f>IF($A96="","",YEAR($A96))</f>
        <v/>
      </c>
      <c r="C96" s="11">
        <f>IF($A96="","",MONTH($A96))</f>
        <v/>
      </c>
      <c r="D96" s="6" t="n"/>
      <c r="E96" s="6" t="n"/>
      <c r="F96" s="6" t="n"/>
      <c r="G96" s="6" t="n"/>
      <c r="H96" s="6" t="n"/>
      <c r="I96" s="8" t="n"/>
      <c r="J96" s="12">
        <f>IF($I96="","",IF($H96="U$D",$I96,IFERROR($I96/VLOOKUP($B96*100+$C96,CONFIG!$I$5:$J$60,2,FALSE),"sin cotiz")))</f>
        <v/>
      </c>
      <c r="K96" s="6" t="n"/>
      <c r="L96" s="6" t="n"/>
      <c r="M96" s="6" t="n"/>
    </row>
    <row r="97">
      <c r="A97" s="10" t="n"/>
      <c r="B97" s="11">
        <f>IF($A97="","",YEAR($A97))</f>
        <v/>
      </c>
      <c r="C97" s="11">
        <f>IF($A97="","",MONTH($A97))</f>
        <v/>
      </c>
      <c r="D97" s="6" t="n"/>
      <c r="E97" s="6" t="n"/>
      <c r="F97" s="6" t="n"/>
      <c r="G97" s="6" t="n"/>
      <c r="H97" s="6" t="n"/>
      <c r="I97" s="8" t="n"/>
      <c r="J97" s="12">
        <f>IF($I97="","",IF($H97="U$D",$I97,IFERROR($I97/VLOOKUP($B97*100+$C97,CONFIG!$I$5:$J$60,2,FALSE),"sin cotiz")))</f>
        <v/>
      </c>
      <c r="K97" s="6" t="n"/>
      <c r="L97" s="6" t="n"/>
      <c r="M97" s="6" t="n"/>
    </row>
    <row r="98">
      <c r="A98" s="10" t="n"/>
      <c r="B98" s="11">
        <f>IF($A98="","",YEAR($A98))</f>
        <v/>
      </c>
      <c r="C98" s="11">
        <f>IF($A98="","",MONTH($A98))</f>
        <v/>
      </c>
      <c r="D98" s="6" t="n"/>
      <c r="E98" s="6" t="n"/>
      <c r="F98" s="6" t="n"/>
      <c r="G98" s="6" t="n"/>
      <c r="H98" s="6" t="n"/>
      <c r="I98" s="8" t="n"/>
      <c r="J98" s="12">
        <f>IF($I98="","",IF($H98="U$D",$I98,IFERROR($I98/VLOOKUP($B98*100+$C98,CONFIG!$I$5:$J$60,2,FALSE),"sin cotiz")))</f>
        <v/>
      </c>
      <c r="K98" s="6" t="n"/>
      <c r="L98" s="6" t="n"/>
      <c r="M98" s="6" t="n"/>
    </row>
    <row r="99">
      <c r="A99" s="10" t="n"/>
      <c r="B99" s="11">
        <f>IF($A99="","",YEAR($A99))</f>
        <v/>
      </c>
      <c r="C99" s="11">
        <f>IF($A99="","",MONTH($A99))</f>
        <v/>
      </c>
      <c r="D99" s="6" t="n"/>
      <c r="E99" s="6" t="n"/>
      <c r="F99" s="6" t="n"/>
      <c r="G99" s="6" t="n"/>
      <c r="H99" s="6" t="n"/>
      <c r="I99" s="8" t="n"/>
      <c r="J99" s="12">
        <f>IF($I99="","",IF($H99="U$D",$I99,IFERROR($I99/VLOOKUP($B99*100+$C99,CONFIG!$I$5:$J$60,2,FALSE),"sin cotiz")))</f>
        <v/>
      </c>
      <c r="K99" s="6" t="n"/>
      <c r="L99" s="6" t="n"/>
      <c r="M99" s="6" t="n"/>
    </row>
    <row r="100">
      <c r="A100" s="10" t="n"/>
      <c r="B100" s="11">
        <f>IF($A100="","",YEAR($A100))</f>
        <v/>
      </c>
      <c r="C100" s="11">
        <f>IF($A100="","",MONTH($A100))</f>
        <v/>
      </c>
      <c r="D100" s="6" t="n"/>
      <c r="E100" s="6" t="n"/>
      <c r="F100" s="6" t="n"/>
      <c r="G100" s="6" t="n"/>
      <c r="H100" s="6" t="n"/>
      <c r="I100" s="8" t="n"/>
      <c r="J100" s="12">
        <f>IF($I100="","",IF($H100="U$D",$I100,IFERROR($I100/VLOOKUP($B100*100+$C100,CONFIG!$I$5:$J$60,2,FALSE),"sin cotiz")))</f>
        <v/>
      </c>
      <c r="K100" s="6" t="n"/>
      <c r="L100" s="6" t="n"/>
      <c r="M100" s="6" t="n"/>
    </row>
    <row r="101">
      <c r="A101" s="10" t="n"/>
      <c r="B101" s="11">
        <f>IF($A101="","",YEAR($A101))</f>
        <v/>
      </c>
      <c r="C101" s="11">
        <f>IF($A101="","",MONTH($A101))</f>
        <v/>
      </c>
      <c r="D101" s="6" t="n"/>
      <c r="E101" s="6" t="n"/>
      <c r="F101" s="6" t="n"/>
      <c r="G101" s="6" t="n"/>
      <c r="H101" s="6" t="n"/>
      <c r="I101" s="8" t="n"/>
      <c r="J101" s="12">
        <f>IF($I101="","",IF($H101="U$D",$I101,IFERROR($I101/VLOOKUP($B101*100+$C101,CONFIG!$I$5:$J$60,2,FALSE),"sin cotiz")))</f>
        <v/>
      </c>
      <c r="K101" s="6" t="n"/>
      <c r="L101" s="6" t="n"/>
      <c r="M101" s="6" t="n"/>
    </row>
    <row r="102">
      <c r="A102" s="10" t="n"/>
      <c r="B102" s="11">
        <f>IF($A102="","",YEAR($A102))</f>
        <v/>
      </c>
      <c r="C102" s="11">
        <f>IF($A102="","",MONTH($A102))</f>
        <v/>
      </c>
      <c r="D102" s="6" t="n"/>
      <c r="E102" s="6" t="n"/>
      <c r="F102" s="6" t="n"/>
      <c r="G102" s="6" t="n"/>
      <c r="H102" s="6" t="n"/>
      <c r="I102" s="8" t="n"/>
      <c r="J102" s="12">
        <f>IF($I102="","",IF($H102="U$D",$I102,IFERROR($I102/VLOOKUP($B102*100+$C102,CONFIG!$I$5:$J$60,2,FALSE),"sin cotiz")))</f>
        <v/>
      </c>
      <c r="K102" s="6" t="n"/>
      <c r="L102" s="6" t="n"/>
      <c r="M102" s="6" t="n"/>
    </row>
    <row r="103">
      <c r="A103" s="10" t="n"/>
      <c r="B103" s="11">
        <f>IF($A103="","",YEAR($A103))</f>
        <v/>
      </c>
      <c r="C103" s="11">
        <f>IF($A103="","",MONTH($A103))</f>
        <v/>
      </c>
      <c r="D103" s="6" t="n"/>
      <c r="E103" s="6" t="n"/>
      <c r="F103" s="6" t="n"/>
      <c r="G103" s="6" t="n"/>
      <c r="H103" s="6" t="n"/>
      <c r="I103" s="8" t="n"/>
      <c r="J103" s="12">
        <f>IF($I103="","",IF($H103="U$D",$I103,IFERROR($I103/VLOOKUP($B103*100+$C103,CONFIG!$I$5:$J$60,2,FALSE),"sin cotiz")))</f>
        <v/>
      </c>
      <c r="K103" s="6" t="n"/>
      <c r="L103" s="6" t="n"/>
      <c r="M103" s="6" t="n"/>
    </row>
    <row r="104">
      <c r="A104" s="10" t="n"/>
      <c r="B104" s="11">
        <f>IF($A104="","",YEAR($A104))</f>
        <v/>
      </c>
      <c r="C104" s="11">
        <f>IF($A104="","",MONTH($A104))</f>
        <v/>
      </c>
      <c r="D104" s="6" t="n"/>
      <c r="E104" s="6" t="n"/>
      <c r="F104" s="6" t="n"/>
      <c r="G104" s="6" t="n"/>
      <c r="H104" s="6" t="n"/>
      <c r="I104" s="8" t="n"/>
      <c r="J104" s="12">
        <f>IF($I104="","",IF($H104="U$D",$I104,IFERROR($I104/VLOOKUP($B104*100+$C104,CONFIG!$I$5:$J$60,2,FALSE),"sin cotiz")))</f>
        <v/>
      </c>
      <c r="K104" s="6" t="n"/>
      <c r="L104" s="6" t="n"/>
      <c r="M104" s="6" t="n"/>
    </row>
    <row r="105">
      <c r="A105" s="10" t="n"/>
      <c r="B105" s="11">
        <f>IF($A105="","",YEAR($A105))</f>
        <v/>
      </c>
      <c r="C105" s="11">
        <f>IF($A105="","",MONTH($A105))</f>
        <v/>
      </c>
      <c r="D105" s="6" t="n"/>
      <c r="E105" s="6" t="n"/>
      <c r="F105" s="6" t="n"/>
      <c r="G105" s="6" t="n"/>
      <c r="H105" s="6" t="n"/>
      <c r="I105" s="8" t="n"/>
      <c r="J105" s="12">
        <f>IF($I105="","",IF($H105="U$D",$I105,IFERROR($I105/VLOOKUP($B105*100+$C105,CONFIG!$I$5:$J$60,2,FALSE),"sin cotiz")))</f>
        <v/>
      </c>
      <c r="K105" s="6" t="n"/>
      <c r="L105" s="6" t="n"/>
      <c r="M105" s="6" t="n"/>
    </row>
    <row r="106">
      <c r="A106" s="10" t="n"/>
      <c r="B106" s="11">
        <f>IF($A106="","",YEAR($A106))</f>
        <v/>
      </c>
      <c r="C106" s="11">
        <f>IF($A106="","",MONTH($A106))</f>
        <v/>
      </c>
      <c r="D106" s="6" t="n"/>
      <c r="E106" s="6" t="n"/>
      <c r="F106" s="6" t="n"/>
      <c r="G106" s="6" t="n"/>
      <c r="H106" s="6" t="n"/>
      <c r="I106" s="8" t="n"/>
      <c r="J106" s="12">
        <f>IF($I106="","",IF($H106="U$D",$I106,IFERROR($I106/VLOOKUP($B106*100+$C106,CONFIG!$I$5:$J$60,2,FALSE),"sin cotiz")))</f>
        <v/>
      </c>
      <c r="K106" s="6" t="n"/>
      <c r="L106" s="6" t="n"/>
      <c r="M106" s="6" t="n"/>
    </row>
    <row r="107">
      <c r="A107" s="10" t="n"/>
      <c r="B107" s="11">
        <f>IF($A107="","",YEAR($A107))</f>
        <v/>
      </c>
      <c r="C107" s="11">
        <f>IF($A107="","",MONTH($A107))</f>
        <v/>
      </c>
      <c r="D107" s="6" t="n"/>
      <c r="E107" s="6" t="n"/>
      <c r="F107" s="6" t="n"/>
      <c r="G107" s="6" t="n"/>
      <c r="H107" s="6" t="n"/>
      <c r="I107" s="8" t="n"/>
      <c r="J107" s="12">
        <f>IF($I107="","",IF($H107="U$D",$I107,IFERROR($I107/VLOOKUP($B107*100+$C107,CONFIG!$I$5:$J$60,2,FALSE),"sin cotiz")))</f>
        <v/>
      </c>
      <c r="K107" s="6" t="n"/>
      <c r="L107" s="6" t="n"/>
      <c r="M107" s="6" t="n"/>
    </row>
    <row r="108">
      <c r="A108" s="10" t="n"/>
      <c r="B108" s="11">
        <f>IF($A108="","",YEAR($A108))</f>
        <v/>
      </c>
      <c r="C108" s="11">
        <f>IF($A108="","",MONTH($A108))</f>
        <v/>
      </c>
      <c r="D108" s="6" t="n"/>
      <c r="E108" s="6" t="n"/>
      <c r="F108" s="6" t="n"/>
      <c r="G108" s="6" t="n"/>
      <c r="H108" s="6" t="n"/>
      <c r="I108" s="8" t="n"/>
      <c r="J108" s="12">
        <f>IF($I108="","",IF($H108="U$D",$I108,IFERROR($I108/VLOOKUP($B108*100+$C108,CONFIG!$I$5:$J$60,2,FALSE),"sin cotiz")))</f>
        <v/>
      </c>
      <c r="K108" s="6" t="n"/>
      <c r="L108" s="6" t="n"/>
      <c r="M108" s="6" t="n"/>
    </row>
    <row r="109">
      <c r="A109" s="10" t="n"/>
      <c r="B109" s="11">
        <f>IF($A109="","",YEAR($A109))</f>
        <v/>
      </c>
      <c r="C109" s="11">
        <f>IF($A109="","",MONTH($A109))</f>
        <v/>
      </c>
      <c r="D109" s="6" t="n"/>
      <c r="E109" s="6" t="n"/>
      <c r="F109" s="6" t="n"/>
      <c r="G109" s="6" t="n"/>
      <c r="H109" s="6" t="n"/>
      <c r="I109" s="8" t="n"/>
      <c r="J109" s="12">
        <f>IF($I109="","",IF($H109="U$D",$I109,IFERROR($I109/VLOOKUP($B109*100+$C109,CONFIG!$I$5:$J$60,2,FALSE),"sin cotiz")))</f>
        <v/>
      </c>
      <c r="K109" s="6" t="n"/>
      <c r="L109" s="6" t="n"/>
      <c r="M109" s="6" t="n"/>
    </row>
    <row r="110">
      <c r="A110" s="10" t="n"/>
      <c r="B110" s="11">
        <f>IF($A110="","",YEAR($A110))</f>
        <v/>
      </c>
      <c r="C110" s="11">
        <f>IF($A110="","",MONTH($A110))</f>
        <v/>
      </c>
      <c r="D110" s="6" t="n"/>
      <c r="E110" s="6" t="n"/>
      <c r="F110" s="6" t="n"/>
      <c r="G110" s="6" t="n"/>
      <c r="H110" s="6" t="n"/>
      <c r="I110" s="8" t="n"/>
      <c r="J110" s="12">
        <f>IF($I110="","",IF($H110="U$D",$I110,IFERROR($I110/VLOOKUP($B110*100+$C110,CONFIG!$I$5:$J$60,2,FALSE),"sin cotiz")))</f>
        <v/>
      </c>
      <c r="K110" s="6" t="n"/>
      <c r="L110" s="6" t="n"/>
      <c r="M110" s="6" t="n"/>
    </row>
    <row r="111">
      <c r="A111" s="10" t="n"/>
      <c r="B111" s="11">
        <f>IF($A111="","",YEAR($A111))</f>
        <v/>
      </c>
      <c r="C111" s="11">
        <f>IF($A111="","",MONTH($A111))</f>
        <v/>
      </c>
      <c r="D111" s="6" t="n"/>
      <c r="E111" s="6" t="n"/>
      <c r="F111" s="6" t="n"/>
      <c r="G111" s="6" t="n"/>
      <c r="H111" s="6" t="n"/>
      <c r="I111" s="8" t="n"/>
      <c r="J111" s="12">
        <f>IF($I111="","",IF($H111="U$D",$I111,IFERROR($I111/VLOOKUP($B111*100+$C111,CONFIG!$I$5:$J$60,2,FALSE),"sin cotiz")))</f>
        <v/>
      </c>
      <c r="K111" s="6" t="n"/>
      <c r="L111" s="6" t="n"/>
      <c r="M111" s="6" t="n"/>
    </row>
    <row r="112">
      <c r="A112" s="10" t="n"/>
      <c r="B112" s="11">
        <f>IF($A112="","",YEAR($A112))</f>
        <v/>
      </c>
      <c r="C112" s="11">
        <f>IF($A112="","",MONTH($A112))</f>
        <v/>
      </c>
      <c r="D112" s="6" t="n"/>
      <c r="E112" s="6" t="n"/>
      <c r="F112" s="6" t="n"/>
      <c r="G112" s="6" t="n"/>
      <c r="H112" s="6" t="n"/>
      <c r="I112" s="8" t="n"/>
      <c r="J112" s="12">
        <f>IF($I112="","",IF($H112="U$D",$I112,IFERROR($I112/VLOOKUP($B112*100+$C112,CONFIG!$I$5:$J$60,2,FALSE),"sin cotiz")))</f>
        <v/>
      </c>
      <c r="K112" s="6" t="n"/>
      <c r="L112" s="6" t="n"/>
      <c r="M112" s="6" t="n"/>
    </row>
    <row r="113">
      <c r="A113" s="10" t="n"/>
      <c r="B113" s="11">
        <f>IF($A113="","",YEAR($A113))</f>
        <v/>
      </c>
      <c r="C113" s="11">
        <f>IF($A113="","",MONTH($A113))</f>
        <v/>
      </c>
      <c r="D113" s="6" t="n"/>
      <c r="E113" s="6" t="n"/>
      <c r="F113" s="6" t="n"/>
      <c r="G113" s="6" t="n"/>
      <c r="H113" s="6" t="n"/>
      <c r="I113" s="8" t="n"/>
      <c r="J113" s="12">
        <f>IF($I113="","",IF($H113="U$D",$I113,IFERROR($I113/VLOOKUP($B113*100+$C113,CONFIG!$I$5:$J$60,2,FALSE),"sin cotiz")))</f>
        <v/>
      </c>
      <c r="K113" s="6" t="n"/>
      <c r="L113" s="6" t="n"/>
      <c r="M113" s="6" t="n"/>
    </row>
    <row r="114">
      <c r="A114" s="10" t="n"/>
      <c r="B114" s="11">
        <f>IF($A114="","",YEAR($A114))</f>
        <v/>
      </c>
      <c r="C114" s="11">
        <f>IF($A114="","",MONTH($A114))</f>
        <v/>
      </c>
      <c r="D114" s="6" t="n"/>
      <c r="E114" s="6" t="n"/>
      <c r="F114" s="6" t="n"/>
      <c r="G114" s="6" t="n"/>
      <c r="H114" s="6" t="n"/>
      <c r="I114" s="8" t="n"/>
      <c r="J114" s="12">
        <f>IF($I114="","",IF($H114="U$D",$I114,IFERROR($I114/VLOOKUP($B114*100+$C114,CONFIG!$I$5:$J$60,2,FALSE),"sin cotiz")))</f>
        <v/>
      </c>
      <c r="K114" s="6" t="n"/>
      <c r="L114" s="6" t="n"/>
      <c r="M114" s="6" t="n"/>
    </row>
    <row r="115">
      <c r="A115" s="10" t="n"/>
      <c r="B115" s="11">
        <f>IF($A115="","",YEAR($A115))</f>
        <v/>
      </c>
      <c r="C115" s="11">
        <f>IF($A115="","",MONTH($A115))</f>
        <v/>
      </c>
      <c r="D115" s="6" t="n"/>
      <c r="E115" s="6" t="n"/>
      <c r="F115" s="6" t="n"/>
      <c r="G115" s="6" t="n"/>
      <c r="H115" s="6" t="n"/>
      <c r="I115" s="8" t="n"/>
      <c r="J115" s="12">
        <f>IF($I115="","",IF($H115="U$D",$I115,IFERROR($I115/VLOOKUP($B115*100+$C115,CONFIG!$I$5:$J$60,2,FALSE),"sin cotiz")))</f>
        <v/>
      </c>
      <c r="K115" s="6" t="n"/>
      <c r="L115" s="6" t="n"/>
      <c r="M115" s="6" t="n"/>
    </row>
    <row r="116">
      <c r="A116" s="10" t="n"/>
      <c r="B116" s="11">
        <f>IF($A116="","",YEAR($A116))</f>
        <v/>
      </c>
      <c r="C116" s="11">
        <f>IF($A116="","",MONTH($A116))</f>
        <v/>
      </c>
      <c r="D116" s="6" t="n"/>
      <c r="E116" s="6" t="n"/>
      <c r="F116" s="6" t="n"/>
      <c r="G116" s="6" t="n"/>
      <c r="H116" s="6" t="n"/>
      <c r="I116" s="8" t="n"/>
      <c r="J116" s="12">
        <f>IF($I116="","",IF($H116="U$D",$I116,IFERROR($I116/VLOOKUP($B116*100+$C116,CONFIG!$I$5:$J$60,2,FALSE),"sin cotiz")))</f>
        <v/>
      </c>
      <c r="K116" s="6" t="n"/>
      <c r="L116" s="6" t="n"/>
      <c r="M116" s="6" t="n"/>
    </row>
    <row r="117">
      <c r="A117" s="10" t="n"/>
      <c r="B117" s="11">
        <f>IF($A117="","",YEAR($A117))</f>
        <v/>
      </c>
      <c r="C117" s="11">
        <f>IF($A117="","",MONTH($A117))</f>
        <v/>
      </c>
      <c r="D117" s="6" t="n"/>
      <c r="E117" s="6" t="n"/>
      <c r="F117" s="6" t="n"/>
      <c r="G117" s="6" t="n"/>
      <c r="H117" s="6" t="n"/>
      <c r="I117" s="8" t="n"/>
      <c r="J117" s="12">
        <f>IF($I117="","",IF($H117="U$D",$I117,IFERROR($I117/VLOOKUP($B117*100+$C117,CONFIG!$I$5:$J$60,2,FALSE),"sin cotiz")))</f>
        <v/>
      </c>
      <c r="K117" s="6" t="n"/>
      <c r="L117" s="6" t="n"/>
      <c r="M117" s="6" t="n"/>
    </row>
    <row r="118">
      <c r="A118" s="10" t="n"/>
      <c r="B118" s="11">
        <f>IF($A118="","",YEAR($A118))</f>
        <v/>
      </c>
      <c r="C118" s="11">
        <f>IF($A118="","",MONTH($A118))</f>
        <v/>
      </c>
      <c r="D118" s="6" t="n"/>
      <c r="E118" s="6" t="n"/>
      <c r="F118" s="6" t="n"/>
      <c r="G118" s="6" t="n"/>
      <c r="H118" s="6" t="n"/>
      <c r="I118" s="8" t="n"/>
      <c r="J118" s="12">
        <f>IF($I118="","",IF($H118="U$D",$I118,IFERROR($I118/VLOOKUP($B118*100+$C118,CONFIG!$I$5:$J$60,2,FALSE),"sin cotiz")))</f>
        <v/>
      </c>
      <c r="K118" s="6" t="n"/>
      <c r="L118" s="6" t="n"/>
      <c r="M118" s="6" t="n"/>
    </row>
    <row r="119">
      <c r="A119" s="10" t="n"/>
      <c r="B119" s="11">
        <f>IF($A119="","",YEAR($A119))</f>
        <v/>
      </c>
      <c r="C119" s="11">
        <f>IF($A119="","",MONTH($A119))</f>
        <v/>
      </c>
      <c r="D119" s="6" t="n"/>
      <c r="E119" s="6" t="n"/>
      <c r="F119" s="6" t="n"/>
      <c r="G119" s="6" t="n"/>
      <c r="H119" s="6" t="n"/>
      <c r="I119" s="8" t="n"/>
      <c r="J119" s="12">
        <f>IF($I119="","",IF($H119="U$D",$I119,IFERROR($I119/VLOOKUP($B119*100+$C119,CONFIG!$I$5:$J$60,2,FALSE),"sin cotiz")))</f>
        <v/>
      </c>
      <c r="K119" s="6" t="n"/>
      <c r="L119" s="6" t="n"/>
      <c r="M119" s="6" t="n"/>
    </row>
    <row r="120">
      <c r="A120" s="10" t="n"/>
      <c r="B120" s="11">
        <f>IF($A120="","",YEAR($A120))</f>
        <v/>
      </c>
      <c r="C120" s="11">
        <f>IF($A120="","",MONTH($A120))</f>
        <v/>
      </c>
      <c r="D120" s="6" t="n"/>
      <c r="E120" s="6" t="n"/>
      <c r="F120" s="6" t="n"/>
      <c r="G120" s="6" t="n"/>
      <c r="H120" s="6" t="n"/>
      <c r="I120" s="8" t="n"/>
      <c r="J120" s="12">
        <f>IF($I120="","",IF($H120="U$D",$I120,IFERROR($I120/VLOOKUP($B120*100+$C120,CONFIG!$I$5:$J$60,2,FALSE),"sin cotiz")))</f>
        <v/>
      </c>
      <c r="K120" s="6" t="n"/>
      <c r="L120" s="6" t="n"/>
      <c r="M120" s="6" t="n"/>
    </row>
    <row r="121">
      <c r="A121" s="10" t="n"/>
      <c r="B121" s="11">
        <f>IF($A121="","",YEAR($A121))</f>
        <v/>
      </c>
      <c r="C121" s="11">
        <f>IF($A121="","",MONTH($A121))</f>
        <v/>
      </c>
      <c r="D121" s="6" t="n"/>
      <c r="E121" s="6" t="n"/>
      <c r="F121" s="6" t="n"/>
      <c r="G121" s="6" t="n"/>
      <c r="H121" s="6" t="n"/>
      <c r="I121" s="8" t="n"/>
      <c r="J121" s="12">
        <f>IF($I121="","",IF($H121="U$D",$I121,IFERROR($I121/VLOOKUP($B121*100+$C121,CONFIG!$I$5:$J$60,2,FALSE),"sin cotiz")))</f>
        <v/>
      </c>
      <c r="K121" s="6" t="n"/>
      <c r="L121" s="6" t="n"/>
      <c r="M121" s="6" t="n"/>
    </row>
    <row r="122">
      <c r="A122" s="10" t="n"/>
      <c r="B122" s="11">
        <f>IF($A122="","",YEAR($A122))</f>
        <v/>
      </c>
      <c r="C122" s="11">
        <f>IF($A122="","",MONTH($A122))</f>
        <v/>
      </c>
      <c r="D122" s="6" t="n"/>
      <c r="E122" s="6" t="n"/>
      <c r="F122" s="6" t="n"/>
      <c r="G122" s="6" t="n"/>
      <c r="H122" s="6" t="n"/>
      <c r="I122" s="8" t="n"/>
      <c r="J122" s="12">
        <f>IF($I122="","",IF($H122="U$D",$I122,IFERROR($I122/VLOOKUP($B122*100+$C122,CONFIG!$I$5:$J$60,2,FALSE),"sin cotiz")))</f>
        <v/>
      </c>
      <c r="K122" s="6" t="n"/>
      <c r="L122" s="6" t="n"/>
      <c r="M122" s="6" t="n"/>
    </row>
    <row r="123">
      <c r="A123" s="10" t="n"/>
      <c r="B123" s="11">
        <f>IF($A123="","",YEAR($A123))</f>
        <v/>
      </c>
      <c r="C123" s="11">
        <f>IF($A123="","",MONTH($A123))</f>
        <v/>
      </c>
      <c r="D123" s="6" t="n"/>
      <c r="E123" s="6" t="n"/>
      <c r="F123" s="6" t="n"/>
      <c r="G123" s="6" t="n"/>
      <c r="H123" s="6" t="n"/>
      <c r="I123" s="8" t="n"/>
      <c r="J123" s="12">
        <f>IF($I123="","",IF($H123="U$D",$I123,IFERROR($I123/VLOOKUP($B123*100+$C123,CONFIG!$I$5:$J$60,2,FALSE),"sin cotiz")))</f>
        <v/>
      </c>
      <c r="K123" s="6" t="n"/>
      <c r="L123" s="6" t="n"/>
      <c r="M123" s="6" t="n"/>
    </row>
    <row r="124">
      <c r="A124" s="10" t="n"/>
      <c r="B124" s="11">
        <f>IF($A124="","",YEAR($A124))</f>
        <v/>
      </c>
      <c r="C124" s="11">
        <f>IF($A124="","",MONTH($A124))</f>
        <v/>
      </c>
      <c r="D124" s="6" t="n"/>
      <c r="E124" s="6" t="n"/>
      <c r="F124" s="6" t="n"/>
      <c r="G124" s="6" t="n"/>
      <c r="H124" s="6" t="n"/>
      <c r="I124" s="8" t="n"/>
      <c r="J124" s="12">
        <f>IF($I124="","",IF($H124="U$D",$I124,IFERROR($I124/VLOOKUP($B124*100+$C124,CONFIG!$I$5:$J$60,2,FALSE),"sin cotiz")))</f>
        <v/>
      </c>
      <c r="K124" s="6" t="n"/>
      <c r="L124" s="6" t="n"/>
      <c r="M124" s="6" t="n"/>
    </row>
    <row r="125">
      <c r="A125" s="10" t="n"/>
      <c r="B125" s="11">
        <f>IF($A125="","",YEAR($A125))</f>
        <v/>
      </c>
      <c r="C125" s="11">
        <f>IF($A125="","",MONTH($A125))</f>
        <v/>
      </c>
      <c r="D125" s="6" t="n"/>
      <c r="E125" s="6" t="n"/>
      <c r="F125" s="6" t="n"/>
      <c r="G125" s="6" t="n"/>
      <c r="H125" s="6" t="n"/>
      <c r="I125" s="8" t="n"/>
      <c r="J125" s="12">
        <f>IF($I125="","",IF($H125="U$D",$I125,IFERROR($I125/VLOOKUP($B125*100+$C125,CONFIG!$I$5:$J$60,2,FALSE),"sin cotiz")))</f>
        <v/>
      </c>
      <c r="K125" s="6" t="n"/>
      <c r="L125" s="6" t="n"/>
      <c r="M125" s="6" t="n"/>
    </row>
    <row r="126">
      <c r="A126" s="10" t="n"/>
      <c r="B126" s="11">
        <f>IF($A126="","",YEAR($A126))</f>
        <v/>
      </c>
      <c r="C126" s="11">
        <f>IF($A126="","",MONTH($A126))</f>
        <v/>
      </c>
      <c r="D126" s="6" t="n"/>
      <c r="E126" s="6" t="n"/>
      <c r="F126" s="6" t="n"/>
      <c r="G126" s="6" t="n"/>
      <c r="H126" s="6" t="n"/>
      <c r="I126" s="8" t="n"/>
      <c r="J126" s="12">
        <f>IF($I126="","",IF($H126="U$D",$I126,IFERROR($I126/VLOOKUP($B126*100+$C126,CONFIG!$I$5:$J$60,2,FALSE),"sin cotiz")))</f>
        <v/>
      </c>
      <c r="K126" s="6" t="n"/>
      <c r="L126" s="6" t="n"/>
      <c r="M126" s="6" t="n"/>
    </row>
    <row r="127">
      <c r="A127" s="10" t="n"/>
      <c r="B127" s="11">
        <f>IF($A127="","",YEAR($A127))</f>
        <v/>
      </c>
      <c r="C127" s="11">
        <f>IF($A127="","",MONTH($A127))</f>
        <v/>
      </c>
      <c r="D127" s="6" t="n"/>
      <c r="E127" s="6" t="n"/>
      <c r="F127" s="6" t="n"/>
      <c r="G127" s="6" t="n"/>
      <c r="H127" s="6" t="n"/>
      <c r="I127" s="8" t="n"/>
      <c r="J127" s="12">
        <f>IF($I127="","",IF($H127="U$D",$I127,IFERROR($I127/VLOOKUP($B127*100+$C127,CONFIG!$I$5:$J$60,2,FALSE),"sin cotiz")))</f>
        <v/>
      </c>
      <c r="K127" s="6" t="n"/>
      <c r="L127" s="6" t="n"/>
      <c r="M127" s="6" t="n"/>
    </row>
    <row r="128">
      <c r="A128" s="10" t="n"/>
      <c r="B128" s="11">
        <f>IF($A128="","",YEAR($A128))</f>
        <v/>
      </c>
      <c r="C128" s="11">
        <f>IF($A128="","",MONTH($A128))</f>
        <v/>
      </c>
      <c r="D128" s="6" t="n"/>
      <c r="E128" s="6" t="n"/>
      <c r="F128" s="6" t="n"/>
      <c r="G128" s="6" t="n"/>
      <c r="H128" s="6" t="n"/>
      <c r="I128" s="8" t="n"/>
      <c r="J128" s="12">
        <f>IF($I128="","",IF($H128="U$D",$I128,IFERROR($I128/VLOOKUP($B128*100+$C128,CONFIG!$I$5:$J$60,2,FALSE),"sin cotiz")))</f>
        <v/>
      </c>
      <c r="K128" s="6" t="n"/>
      <c r="L128" s="6" t="n"/>
      <c r="M128" s="6" t="n"/>
    </row>
    <row r="129">
      <c r="A129" s="10" t="n"/>
      <c r="B129" s="11">
        <f>IF($A129="","",YEAR($A129))</f>
        <v/>
      </c>
      <c r="C129" s="11">
        <f>IF($A129="","",MONTH($A129))</f>
        <v/>
      </c>
      <c r="D129" s="6" t="n"/>
      <c r="E129" s="6" t="n"/>
      <c r="F129" s="6" t="n"/>
      <c r="G129" s="6" t="n"/>
      <c r="H129" s="6" t="n"/>
      <c r="I129" s="8" t="n"/>
      <c r="J129" s="12">
        <f>IF($I129="","",IF($H129="U$D",$I129,IFERROR($I129/VLOOKUP($B129*100+$C129,CONFIG!$I$5:$J$60,2,FALSE),"sin cotiz")))</f>
        <v/>
      </c>
      <c r="K129" s="6" t="n"/>
      <c r="L129" s="6" t="n"/>
      <c r="M129" s="6" t="n"/>
    </row>
    <row r="130">
      <c r="A130" s="10" t="n"/>
      <c r="B130" s="11">
        <f>IF($A130="","",YEAR($A130))</f>
        <v/>
      </c>
      <c r="C130" s="11">
        <f>IF($A130="","",MONTH($A130))</f>
        <v/>
      </c>
      <c r="D130" s="6" t="n"/>
      <c r="E130" s="6" t="n"/>
      <c r="F130" s="6" t="n"/>
      <c r="G130" s="6" t="n"/>
      <c r="H130" s="6" t="n"/>
      <c r="I130" s="8" t="n"/>
      <c r="J130" s="12">
        <f>IF($I130="","",IF($H130="U$D",$I130,IFERROR($I130/VLOOKUP($B130*100+$C130,CONFIG!$I$5:$J$60,2,FALSE),"sin cotiz")))</f>
        <v/>
      </c>
      <c r="K130" s="6" t="n"/>
      <c r="L130" s="6" t="n"/>
      <c r="M130" s="6" t="n"/>
    </row>
    <row r="131">
      <c r="A131" s="10" t="n"/>
      <c r="B131" s="11">
        <f>IF($A131="","",YEAR($A131))</f>
        <v/>
      </c>
      <c r="C131" s="11">
        <f>IF($A131="","",MONTH($A131))</f>
        <v/>
      </c>
      <c r="D131" s="6" t="n"/>
      <c r="E131" s="6" t="n"/>
      <c r="F131" s="6" t="n"/>
      <c r="G131" s="6" t="n"/>
      <c r="H131" s="6" t="n"/>
      <c r="I131" s="8" t="n"/>
      <c r="J131" s="12">
        <f>IF($I131="","",IF($H131="U$D",$I131,IFERROR($I131/VLOOKUP($B131*100+$C131,CONFIG!$I$5:$J$60,2,FALSE),"sin cotiz")))</f>
        <v/>
      </c>
      <c r="K131" s="6" t="n"/>
      <c r="L131" s="6" t="n"/>
      <c r="M131" s="6" t="n"/>
    </row>
    <row r="132">
      <c r="A132" s="10" t="n"/>
      <c r="B132" s="11">
        <f>IF($A132="","",YEAR($A132))</f>
        <v/>
      </c>
      <c r="C132" s="11">
        <f>IF($A132="","",MONTH($A132))</f>
        <v/>
      </c>
      <c r="D132" s="6" t="n"/>
      <c r="E132" s="6" t="n"/>
      <c r="F132" s="6" t="n"/>
      <c r="G132" s="6" t="n"/>
      <c r="H132" s="6" t="n"/>
      <c r="I132" s="8" t="n"/>
      <c r="J132" s="12">
        <f>IF($I132="","",IF($H132="U$D",$I132,IFERROR($I132/VLOOKUP($B132*100+$C132,CONFIG!$I$5:$J$60,2,FALSE),"sin cotiz")))</f>
        <v/>
      </c>
      <c r="K132" s="6" t="n"/>
      <c r="L132" s="6" t="n"/>
      <c r="M132" s="6" t="n"/>
    </row>
    <row r="133">
      <c r="A133" s="10" t="n"/>
      <c r="B133" s="11">
        <f>IF($A133="","",YEAR($A133))</f>
        <v/>
      </c>
      <c r="C133" s="11">
        <f>IF($A133="","",MONTH($A133))</f>
        <v/>
      </c>
      <c r="D133" s="6" t="n"/>
      <c r="E133" s="6" t="n"/>
      <c r="F133" s="6" t="n"/>
      <c r="G133" s="6" t="n"/>
      <c r="H133" s="6" t="n"/>
      <c r="I133" s="8" t="n"/>
      <c r="J133" s="12">
        <f>IF($I133="","",IF($H133="U$D",$I133,IFERROR($I133/VLOOKUP($B133*100+$C133,CONFIG!$I$5:$J$60,2,FALSE),"sin cotiz")))</f>
        <v/>
      </c>
      <c r="K133" s="6" t="n"/>
      <c r="L133" s="6" t="n"/>
      <c r="M133" s="6" t="n"/>
    </row>
    <row r="134">
      <c r="A134" s="10" t="n"/>
      <c r="B134" s="11">
        <f>IF($A134="","",YEAR($A134))</f>
        <v/>
      </c>
      <c r="C134" s="11">
        <f>IF($A134="","",MONTH($A134))</f>
        <v/>
      </c>
      <c r="D134" s="6" t="n"/>
      <c r="E134" s="6" t="n"/>
      <c r="F134" s="6" t="n"/>
      <c r="G134" s="6" t="n"/>
      <c r="H134" s="6" t="n"/>
      <c r="I134" s="8" t="n"/>
      <c r="J134" s="12">
        <f>IF($I134="","",IF($H134="U$D",$I134,IFERROR($I134/VLOOKUP($B134*100+$C134,CONFIG!$I$5:$J$60,2,FALSE),"sin cotiz")))</f>
        <v/>
      </c>
      <c r="K134" s="6" t="n"/>
      <c r="L134" s="6" t="n"/>
      <c r="M134" s="6" t="n"/>
    </row>
    <row r="135">
      <c r="A135" s="10" t="n"/>
      <c r="B135" s="11">
        <f>IF($A135="","",YEAR($A135))</f>
        <v/>
      </c>
      <c r="C135" s="11">
        <f>IF($A135="","",MONTH($A135))</f>
        <v/>
      </c>
      <c r="D135" s="6" t="n"/>
      <c r="E135" s="6" t="n"/>
      <c r="F135" s="6" t="n"/>
      <c r="G135" s="6" t="n"/>
      <c r="H135" s="6" t="n"/>
      <c r="I135" s="8" t="n"/>
      <c r="J135" s="12">
        <f>IF($I135="","",IF($H135="U$D",$I135,IFERROR($I135/VLOOKUP($B135*100+$C135,CONFIG!$I$5:$J$60,2,FALSE),"sin cotiz")))</f>
        <v/>
      </c>
      <c r="K135" s="6" t="n"/>
      <c r="L135" s="6" t="n"/>
      <c r="M135" s="6" t="n"/>
    </row>
    <row r="136">
      <c r="A136" s="10" t="n"/>
      <c r="B136" s="11">
        <f>IF($A136="","",YEAR($A136))</f>
        <v/>
      </c>
      <c r="C136" s="11">
        <f>IF($A136="","",MONTH($A136))</f>
        <v/>
      </c>
      <c r="D136" s="6" t="n"/>
      <c r="E136" s="6" t="n"/>
      <c r="F136" s="6" t="n"/>
      <c r="G136" s="6" t="n"/>
      <c r="H136" s="6" t="n"/>
      <c r="I136" s="8" t="n"/>
      <c r="J136" s="12">
        <f>IF($I136="","",IF($H136="U$D",$I136,IFERROR($I136/VLOOKUP($B136*100+$C136,CONFIG!$I$5:$J$60,2,FALSE),"sin cotiz")))</f>
        <v/>
      </c>
      <c r="K136" s="6" t="n"/>
      <c r="L136" s="6" t="n"/>
      <c r="M136" s="6" t="n"/>
    </row>
    <row r="137">
      <c r="A137" s="10" t="n"/>
      <c r="B137" s="11">
        <f>IF($A137="","",YEAR($A137))</f>
        <v/>
      </c>
      <c r="C137" s="11">
        <f>IF($A137="","",MONTH($A137))</f>
        <v/>
      </c>
      <c r="D137" s="6" t="n"/>
      <c r="E137" s="6" t="n"/>
      <c r="F137" s="6" t="n"/>
      <c r="G137" s="6" t="n"/>
      <c r="H137" s="6" t="n"/>
      <c r="I137" s="8" t="n"/>
      <c r="J137" s="12">
        <f>IF($I137="","",IF($H137="U$D",$I137,IFERROR($I137/VLOOKUP($B137*100+$C137,CONFIG!$I$5:$J$60,2,FALSE),"sin cotiz")))</f>
        <v/>
      </c>
      <c r="K137" s="6" t="n"/>
      <c r="L137" s="6" t="n"/>
      <c r="M137" s="6" t="n"/>
    </row>
    <row r="138">
      <c r="A138" s="10" t="n"/>
      <c r="B138" s="11">
        <f>IF($A138="","",YEAR($A138))</f>
        <v/>
      </c>
      <c r="C138" s="11">
        <f>IF($A138="","",MONTH($A138))</f>
        <v/>
      </c>
      <c r="D138" s="6" t="n"/>
      <c r="E138" s="6" t="n"/>
      <c r="F138" s="6" t="n"/>
      <c r="G138" s="6" t="n"/>
      <c r="H138" s="6" t="n"/>
      <c r="I138" s="8" t="n"/>
      <c r="J138" s="12">
        <f>IF($I138="","",IF($H138="U$D",$I138,IFERROR($I138/VLOOKUP($B138*100+$C138,CONFIG!$I$5:$J$60,2,FALSE),"sin cotiz")))</f>
        <v/>
      </c>
      <c r="K138" s="6" t="n"/>
      <c r="L138" s="6" t="n"/>
      <c r="M138" s="6" t="n"/>
    </row>
    <row r="139">
      <c r="A139" s="10" t="n"/>
      <c r="B139" s="11">
        <f>IF($A139="","",YEAR($A139))</f>
        <v/>
      </c>
      <c r="C139" s="11">
        <f>IF($A139="","",MONTH($A139))</f>
        <v/>
      </c>
      <c r="D139" s="6" t="n"/>
      <c r="E139" s="6" t="n"/>
      <c r="F139" s="6" t="n"/>
      <c r="G139" s="6" t="n"/>
      <c r="H139" s="6" t="n"/>
      <c r="I139" s="8" t="n"/>
      <c r="J139" s="12">
        <f>IF($I139="","",IF($H139="U$D",$I139,IFERROR($I139/VLOOKUP($B139*100+$C139,CONFIG!$I$5:$J$60,2,FALSE),"sin cotiz")))</f>
        <v/>
      </c>
      <c r="K139" s="6" t="n"/>
      <c r="L139" s="6" t="n"/>
      <c r="M139" s="6" t="n"/>
    </row>
    <row r="140">
      <c r="A140" s="10" t="n"/>
      <c r="B140" s="11">
        <f>IF($A140="","",YEAR($A140))</f>
        <v/>
      </c>
      <c r="C140" s="11">
        <f>IF($A140="","",MONTH($A140))</f>
        <v/>
      </c>
      <c r="D140" s="6" t="n"/>
      <c r="E140" s="6" t="n"/>
      <c r="F140" s="6" t="n"/>
      <c r="G140" s="6" t="n"/>
      <c r="H140" s="6" t="n"/>
      <c r="I140" s="8" t="n"/>
      <c r="J140" s="12">
        <f>IF($I140="","",IF($H140="U$D",$I140,IFERROR($I140/VLOOKUP($B140*100+$C140,CONFIG!$I$5:$J$60,2,FALSE),"sin cotiz")))</f>
        <v/>
      </c>
      <c r="K140" s="6" t="n"/>
      <c r="L140" s="6" t="n"/>
      <c r="M140" s="6" t="n"/>
    </row>
    <row r="141">
      <c r="A141" s="10" t="n"/>
      <c r="B141" s="11">
        <f>IF($A141="","",YEAR($A141))</f>
        <v/>
      </c>
      <c r="C141" s="11">
        <f>IF($A141="","",MONTH($A141))</f>
        <v/>
      </c>
      <c r="D141" s="6" t="n"/>
      <c r="E141" s="6" t="n"/>
      <c r="F141" s="6" t="n"/>
      <c r="G141" s="6" t="n"/>
      <c r="H141" s="6" t="n"/>
      <c r="I141" s="8" t="n"/>
      <c r="J141" s="12">
        <f>IF($I141="","",IF($H141="U$D",$I141,IFERROR($I141/VLOOKUP($B141*100+$C141,CONFIG!$I$5:$J$60,2,FALSE),"sin cotiz")))</f>
        <v/>
      </c>
      <c r="K141" s="6" t="n"/>
      <c r="L141" s="6" t="n"/>
      <c r="M141" s="6" t="n"/>
    </row>
    <row r="142">
      <c r="A142" s="10" t="n"/>
      <c r="B142" s="11">
        <f>IF($A142="","",YEAR($A142))</f>
        <v/>
      </c>
      <c r="C142" s="11">
        <f>IF($A142="","",MONTH($A142))</f>
        <v/>
      </c>
      <c r="D142" s="6" t="n"/>
      <c r="E142" s="6" t="n"/>
      <c r="F142" s="6" t="n"/>
      <c r="G142" s="6" t="n"/>
      <c r="H142" s="6" t="n"/>
      <c r="I142" s="8" t="n"/>
      <c r="J142" s="12">
        <f>IF($I142="","",IF($H142="U$D",$I142,IFERROR($I142/VLOOKUP($B142*100+$C142,CONFIG!$I$5:$J$60,2,FALSE),"sin cotiz")))</f>
        <v/>
      </c>
      <c r="K142" s="6" t="n"/>
      <c r="L142" s="6" t="n"/>
      <c r="M142" s="6" t="n"/>
    </row>
    <row r="143">
      <c r="A143" s="10" t="n"/>
      <c r="B143" s="11">
        <f>IF($A143="","",YEAR($A143))</f>
        <v/>
      </c>
      <c r="C143" s="11">
        <f>IF($A143="","",MONTH($A143))</f>
        <v/>
      </c>
      <c r="D143" s="6" t="n"/>
      <c r="E143" s="6" t="n"/>
      <c r="F143" s="6" t="n"/>
      <c r="G143" s="6" t="n"/>
      <c r="H143" s="6" t="n"/>
      <c r="I143" s="8" t="n"/>
      <c r="J143" s="12">
        <f>IF($I143="","",IF($H143="U$D",$I143,IFERROR($I143/VLOOKUP($B143*100+$C143,CONFIG!$I$5:$J$60,2,FALSE),"sin cotiz")))</f>
        <v/>
      </c>
      <c r="K143" s="6" t="n"/>
      <c r="L143" s="6" t="n"/>
      <c r="M143" s="6" t="n"/>
    </row>
    <row r="144">
      <c r="A144" s="10" t="n"/>
      <c r="B144" s="11">
        <f>IF($A144="","",YEAR($A144))</f>
        <v/>
      </c>
      <c r="C144" s="11">
        <f>IF($A144="","",MONTH($A144))</f>
        <v/>
      </c>
      <c r="D144" s="6" t="n"/>
      <c r="E144" s="6" t="n"/>
      <c r="F144" s="6" t="n"/>
      <c r="G144" s="6" t="n"/>
      <c r="H144" s="6" t="n"/>
      <c r="I144" s="8" t="n"/>
      <c r="J144" s="12">
        <f>IF($I144="","",IF($H144="U$D",$I144,IFERROR($I144/VLOOKUP($B144*100+$C144,CONFIG!$I$5:$J$60,2,FALSE),"sin cotiz")))</f>
        <v/>
      </c>
      <c r="K144" s="6" t="n"/>
      <c r="L144" s="6" t="n"/>
      <c r="M144" s="6" t="n"/>
    </row>
    <row r="145">
      <c r="A145" s="10" t="n"/>
      <c r="B145" s="11">
        <f>IF($A145="","",YEAR($A145))</f>
        <v/>
      </c>
      <c r="C145" s="11">
        <f>IF($A145="","",MONTH($A145))</f>
        <v/>
      </c>
      <c r="D145" s="6" t="n"/>
      <c r="E145" s="6" t="n"/>
      <c r="F145" s="6" t="n"/>
      <c r="G145" s="6" t="n"/>
      <c r="H145" s="6" t="n"/>
      <c r="I145" s="8" t="n"/>
      <c r="J145" s="12">
        <f>IF($I145="","",IF($H145="U$D",$I145,IFERROR($I145/VLOOKUP($B145*100+$C145,CONFIG!$I$5:$J$60,2,FALSE),"sin cotiz")))</f>
        <v/>
      </c>
      <c r="K145" s="6" t="n"/>
      <c r="L145" s="6" t="n"/>
      <c r="M145" s="6" t="n"/>
    </row>
    <row r="146">
      <c r="A146" s="10" t="n"/>
      <c r="B146" s="11">
        <f>IF($A146="","",YEAR($A146))</f>
        <v/>
      </c>
      <c r="C146" s="11">
        <f>IF($A146="","",MONTH($A146))</f>
        <v/>
      </c>
      <c r="D146" s="6" t="n"/>
      <c r="E146" s="6" t="n"/>
      <c r="F146" s="6" t="n"/>
      <c r="G146" s="6" t="n"/>
      <c r="H146" s="6" t="n"/>
      <c r="I146" s="8" t="n"/>
      <c r="J146" s="12">
        <f>IF($I146="","",IF($H146="U$D",$I146,IFERROR($I146/VLOOKUP($B146*100+$C146,CONFIG!$I$5:$J$60,2,FALSE),"sin cotiz")))</f>
        <v/>
      </c>
      <c r="K146" s="6" t="n"/>
      <c r="L146" s="6" t="n"/>
      <c r="M146" s="6" t="n"/>
    </row>
    <row r="147">
      <c r="A147" s="10" t="n"/>
      <c r="B147" s="11">
        <f>IF($A147="","",YEAR($A147))</f>
        <v/>
      </c>
      <c r="C147" s="11">
        <f>IF($A147="","",MONTH($A147))</f>
        <v/>
      </c>
      <c r="D147" s="6" t="n"/>
      <c r="E147" s="6" t="n"/>
      <c r="F147" s="6" t="n"/>
      <c r="G147" s="6" t="n"/>
      <c r="H147" s="6" t="n"/>
      <c r="I147" s="8" t="n"/>
      <c r="J147" s="12">
        <f>IF($I147="","",IF($H147="U$D",$I147,IFERROR($I147/VLOOKUP($B147*100+$C147,CONFIG!$I$5:$J$60,2,FALSE),"sin cotiz")))</f>
        <v/>
      </c>
      <c r="K147" s="6" t="n"/>
      <c r="L147" s="6" t="n"/>
      <c r="M147" s="6" t="n"/>
    </row>
    <row r="148">
      <c r="A148" s="10" t="n"/>
      <c r="B148" s="11">
        <f>IF($A148="","",YEAR($A148))</f>
        <v/>
      </c>
      <c r="C148" s="11">
        <f>IF($A148="","",MONTH($A148))</f>
        <v/>
      </c>
      <c r="D148" s="6" t="n"/>
      <c r="E148" s="6" t="n"/>
      <c r="F148" s="6" t="n"/>
      <c r="G148" s="6" t="n"/>
      <c r="H148" s="6" t="n"/>
      <c r="I148" s="8" t="n"/>
      <c r="J148" s="12">
        <f>IF($I148="","",IF($H148="U$D",$I148,IFERROR($I148/VLOOKUP($B148*100+$C148,CONFIG!$I$5:$J$60,2,FALSE),"sin cotiz")))</f>
        <v/>
      </c>
      <c r="K148" s="6" t="n"/>
      <c r="L148" s="6" t="n"/>
      <c r="M148" s="6" t="n"/>
    </row>
    <row r="149">
      <c r="A149" s="10" t="n"/>
      <c r="B149" s="11">
        <f>IF($A149="","",YEAR($A149))</f>
        <v/>
      </c>
      <c r="C149" s="11">
        <f>IF($A149="","",MONTH($A149))</f>
        <v/>
      </c>
      <c r="D149" s="6" t="n"/>
      <c r="E149" s="6" t="n"/>
      <c r="F149" s="6" t="n"/>
      <c r="G149" s="6" t="n"/>
      <c r="H149" s="6" t="n"/>
      <c r="I149" s="8" t="n"/>
      <c r="J149" s="12">
        <f>IF($I149="","",IF($H149="U$D",$I149,IFERROR($I149/VLOOKUP($B149*100+$C149,CONFIG!$I$5:$J$60,2,FALSE),"sin cotiz")))</f>
        <v/>
      </c>
      <c r="K149" s="6" t="n"/>
      <c r="L149" s="6" t="n"/>
      <c r="M149" s="6" t="n"/>
    </row>
    <row r="150">
      <c r="A150" s="10" t="n"/>
      <c r="B150" s="11">
        <f>IF($A150="","",YEAR($A150))</f>
        <v/>
      </c>
      <c r="C150" s="11">
        <f>IF($A150="","",MONTH($A150))</f>
        <v/>
      </c>
      <c r="D150" s="6" t="n"/>
      <c r="E150" s="6" t="n"/>
      <c r="F150" s="6" t="n"/>
      <c r="G150" s="6" t="n"/>
      <c r="H150" s="6" t="n"/>
      <c r="I150" s="8" t="n"/>
      <c r="J150" s="12">
        <f>IF($I150="","",IF($H150="U$D",$I150,IFERROR($I150/VLOOKUP($B150*100+$C150,CONFIG!$I$5:$J$60,2,FALSE),"sin cotiz")))</f>
        <v/>
      </c>
      <c r="K150" s="6" t="n"/>
      <c r="L150" s="6" t="n"/>
      <c r="M150" s="6" t="n"/>
    </row>
    <row r="151">
      <c r="A151" s="10" t="n"/>
      <c r="B151" s="11">
        <f>IF($A151="","",YEAR($A151))</f>
        <v/>
      </c>
      <c r="C151" s="11">
        <f>IF($A151="","",MONTH($A151))</f>
        <v/>
      </c>
      <c r="D151" s="6" t="n"/>
      <c r="E151" s="6" t="n"/>
      <c r="F151" s="6" t="n"/>
      <c r="G151" s="6" t="n"/>
      <c r="H151" s="6" t="n"/>
      <c r="I151" s="8" t="n"/>
      <c r="J151" s="12">
        <f>IF($I151="","",IF($H151="U$D",$I151,IFERROR($I151/VLOOKUP($B151*100+$C151,CONFIG!$I$5:$J$60,2,FALSE),"sin cotiz")))</f>
        <v/>
      </c>
      <c r="K151" s="6" t="n"/>
      <c r="L151" s="6" t="n"/>
      <c r="M151" s="6" t="n"/>
    </row>
    <row r="152">
      <c r="A152" s="10" t="n"/>
      <c r="B152" s="11">
        <f>IF($A152="","",YEAR($A152))</f>
        <v/>
      </c>
      <c r="C152" s="11">
        <f>IF($A152="","",MONTH($A152))</f>
        <v/>
      </c>
      <c r="D152" s="6" t="n"/>
      <c r="E152" s="6" t="n"/>
      <c r="F152" s="6" t="n"/>
      <c r="G152" s="6" t="n"/>
      <c r="H152" s="6" t="n"/>
      <c r="I152" s="8" t="n"/>
      <c r="J152" s="12">
        <f>IF($I152="","",IF($H152="U$D",$I152,IFERROR($I152/VLOOKUP($B152*100+$C152,CONFIG!$I$5:$J$60,2,FALSE),"sin cotiz")))</f>
        <v/>
      </c>
      <c r="K152" s="6" t="n"/>
      <c r="L152" s="6" t="n"/>
      <c r="M152" s="6" t="n"/>
    </row>
    <row r="153">
      <c r="A153" s="10" t="n"/>
      <c r="B153" s="11">
        <f>IF($A153="","",YEAR($A153))</f>
        <v/>
      </c>
      <c r="C153" s="11">
        <f>IF($A153="","",MONTH($A153))</f>
        <v/>
      </c>
      <c r="D153" s="6" t="n"/>
      <c r="E153" s="6" t="n"/>
      <c r="F153" s="6" t="n"/>
      <c r="G153" s="6" t="n"/>
      <c r="H153" s="6" t="n"/>
      <c r="I153" s="8" t="n"/>
      <c r="J153" s="12">
        <f>IF($I153="","",IF($H153="U$D",$I153,IFERROR($I153/VLOOKUP($B153*100+$C153,CONFIG!$I$5:$J$60,2,FALSE),"sin cotiz")))</f>
        <v/>
      </c>
      <c r="K153" s="6" t="n"/>
      <c r="L153" s="6" t="n"/>
      <c r="M153" s="6" t="n"/>
    </row>
    <row r="154">
      <c r="A154" s="10" t="n"/>
      <c r="B154" s="11">
        <f>IF($A154="","",YEAR($A154))</f>
        <v/>
      </c>
      <c r="C154" s="11">
        <f>IF($A154="","",MONTH($A154))</f>
        <v/>
      </c>
      <c r="D154" s="6" t="n"/>
      <c r="E154" s="6" t="n"/>
      <c r="F154" s="6" t="n"/>
      <c r="G154" s="6" t="n"/>
      <c r="H154" s="6" t="n"/>
      <c r="I154" s="8" t="n"/>
      <c r="J154" s="12">
        <f>IF($I154="","",IF($H154="U$D",$I154,IFERROR($I154/VLOOKUP($B154*100+$C154,CONFIG!$I$5:$J$60,2,FALSE),"sin cotiz")))</f>
        <v/>
      </c>
      <c r="K154" s="6" t="n"/>
      <c r="L154" s="6" t="n"/>
      <c r="M154" s="6" t="n"/>
    </row>
    <row r="155">
      <c r="A155" s="10" t="n"/>
      <c r="B155" s="11">
        <f>IF($A155="","",YEAR($A155))</f>
        <v/>
      </c>
      <c r="C155" s="11">
        <f>IF($A155="","",MONTH($A155))</f>
        <v/>
      </c>
      <c r="D155" s="6" t="n"/>
      <c r="E155" s="6" t="n"/>
      <c r="F155" s="6" t="n"/>
      <c r="G155" s="6" t="n"/>
      <c r="H155" s="6" t="n"/>
      <c r="I155" s="8" t="n"/>
      <c r="J155" s="12">
        <f>IF($I155="","",IF($H155="U$D",$I155,IFERROR($I155/VLOOKUP($B155*100+$C155,CONFIG!$I$5:$J$60,2,FALSE),"sin cotiz")))</f>
        <v/>
      </c>
      <c r="K155" s="6" t="n"/>
      <c r="L155" s="6" t="n"/>
      <c r="M155" s="6" t="n"/>
    </row>
    <row r="156">
      <c r="A156" s="10" t="n"/>
      <c r="B156" s="11">
        <f>IF($A156="","",YEAR($A156))</f>
        <v/>
      </c>
      <c r="C156" s="11">
        <f>IF($A156="","",MONTH($A156))</f>
        <v/>
      </c>
      <c r="D156" s="6" t="n"/>
      <c r="E156" s="6" t="n"/>
      <c r="F156" s="6" t="n"/>
      <c r="G156" s="6" t="n"/>
      <c r="H156" s="6" t="n"/>
      <c r="I156" s="8" t="n"/>
      <c r="J156" s="12">
        <f>IF($I156="","",IF($H156="U$D",$I156,IFERROR($I156/VLOOKUP($B156*100+$C156,CONFIG!$I$5:$J$60,2,FALSE),"sin cotiz")))</f>
        <v/>
      </c>
      <c r="K156" s="6" t="n"/>
      <c r="L156" s="6" t="n"/>
      <c r="M156" s="6" t="n"/>
    </row>
    <row r="157">
      <c r="A157" s="10" t="n"/>
      <c r="B157" s="11">
        <f>IF($A157="","",YEAR($A157))</f>
        <v/>
      </c>
      <c r="C157" s="11">
        <f>IF($A157="","",MONTH($A157))</f>
        <v/>
      </c>
      <c r="D157" s="6" t="n"/>
      <c r="E157" s="6" t="n"/>
      <c r="F157" s="6" t="n"/>
      <c r="G157" s="6" t="n"/>
      <c r="H157" s="6" t="n"/>
      <c r="I157" s="8" t="n"/>
      <c r="J157" s="12">
        <f>IF($I157="","",IF($H157="U$D",$I157,IFERROR($I157/VLOOKUP($B157*100+$C157,CONFIG!$I$5:$J$60,2,FALSE),"sin cotiz")))</f>
        <v/>
      </c>
      <c r="K157" s="6" t="n"/>
      <c r="L157" s="6" t="n"/>
      <c r="M157" s="6" t="n"/>
    </row>
    <row r="158">
      <c r="A158" s="10" t="n"/>
      <c r="B158" s="11">
        <f>IF($A158="","",YEAR($A158))</f>
        <v/>
      </c>
      <c r="C158" s="11">
        <f>IF($A158="","",MONTH($A158))</f>
        <v/>
      </c>
      <c r="D158" s="6" t="n"/>
      <c r="E158" s="6" t="n"/>
      <c r="F158" s="6" t="n"/>
      <c r="G158" s="6" t="n"/>
      <c r="H158" s="6" t="n"/>
      <c r="I158" s="8" t="n"/>
      <c r="J158" s="12">
        <f>IF($I158="","",IF($H158="U$D",$I158,IFERROR($I158/VLOOKUP($B158*100+$C158,CONFIG!$I$5:$J$60,2,FALSE),"sin cotiz")))</f>
        <v/>
      </c>
      <c r="K158" s="6" t="n"/>
      <c r="L158" s="6" t="n"/>
      <c r="M158" s="6" t="n"/>
    </row>
    <row r="159">
      <c r="A159" s="10" t="n"/>
      <c r="B159" s="11">
        <f>IF($A159="","",YEAR($A159))</f>
        <v/>
      </c>
      <c r="C159" s="11">
        <f>IF($A159="","",MONTH($A159))</f>
        <v/>
      </c>
      <c r="D159" s="6" t="n"/>
      <c r="E159" s="6" t="n"/>
      <c r="F159" s="6" t="n"/>
      <c r="G159" s="6" t="n"/>
      <c r="H159" s="6" t="n"/>
      <c r="I159" s="8" t="n"/>
      <c r="J159" s="12">
        <f>IF($I159="","",IF($H159="U$D",$I159,IFERROR($I159/VLOOKUP($B159*100+$C159,CONFIG!$I$5:$J$60,2,FALSE),"sin cotiz")))</f>
        <v/>
      </c>
      <c r="K159" s="6" t="n"/>
      <c r="L159" s="6" t="n"/>
      <c r="M159" s="6" t="n"/>
    </row>
    <row r="160">
      <c r="A160" s="10" t="n"/>
      <c r="B160" s="11">
        <f>IF($A160="","",YEAR($A160))</f>
        <v/>
      </c>
      <c r="C160" s="11">
        <f>IF($A160="","",MONTH($A160))</f>
        <v/>
      </c>
      <c r="D160" s="6" t="n"/>
      <c r="E160" s="6" t="n"/>
      <c r="F160" s="6" t="n"/>
      <c r="G160" s="6" t="n"/>
      <c r="H160" s="6" t="n"/>
      <c r="I160" s="8" t="n"/>
      <c r="J160" s="12">
        <f>IF($I160="","",IF($H160="U$D",$I160,IFERROR($I160/VLOOKUP($B160*100+$C160,CONFIG!$I$5:$J$60,2,FALSE),"sin cotiz")))</f>
        <v/>
      </c>
      <c r="K160" s="6" t="n"/>
      <c r="L160" s="6" t="n"/>
      <c r="M160" s="6" t="n"/>
    </row>
    <row r="161">
      <c r="A161" s="10" t="n"/>
      <c r="B161" s="11">
        <f>IF($A161="","",YEAR($A161))</f>
        <v/>
      </c>
      <c r="C161" s="11">
        <f>IF($A161="","",MONTH($A161))</f>
        <v/>
      </c>
      <c r="D161" s="6" t="n"/>
      <c r="E161" s="6" t="n"/>
      <c r="F161" s="6" t="n"/>
      <c r="G161" s="6" t="n"/>
      <c r="H161" s="6" t="n"/>
      <c r="I161" s="8" t="n"/>
      <c r="J161" s="12">
        <f>IF($I161="","",IF($H161="U$D",$I161,IFERROR($I161/VLOOKUP($B161*100+$C161,CONFIG!$I$5:$J$60,2,FALSE),"sin cotiz")))</f>
        <v/>
      </c>
      <c r="K161" s="6" t="n"/>
      <c r="L161" s="6" t="n"/>
      <c r="M161" s="6" t="n"/>
    </row>
    <row r="162">
      <c r="A162" s="10" t="n"/>
      <c r="B162" s="11">
        <f>IF($A162="","",YEAR($A162))</f>
        <v/>
      </c>
      <c r="C162" s="11">
        <f>IF($A162="","",MONTH($A162))</f>
        <v/>
      </c>
      <c r="D162" s="6" t="n"/>
      <c r="E162" s="6" t="n"/>
      <c r="F162" s="6" t="n"/>
      <c r="G162" s="6" t="n"/>
      <c r="H162" s="6" t="n"/>
      <c r="I162" s="8" t="n"/>
      <c r="J162" s="12">
        <f>IF($I162="","",IF($H162="U$D",$I162,IFERROR($I162/VLOOKUP($B162*100+$C162,CONFIG!$I$5:$J$60,2,FALSE),"sin cotiz")))</f>
        <v/>
      </c>
      <c r="K162" s="6" t="n"/>
      <c r="L162" s="6" t="n"/>
      <c r="M162" s="6" t="n"/>
    </row>
    <row r="163">
      <c r="A163" s="10" t="n"/>
      <c r="B163" s="11">
        <f>IF($A163="","",YEAR($A163))</f>
        <v/>
      </c>
      <c r="C163" s="11">
        <f>IF($A163="","",MONTH($A163))</f>
        <v/>
      </c>
      <c r="D163" s="6" t="n"/>
      <c r="E163" s="6" t="n"/>
      <c r="F163" s="6" t="n"/>
      <c r="G163" s="6" t="n"/>
      <c r="H163" s="6" t="n"/>
      <c r="I163" s="8" t="n"/>
      <c r="J163" s="12">
        <f>IF($I163="","",IF($H163="U$D",$I163,IFERROR($I163/VLOOKUP($B163*100+$C163,CONFIG!$I$5:$J$60,2,FALSE),"sin cotiz")))</f>
        <v/>
      </c>
      <c r="K163" s="6" t="n"/>
      <c r="L163" s="6" t="n"/>
      <c r="M163" s="6" t="n"/>
    </row>
    <row r="164">
      <c r="A164" s="10" t="n"/>
      <c r="B164" s="11">
        <f>IF($A164="","",YEAR($A164))</f>
        <v/>
      </c>
      <c r="C164" s="11">
        <f>IF($A164="","",MONTH($A164))</f>
        <v/>
      </c>
      <c r="D164" s="6" t="n"/>
      <c r="E164" s="6" t="n"/>
      <c r="F164" s="6" t="n"/>
      <c r="G164" s="6" t="n"/>
      <c r="H164" s="6" t="n"/>
      <c r="I164" s="8" t="n"/>
      <c r="J164" s="12">
        <f>IF($I164="","",IF($H164="U$D",$I164,IFERROR($I164/VLOOKUP($B164*100+$C164,CONFIG!$I$5:$J$60,2,FALSE),"sin cotiz")))</f>
        <v/>
      </c>
      <c r="K164" s="6" t="n"/>
      <c r="L164" s="6" t="n"/>
      <c r="M164" s="6" t="n"/>
    </row>
    <row r="165">
      <c r="A165" s="10" t="n"/>
      <c r="B165" s="11">
        <f>IF($A165="","",YEAR($A165))</f>
        <v/>
      </c>
      <c r="C165" s="11">
        <f>IF($A165="","",MONTH($A165))</f>
        <v/>
      </c>
      <c r="D165" s="6" t="n"/>
      <c r="E165" s="6" t="n"/>
      <c r="F165" s="6" t="n"/>
      <c r="G165" s="6" t="n"/>
      <c r="H165" s="6" t="n"/>
      <c r="I165" s="8" t="n"/>
      <c r="J165" s="12">
        <f>IF($I165="","",IF($H165="U$D",$I165,IFERROR($I165/VLOOKUP($B165*100+$C165,CONFIG!$I$5:$J$60,2,FALSE),"sin cotiz")))</f>
        <v/>
      </c>
      <c r="K165" s="6" t="n"/>
      <c r="L165" s="6" t="n"/>
      <c r="M165" s="6" t="n"/>
    </row>
    <row r="166">
      <c r="A166" s="10" t="n"/>
      <c r="B166" s="11">
        <f>IF($A166="","",YEAR($A166))</f>
        <v/>
      </c>
      <c r="C166" s="11">
        <f>IF($A166="","",MONTH($A166))</f>
        <v/>
      </c>
      <c r="D166" s="6" t="n"/>
      <c r="E166" s="6" t="n"/>
      <c r="F166" s="6" t="n"/>
      <c r="G166" s="6" t="n"/>
      <c r="H166" s="6" t="n"/>
      <c r="I166" s="8" t="n"/>
      <c r="J166" s="12">
        <f>IF($I166="","",IF($H166="U$D",$I166,IFERROR($I166/VLOOKUP($B166*100+$C166,CONFIG!$I$5:$J$60,2,FALSE),"sin cotiz")))</f>
        <v/>
      </c>
      <c r="K166" s="6" t="n"/>
      <c r="L166" s="6" t="n"/>
      <c r="M166" s="6" t="n"/>
    </row>
    <row r="167">
      <c r="A167" s="10" t="n"/>
      <c r="B167" s="11">
        <f>IF($A167="","",YEAR($A167))</f>
        <v/>
      </c>
      <c r="C167" s="11">
        <f>IF($A167="","",MONTH($A167))</f>
        <v/>
      </c>
      <c r="D167" s="6" t="n"/>
      <c r="E167" s="6" t="n"/>
      <c r="F167" s="6" t="n"/>
      <c r="G167" s="6" t="n"/>
      <c r="H167" s="6" t="n"/>
      <c r="I167" s="8" t="n"/>
      <c r="J167" s="12">
        <f>IF($I167="","",IF($H167="U$D",$I167,IFERROR($I167/VLOOKUP($B167*100+$C167,CONFIG!$I$5:$J$60,2,FALSE),"sin cotiz")))</f>
        <v/>
      </c>
      <c r="K167" s="6" t="n"/>
      <c r="L167" s="6" t="n"/>
      <c r="M167" s="6" t="n"/>
    </row>
    <row r="168">
      <c r="A168" s="10" t="n"/>
      <c r="B168" s="11">
        <f>IF($A168="","",YEAR($A168))</f>
        <v/>
      </c>
      <c r="C168" s="11">
        <f>IF($A168="","",MONTH($A168))</f>
        <v/>
      </c>
      <c r="D168" s="6" t="n"/>
      <c r="E168" s="6" t="n"/>
      <c r="F168" s="6" t="n"/>
      <c r="G168" s="6" t="n"/>
      <c r="H168" s="6" t="n"/>
      <c r="I168" s="8" t="n"/>
      <c r="J168" s="12">
        <f>IF($I168="","",IF($H168="U$D",$I168,IFERROR($I168/VLOOKUP($B168*100+$C168,CONFIG!$I$5:$J$60,2,FALSE),"sin cotiz")))</f>
        <v/>
      </c>
      <c r="K168" s="6" t="n"/>
      <c r="L168" s="6" t="n"/>
      <c r="M168" s="6" t="n"/>
    </row>
    <row r="169">
      <c r="A169" s="10" t="n"/>
      <c r="B169" s="11">
        <f>IF($A169="","",YEAR($A169))</f>
        <v/>
      </c>
      <c r="C169" s="11">
        <f>IF($A169="","",MONTH($A169))</f>
        <v/>
      </c>
      <c r="D169" s="6" t="n"/>
      <c r="E169" s="6" t="n"/>
      <c r="F169" s="6" t="n"/>
      <c r="G169" s="6" t="n"/>
      <c r="H169" s="6" t="n"/>
      <c r="I169" s="8" t="n"/>
      <c r="J169" s="12">
        <f>IF($I169="","",IF($H169="U$D",$I169,IFERROR($I169/VLOOKUP($B169*100+$C169,CONFIG!$I$5:$J$60,2,FALSE),"sin cotiz")))</f>
        <v/>
      </c>
      <c r="K169" s="6" t="n"/>
      <c r="L169" s="6" t="n"/>
      <c r="M169" s="6" t="n"/>
    </row>
    <row r="170">
      <c r="A170" s="10" t="n"/>
      <c r="B170" s="11">
        <f>IF($A170="","",YEAR($A170))</f>
        <v/>
      </c>
      <c r="C170" s="11">
        <f>IF($A170="","",MONTH($A170))</f>
        <v/>
      </c>
      <c r="D170" s="6" t="n"/>
      <c r="E170" s="6" t="n"/>
      <c r="F170" s="6" t="n"/>
      <c r="G170" s="6" t="n"/>
      <c r="H170" s="6" t="n"/>
      <c r="I170" s="8" t="n"/>
      <c r="J170" s="12">
        <f>IF($I170="","",IF($H170="U$D",$I170,IFERROR($I170/VLOOKUP($B170*100+$C170,CONFIG!$I$5:$J$60,2,FALSE),"sin cotiz")))</f>
        <v/>
      </c>
      <c r="K170" s="6" t="n"/>
      <c r="L170" s="6" t="n"/>
      <c r="M170" s="6" t="n"/>
    </row>
    <row r="171">
      <c r="A171" s="10" t="n"/>
      <c r="B171" s="11">
        <f>IF($A171="","",YEAR($A171))</f>
        <v/>
      </c>
      <c r="C171" s="11">
        <f>IF($A171="","",MONTH($A171))</f>
        <v/>
      </c>
      <c r="D171" s="6" t="n"/>
      <c r="E171" s="6" t="n"/>
      <c r="F171" s="6" t="n"/>
      <c r="G171" s="6" t="n"/>
      <c r="H171" s="6" t="n"/>
      <c r="I171" s="8" t="n"/>
      <c r="J171" s="12">
        <f>IF($I171="","",IF($H171="U$D",$I171,IFERROR($I171/VLOOKUP($B171*100+$C171,CONFIG!$I$5:$J$60,2,FALSE),"sin cotiz")))</f>
        <v/>
      </c>
      <c r="K171" s="6" t="n"/>
      <c r="L171" s="6" t="n"/>
      <c r="M171" s="6" t="n"/>
    </row>
    <row r="172">
      <c r="A172" s="10" t="n"/>
      <c r="B172" s="11">
        <f>IF($A172="","",YEAR($A172))</f>
        <v/>
      </c>
      <c r="C172" s="11">
        <f>IF($A172="","",MONTH($A172))</f>
        <v/>
      </c>
      <c r="D172" s="6" t="n"/>
      <c r="E172" s="6" t="n"/>
      <c r="F172" s="6" t="n"/>
      <c r="G172" s="6" t="n"/>
      <c r="H172" s="6" t="n"/>
      <c r="I172" s="8" t="n"/>
      <c r="J172" s="12">
        <f>IF($I172="","",IF($H172="U$D",$I172,IFERROR($I172/VLOOKUP($B172*100+$C172,CONFIG!$I$5:$J$60,2,FALSE),"sin cotiz")))</f>
        <v/>
      </c>
      <c r="K172" s="6" t="n"/>
      <c r="L172" s="6" t="n"/>
      <c r="M172" s="6" t="n"/>
    </row>
    <row r="173">
      <c r="A173" s="10" t="n"/>
      <c r="B173" s="11">
        <f>IF($A173="","",YEAR($A173))</f>
        <v/>
      </c>
      <c r="C173" s="11">
        <f>IF($A173="","",MONTH($A173))</f>
        <v/>
      </c>
      <c r="D173" s="6" t="n"/>
      <c r="E173" s="6" t="n"/>
      <c r="F173" s="6" t="n"/>
      <c r="G173" s="6" t="n"/>
      <c r="H173" s="6" t="n"/>
      <c r="I173" s="8" t="n"/>
      <c r="J173" s="12">
        <f>IF($I173="","",IF($H173="U$D",$I173,IFERROR($I173/VLOOKUP($B173*100+$C173,CONFIG!$I$5:$J$60,2,FALSE),"sin cotiz")))</f>
        <v/>
      </c>
      <c r="K173" s="6" t="n"/>
      <c r="L173" s="6" t="n"/>
      <c r="M173" s="6" t="n"/>
    </row>
    <row r="174">
      <c r="A174" s="10" t="n"/>
      <c r="B174" s="11">
        <f>IF($A174="","",YEAR($A174))</f>
        <v/>
      </c>
      <c r="C174" s="11">
        <f>IF($A174="","",MONTH($A174))</f>
        <v/>
      </c>
      <c r="D174" s="6" t="n"/>
      <c r="E174" s="6" t="n"/>
      <c r="F174" s="6" t="n"/>
      <c r="G174" s="6" t="n"/>
      <c r="H174" s="6" t="n"/>
      <c r="I174" s="8" t="n"/>
      <c r="J174" s="12">
        <f>IF($I174="","",IF($H174="U$D",$I174,IFERROR($I174/VLOOKUP($B174*100+$C174,CONFIG!$I$5:$J$60,2,FALSE),"sin cotiz")))</f>
        <v/>
      </c>
      <c r="K174" s="6" t="n"/>
      <c r="L174" s="6" t="n"/>
      <c r="M174" s="6" t="n"/>
    </row>
    <row r="175">
      <c r="A175" s="10" t="n"/>
      <c r="B175" s="11">
        <f>IF($A175="","",YEAR($A175))</f>
        <v/>
      </c>
      <c r="C175" s="11">
        <f>IF($A175="","",MONTH($A175))</f>
        <v/>
      </c>
      <c r="D175" s="6" t="n"/>
      <c r="E175" s="6" t="n"/>
      <c r="F175" s="6" t="n"/>
      <c r="G175" s="6" t="n"/>
      <c r="H175" s="6" t="n"/>
      <c r="I175" s="8" t="n"/>
      <c r="J175" s="12">
        <f>IF($I175="","",IF($H175="U$D",$I175,IFERROR($I175/VLOOKUP($B175*100+$C175,CONFIG!$I$5:$J$60,2,FALSE),"sin cotiz")))</f>
        <v/>
      </c>
      <c r="K175" s="6" t="n"/>
      <c r="L175" s="6" t="n"/>
      <c r="M175" s="6" t="n"/>
    </row>
    <row r="176">
      <c r="A176" s="10" t="n"/>
      <c r="B176" s="11">
        <f>IF($A176="","",YEAR($A176))</f>
        <v/>
      </c>
      <c r="C176" s="11">
        <f>IF($A176="","",MONTH($A176))</f>
        <v/>
      </c>
      <c r="D176" s="6" t="n"/>
      <c r="E176" s="6" t="n"/>
      <c r="F176" s="6" t="n"/>
      <c r="G176" s="6" t="n"/>
      <c r="H176" s="6" t="n"/>
      <c r="I176" s="8" t="n"/>
      <c r="J176" s="12">
        <f>IF($I176="","",IF($H176="U$D",$I176,IFERROR($I176/VLOOKUP($B176*100+$C176,CONFIG!$I$5:$J$60,2,FALSE),"sin cotiz")))</f>
        <v/>
      </c>
      <c r="K176" s="6" t="n"/>
      <c r="L176" s="6" t="n"/>
      <c r="M176" s="6" t="n"/>
    </row>
    <row r="177">
      <c r="A177" s="10" t="n"/>
      <c r="B177" s="11">
        <f>IF($A177="","",YEAR($A177))</f>
        <v/>
      </c>
      <c r="C177" s="11">
        <f>IF($A177="","",MONTH($A177))</f>
        <v/>
      </c>
      <c r="D177" s="6" t="n"/>
      <c r="E177" s="6" t="n"/>
      <c r="F177" s="6" t="n"/>
      <c r="G177" s="6" t="n"/>
      <c r="H177" s="6" t="n"/>
      <c r="I177" s="8" t="n"/>
      <c r="J177" s="12">
        <f>IF($I177="","",IF($H177="U$D",$I177,IFERROR($I177/VLOOKUP($B177*100+$C177,CONFIG!$I$5:$J$60,2,FALSE),"sin cotiz")))</f>
        <v/>
      </c>
      <c r="K177" s="6" t="n"/>
      <c r="L177" s="6" t="n"/>
      <c r="M177" s="6" t="n"/>
    </row>
    <row r="178">
      <c r="A178" s="10" t="n"/>
      <c r="B178" s="11">
        <f>IF($A178="","",YEAR($A178))</f>
        <v/>
      </c>
      <c r="C178" s="11">
        <f>IF($A178="","",MONTH($A178))</f>
        <v/>
      </c>
      <c r="D178" s="6" t="n"/>
      <c r="E178" s="6" t="n"/>
      <c r="F178" s="6" t="n"/>
      <c r="G178" s="6" t="n"/>
      <c r="H178" s="6" t="n"/>
      <c r="I178" s="8" t="n"/>
      <c r="J178" s="12">
        <f>IF($I178="","",IF($H178="U$D",$I178,IFERROR($I178/VLOOKUP($B178*100+$C178,CONFIG!$I$5:$J$60,2,FALSE),"sin cotiz")))</f>
        <v/>
      </c>
      <c r="K178" s="6" t="n"/>
      <c r="L178" s="6" t="n"/>
      <c r="M178" s="6" t="n"/>
    </row>
    <row r="179">
      <c r="A179" s="10" t="n"/>
      <c r="B179" s="11">
        <f>IF($A179="","",YEAR($A179))</f>
        <v/>
      </c>
      <c r="C179" s="11">
        <f>IF($A179="","",MONTH($A179))</f>
        <v/>
      </c>
      <c r="D179" s="6" t="n"/>
      <c r="E179" s="6" t="n"/>
      <c r="F179" s="6" t="n"/>
      <c r="G179" s="6" t="n"/>
      <c r="H179" s="6" t="n"/>
      <c r="I179" s="8" t="n"/>
      <c r="J179" s="12">
        <f>IF($I179="","",IF($H179="U$D",$I179,IFERROR($I179/VLOOKUP($B179*100+$C179,CONFIG!$I$5:$J$60,2,FALSE),"sin cotiz")))</f>
        <v/>
      </c>
      <c r="K179" s="6" t="n"/>
      <c r="L179" s="6" t="n"/>
      <c r="M179" s="6" t="n"/>
    </row>
    <row r="180">
      <c r="A180" s="10" t="n"/>
      <c r="B180" s="11">
        <f>IF($A180="","",YEAR($A180))</f>
        <v/>
      </c>
      <c r="C180" s="11">
        <f>IF($A180="","",MONTH($A180))</f>
        <v/>
      </c>
      <c r="D180" s="6" t="n"/>
      <c r="E180" s="6" t="n"/>
      <c r="F180" s="6" t="n"/>
      <c r="G180" s="6" t="n"/>
      <c r="H180" s="6" t="n"/>
      <c r="I180" s="8" t="n"/>
      <c r="J180" s="12">
        <f>IF($I180="","",IF($H180="U$D",$I180,IFERROR($I180/VLOOKUP($B180*100+$C180,CONFIG!$I$5:$J$60,2,FALSE),"sin cotiz")))</f>
        <v/>
      </c>
      <c r="K180" s="6" t="n"/>
      <c r="L180" s="6" t="n"/>
      <c r="M180" s="6" t="n"/>
    </row>
    <row r="181">
      <c r="A181" s="10" t="n"/>
      <c r="B181" s="11">
        <f>IF($A181="","",YEAR($A181))</f>
        <v/>
      </c>
      <c r="C181" s="11">
        <f>IF($A181="","",MONTH($A181))</f>
        <v/>
      </c>
      <c r="D181" s="6" t="n"/>
      <c r="E181" s="6" t="n"/>
      <c r="F181" s="6" t="n"/>
      <c r="G181" s="6" t="n"/>
      <c r="H181" s="6" t="n"/>
      <c r="I181" s="8" t="n"/>
      <c r="J181" s="12">
        <f>IF($I181="","",IF($H181="U$D",$I181,IFERROR($I181/VLOOKUP($B181*100+$C181,CONFIG!$I$5:$J$60,2,FALSE),"sin cotiz")))</f>
        <v/>
      </c>
      <c r="K181" s="6" t="n"/>
      <c r="L181" s="6" t="n"/>
      <c r="M181" s="6" t="n"/>
    </row>
    <row r="182">
      <c r="A182" s="10" t="n"/>
      <c r="B182" s="11">
        <f>IF($A182="","",YEAR($A182))</f>
        <v/>
      </c>
      <c r="C182" s="11">
        <f>IF($A182="","",MONTH($A182))</f>
        <v/>
      </c>
      <c r="D182" s="6" t="n"/>
      <c r="E182" s="6" t="n"/>
      <c r="F182" s="6" t="n"/>
      <c r="G182" s="6" t="n"/>
      <c r="H182" s="6" t="n"/>
      <c r="I182" s="8" t="n"/>
      <c r="J182" s="12">
        <f>IF($I182="","",IF($H182="U$D",$I182,IFERROR($I182/VLOOKUP($B182*100+$C182,CONFIG!$I$5:$J$60,2,FALSE),"sin cotiz")))</f>
        <v/>
      </c>
      <c r="K182" s="6" t="n"/>
      <c r="L182" s="6" t="n"/>
      <c r="M182" s="6" t="n"/>
    </row>
    <row r="183">
      <c r="A183" s="10" t="n"/>
      <c r="B183" s="11">
        <f>IF($A183="","",YEAR($A183))</f>
        <v/>
      </c>
      <c r="C183" s="11">
        <f>IF($A183="","",MONTH($A183))</f>
        <v/>
      </c>
      <c r="D183" s="6" t="n"/>
      <c r="E183" s="6" t="n"/>
      <c r="F183" s="6" t="n"/>
      <c r="G183" s="6" t="n"/>
      <c r="H183" s="6" t="n"/>
      <c r="I183" s="8" t="n"/>
      <c r="J183" s="12">
        <f>IF($I183="","",IF($H183="U$D",$I183,IFERROR($I183/VLOOKUP($B183*100+$C183,CONFIG!$I$5:$J$60,2,FALSE),"sin cotiz")))</f>
        <v/>
      </c>
      <c r="K183" s="6" t="n"/>
      <c r="L183" s="6" t="n"/>
      <c r="M183" s="6" t="n"/>
    </row>
    <row r="184">
      <c r="A184" s="10" t="n"/>
      <c r="B184" s="11">
        <f>IF($A184="","",YEAR($A184))</f>
        <v/>
      </c>
      <c r="C184" s="11">
        <f>IF($A184="","",MONTH($A184))</f>
        <v/>
      </c>
      <c r="D184" s="6" t="n"/>
      <c r="E184" s="6" t="n"/>
      <c r="F184" s="6" t="n"/>
      <c r="G184" s="6" t="n"/>
      <c r="H184" s="6" t="n"/>
      <c r="I184" s="8" t="n"/>
      <c r="J184" s="12">
        <f>IF($I184="","",IF($H184="U$D",$I184,IFERROR($I184/VLOOKUP($B184*100+$C184,CONFIG!$I$5:$J$60,2,FALSE),"sin cotiz")))</f>
        <v/>
      </c>
      <c r="K184" s="6" t="n"/>
      <c r="L184" s="6" t="n"/>
      <c r="M184" s="6" t="n"/>
    </row>
    <row r="185">
      <c r="A185" s="10" t="n"/>
      <c r="B185" s="11">
        <f>IF($A185="","",YEAR($A185))</f>
        <v/>
      </c>
      <c r="C185" s="11">
        <f>IF($A185="","",MONTH($A185))</f>
        <v/>
      </c>
      <c r="D185" s="6" t="n"/>
      <c r="E185" s="6" t="n"/>
      <c r="F185" s="6" t="n"/>
      <c r="G185" s="6" t="n"/>
      <c r="H185" s="6" t="n"/>
      <c r="I185" s="8" t="n"/>
      <c r="J185" s="12">
        <f>IF($I185="","",IF($H185="U$D",$I185,IFERROR($I185/VLOOKUP($B185*100+$C185,CONFIG!$I$5:$J$60,2,FALSE),"sin cotiz")))</f>
        <v/>
      </c>
      <c r="K185" s="6" t="n"/>
      <c r="L185" s="6" t="n"/>
      <c r="M185" s="6" t="n"/>
    </row>
    <row r="186">
      <c r="A186" s="10" t="n"/>
      <c r="B186" s="11">
        <f>IF($A186="","",YEAR($A186))</f>
        <v/>
      </c>
      <c r="C186" s="11">
        <f>IF($A186="","",MONTH($A186))</f>
        <v/>
      </c>
      <c r="D186" s="6" t="n"/>
      <c r="E186" s="6" t="n"/>
      <c r="F186" s="6" t="n"/>
      <c r="G186" s="6" t="n"/>
      <c r="H186" s="6" t="n"/>
      <c r="I186" s="8" t="n"/>
      <c r="J186" s="12">
        <f>IF($I186="","",IF($H186="U$D",$I186,IFERROR($I186/VLOOKUP($B186*100+$C186,CONFIG!$I$5:$J$60,2,FALSE),"sin cotiz")))</f>
        <v/>
      </c>
      <c r="K186" s="6" t="n"/>
      <c r="L186" s="6" t="n"/>
      <c r="M186" s="6" t="n"/>
    </row>
    <row r="187">
      <c r="A187" s="10" t="n"/>
      <c r="B187" s="11">
        <f>IF($A187="","",YEAR($A187))</f>
        <v/>
      </c>
      <c r="C187" s="11">
        <f>IF($A187="","",MONTH($A187))</f>
        <v/>
      </c>
      <c r="D187" s="6" t="n"/>
      <c r="E187" s="6" t="n"/>
      <c r="F187" s="6" t="n"/>
      <c r="G187" s="6" t="n"/>
      <c r="H187" s="6" t="n"/>
      <c r="I187" s="8" t="n"/>
      <c r="J187" s="12">
        <f>IF($I187="","",IF($H187="U$D",$I187,IFERROR($I187/VLOOKUP($B187*100+$C187,CONFIG!$I$5:$J$60,2,FALSE),"sin cotiz")))</f>
        <v/>
      </c>
      <c r="K187" s="6" t="n"/>
      <c r="L187" s="6" t="n"/>
      <c r="M187" s="6" t="n"/>
    </row>
    <row r="188">
      <c r="A188" s="10" t="n"/>
      <c r="B188" s="11">
        <f>IF($A188="","",YEAR($A188))</f>
        <v/>
      </c>
      <c r="C188" s="11">
        <f>IF($A188="","",MONTH($A188))</f>
        <v/>
      </c>
      <c r="D188" s="6" t="n"/>
      <c r="E188" s="6" t="n"/>
      <c r="F188" s="6" t="n"/>
      <c r="G188" s="6" t="n"/>
      <c r="H188" s="6" t="n"/>
      <c r="I188" s="8" t="n"/>
      <c r="J188" s="12">
        <f>IF($I188="","",IF($H188="U$D",$I188,IFERROR($I188/VLOOKUP($B188*100+$C188,CONFIG!$I$5:$J$60,2,FALSE),"sin cotiz")))</f>
        <v/>
      </c>
      <c r="K188" s="6" t="n"/>
      <c r="L188" s="6" t="n"/>
      <c r="M188" s="6" t="n"/>
    </row>
    <row r="189">
      <c r="A189" s="10" t="n"/>
      <c r="B189" s="11">
        <f>IF($A189="","",YEAR($A189))</f>
        <v/>
      </c>
      <c r="C189" s="11">
        <f>IF($A189="","",MONTH($A189))</f>
        <v/>
      </c>
      <c r="D189" s="6" t="n"/>
      <c r="E189" s="6" t="n"/>
      <c r="F189" s="6" t="n"/>
      <c r="G189" s="6" t="n"/>
      <c r="H189" s="6" t="n"/>
      <c r="I189" s="8" t="n"/>
      <c r="J189" s="12">
        <f>IF($I189="","",IF($H189="U$D",$I189,IFERROR($I189/VLOOKUP($B189*100+$C189,CONFIG!$I$5:$J$60,2,FALSE),"sin cotiz")))</f>
        <v/>
      </c>
      <c r="K189" s="6" t="n"/>
      <c r="L189" s="6" t="n"/>
      <c r="M189" s="6" t="n"/>
    </row>
    <row r="190">
      <c r="A190" s="10" t="n"/>
      <c r="B190" s="11">
        <f>IF($A190="","",YEAR($A190))</f>
        <v/>
      </c>
      <c r="C190" s="11">
        <f>IF($A190="","",MONTH($A190))</f>
        <v/>
      </c>
      <c r="D190" s="6" t="n"/>
      <c r="E190" s="6" t="n"/>
      <c r="F190" s="6" t="n"/>
      <c r="G190" s="6" t="n"/>
      <c r="H190" s="6" t="n"/>
      <c r="I190" s="8" t="n"/>
      <c r="J190" s="12">
        <f>IF($I190="","",IF($H190="U$D",$I190,IFERROR($I190/VLOOKUP($B190*100+$C190,CONFIG!$I$5:$J$60,2,FALSE),"sin cotiz")))</f>
        <v/>
      </c>
      <c r="K190" s="6" t="n"/>
      <c r="L190" s="6" t="n"/>
      <c r="M190" s="6" t="n"/>
    </row>
    <row r="191">
      <c r="A191" s="10" t="n"/>
      <c r="B191" s="11">
        <f>IF($A191="","",YEAR($A191))</f>
        <v/>
      </c>
      <c r="C191" s="11">
        <f>IF($A191="","",MONTH($A191))</f>
        <v/>
      </c>
      <c r="D191" s="6" t="n"/>
      <c r="E191" s="6" t="n"/>
      <c r="F191" s="6" t="n"/>
      <c r="G191" s="6" t="n"/>
      <c r="H191" s="6" t="n"/>
      <c r="I191" s="8" t="n"/>
      <c r="J191" s="12">
        <f>IF($I191="","",IF($H191="U$D",$I191,IFERROR($I191/VLOOKUP($B191*100+$C191,CONFIG!$I$5:$J$60,2,FALSE),"sin cotiz")))</f>
        <v/>
      </c>
      <c r="K191" s="6" t="n"/>
      <c r="L191" s="6" t="n"/>
      <c r="M191" s="6" t="n"/>
    </row>
    <row r="192">
      <c r="A192" s="10" t="n"/>
      <c r="B192" s="11">
        <f>IF($A192="","",YEAR($A192))</f>
        <v/>
      </c>
      <c r="C192" s="11">
        <f>IF($A192="","",MONTH($A192))</f>
        <v/>
      </c>
      <c r="D192" s="6" t="n"/>
      <c r="E192" s="6" t="n"/>
      <c r="F192" s="6" t="n"/>
      <c r="G192" s="6" t="n"/>
      <c r="H192" s="6" t="n"/>
      <c r="I192" s="8" t="n"/>
      <c r="J192" s="12">
        <f>IF($I192="","",IF($H192="U$D",$I192,IFERROR($I192/VLOOKUP($B192*100+$C192,CONFIG!$I$5:$J$60,2,FALSE),"sin cotiz")))</f>
        <v/>
      </c>
      <c r="K192" s="6" t="n"/>
      <c r="L192" s="6" t="n"/>
      <c r="M192" s="6" t="n"/>
    </row>
    <row r="193">
      <c r="A193" s="10" t="n"/>
      <c r="B193" s="11">
        <f>IF($A193="","",YEAR($A193))</f>
        <v/>
      </c>
      <c r="C193" s="11">
        <f>IF($A193="","",MONTH($A193))</f>
        <v/>
      </c>
      <c r="D193" s="6" t="n"/>
      <c r="E193" s="6" t="n"/>
      <c r="F193" s="6" t="n"/>
      <c r="G193" s="6" t="n"/>
      <c r="H193" s="6" t="n"/>
      <c r="I193" s="8" t="n"/>
      <c r="J193" s="12">
        <f>IF($I193="","",IF($H193="U$D",$I193,IFERROR($I193/VLOOKUP($B193*100+$C193,CONFIG!$I$5:$J$60,2,FALSE),"sin cotiz")))</f>
        <v/>
      </c>
      <c r="K193" s="6" t="n"/>
      <c r="L193" s="6" t="n"/>
      <c r="M193" s="6" t="n"/>
    </row>
    <row r="194">
      <c r="A194" s="10" t="n"/>
      <c r="B194" s="11">
        <f>IF($A194="","",YEAR($A194))</f>
        <v/>
      </c>
      <c r="C194" s="11">
        <f>IF($A194="","",MONTH($A194))</f>
        <v/>
      </c>
      <c r="D194" s="6" t="n"/>
      <c r="E194" s="6" t="n"/>
      <c r="F194" s="6" t="n"/>
      <c r="G194" s="6" t="n"/>
      <c r="H194" s="6" t="n"/>
      <c r="I194" s="8" t="n"/>
      <c r="J194" s="12">
        <f>IF($I194="","",IF($H194="U$D",$I194,IFERROR($I194/VLOOKUP($B194*100+$C194,CONFIG!$I$5:$J$60,2,FALSE),"sin cotiz")))</f>
        <v/>
      </c>
      <c r="K194" s="6" t="n"/>
      <c r="L194" s="6" t="n"/>
      <c r="M194" s="6" t="n"/>
    </row>
    <row r="195">
      <c r="A195" s="10" t="n"/>
      <c r="B195" s="11">
        <f>IF($A195="","",YEAR($A195))</f>
        <v/>
      </c>
      <c r="C195" s="11">
        <f>IF($A195="","",MONTH($A195))</f>
        <v/>
      </c>
      <c r="D195" s="6" t="n"/>
      <c r="E195" s="6" t="n"/>
      <c r="F195" s="6" t="n"/>
      <c r="G195" s="6" t="n"/>
      <c r="H195" s="6" t="n"/>
      <c r="I195" s="8" t="n"/>
      <c r="J195" s="12">
        <f>IF($I195="","",IF($H195="U$D",$I195,IFERROR($I195/VLOOKUP($B195*100+$C195,CONFIG!$I$5:$J$60,2,FALSE),"sin cotiz")))</f>
        <v/>
      </c>
      <c r="K195" s="6" t="n"/>
      <c r="L195" s="6" t="n"/>
      <c r="M195" s="6" t="n"/>
    </row>
    <row r="196">
      <c r="A196" s="10" t="n"/>
      <c r="B196" s="11">
        <f>IF($A196="","",YEAR($A196))</f>
        <v/>
      </c>
      <c r="C196" s="11">
        <f>IF($A196="","",MONTH($A196))</f>
        <v/>
      </c>
      <c r="D196" s="6" t="n"/>
      <c r="E196" s="6" t="n"/>
      <c r="F196" s="6" t="n"/>
      <c r="G196" s="6" t="n"/>
      <c r="H196" s="6" t="n"/>
      <c r="I196" s="8" t="n"/>
      <c r="J196" s="12">
        <f>IF($I196="","",IF($H196="U$D",$I196,IFERROR($I196/VLOOKUP($B196*100+$C196,CONFIG!$I$5:$J$60,2,FALSE),"sin cotiz")))</f>
        <v/>
      </c>
      <c r="K196" s="6" t="n"/>
      <c r="L196" s="6" t="n"/>
      <c r="M196" s="6" t="n"/>
    </row>
    <row r="197">
      <c r="A197" s="10" t="n"/>
      <c r="B197" s="11">
        <f>IF($A197="","",YEAR($A197))</f>
        <v/>
      </c>
      <c r="C197" s="11">
        <f>IF($A197="","",MONTH($A197))</f>
        <v/>
      </c>
      <c r="D197" s="6" t="n"/>
      <c r="E197" s="6" t="n"/>
      <c r="F197" s="6" t="n"/>
      <c r="G197" s="6" t="n"/>
      <c r="H197" s="6" t="n"/>
      <c r="I197" s="8" t="n"/>
      <c r="J197" s="12">
        <f>IF($I197="","",IF($H197="U$D",$I197,IFERROR($I197/VLOOKUP($B197*100+$C197,CONFIG!$I$5:$J$60,2,FALSE),"sin cotiz")))</f>
        <v/>
      </c>
      <c r="K197" s="6" t="n"/>
      <c r="L197" s="6" t="n"/>
      <c r="M197" s="6" t="n"/>
    </row>
    <row r="198">
      <c r="A198" s="10" t="n"/>
      <c r="B198" s="11">
        <f>IF($A198="","",YEAR($A198))</f>
        <v/>
      </c>
      <c r="C198" s="11">
        <f>IF($A198="","",MONTH($A198))</f>
        <v/>
      </c>
      <c r="D198" s="6" t="n"/>
      <c r="E198" s="6" t="n"/>
      <c r="F198" s="6" t="n"/>
      <c r="G198" s="6" t="n"/>
      <c r="H198" s="6" t="n"/>
      <c r="I198" s="8" t="n"/>
      <c r="J198" s="12">
        <f>IF($I198="","",IF($H198="U$D",$I198,IFERROR($I198/VLOOKUP($B198*100+$C198,CONFIG!$I$5:$J$60,2,FALSE),"sin cotiz")))</f>
        <v/>
      </c>
      <c r="K198" s="6" t="n"/>
      <c r="L198" s="6" t="n"/>
      <c r="M198" s="6" t="n"/>
    </row>
    <row r="199">
      <c r="A199" s="10" t="n"/>
      <c r="B199" s="11">
        <f>IF($A199="","",YEAR($A199))</f>
        <v/>
      </c>
      <c r="C199" s="11">
        <f>IF($A199="","",MONTH($A199))</f>
        <v/>
      </c>
      <c r="D199" s="6" t="n"/>
      <c r="E199" s="6" t="n"/>
      <c r="F199" s="6" t="n"/>
      <c r="G199" s="6" t="n"/>
      <c r="H199" s="6" t="n"/>
      <c r="I199" s="8" t="n"/>
      <c r="J199" s="12">
        <f>IF($I199="","",IF($H199="U$D",$I199,IFERROR($I199/VLOOKUP($B199*100+$C199,CONFIG!$I$5:$J$60,2,FALSE),"sin cotiz")))</f>
        <v/>
      </c>
      <c r="K199" s="6" t="n"/>
      <c r="L199" s="6" t="n"/>
      <c r="M199" s="6" t="n"/>
    </row>
    <row r="200">
      <c r="A200" s="10" t="n"/>
      <c r="B200" s="11">
        <f>IF($A200="","",YEAR($A200))</f>
        <v/>
      </c>
      <c r="C200" s="11">
        <f>IF($A200="","",MONTH($A200))</f>
        <v/>
      </c>
      <c r="D200" s="6" t="n"/>
      <c r="E200" s="6" t="n"/>
      <c r="F200" s="6" t="n"/>
      <c r="G200" s="6" t="n"/>
      <c r="H200" s="6" t="n"/>
      <c r="I200" s="8" t="n"/>
      <c r="J200" s="12">
        <f>IF($I200="","",IF($H200="U$D",$I200,IFERROR($I200/VLOOKUP($B200*100+$C200,CONFIG!$I$5:$J$60,2,FALSE),"sin cotiz")))</f>
        <v/>
      </c>
      <c r="K200" s="6" t="n"/>
      <c r="L200" s="6" t="n"/>
      <c r="M200" s="6" t="n"/>
    </row>
    <row r="201">
      <c r="A201" s="10" t="n"/>
      <c r="B201" s="11">
        <f>IF($A201="","",YEAR($A201))</f>
        <v/>
      </c>
      <c r="C201" s="11">
        <f>IF($A201="","",MONTH($A201))</f>
        <v/>
      </c>
      <c r="D201" s="6" t="n"/>
      <c r="E201" s="6" t="n"/>
      <c r="F201" s="6" t="n"/>
      <c r="G201" s="6" t="n"/>
      <c r="H201" s="6" t="n"/>
      <c r="I201" s="8" t="n"/>
      <c r="J201" s="12">
        <f>IF($I201="","",IF($H201="U$D",$I201,IFERROR($I201/VLOOKUP($B201*100+$C201,CONFIG!$I$5:$J$60,2,FALSE),"sin cotiz")))</f>
        <v/>
      </c>
      <c r="K201" s="6" t="n"/>
      <c r="L201" s="6" t="n"/>
      <c r="M201" s="6" t="n"/>
    </row>
    <row r="202">
      <c r="A202" s="10" t="n"/>
      <c r="B202" s="11">
        <f>IF($A202="","",YEAR($A202))</f>
        <v/>
      </c>
      <c r="C202" s="11">
        <f>IF($A202="","",MONTH($A202))</f>
        <v/>
      </c>
      <c r="D202" s="6" t="n"/>
      <c r="E202" s="6" t="n"/>
      <c r="F202" s="6" t="n"/>
      <c r="G202" s="6" t="n"/>
      <c r="H202" s="6" t="n"/>
      <c r="I202" s="8" t="n"/>
      <c r="J202" s="12">
        <f>IF($I202="","",IF($H202="U$D",$I202,IFERROR($I202/VLOOKUP($B202*100+$C202,CONFIG!$I$5:$J$60,2,FALSE),"sin cotiz")))</f>
        <v/>
      </c>
      <c r="K202" s="6" t="n"/>
      <c r="L202" s="6" t="n"/>
      <c r="M202" s="6" t="n"/>
    </row>
    <row r="203">
      <c r="A203" s="10" t="n"/>
      <c r="B203" s="11">
        <f>IF($A203="","",YEAR($A203))</f>
        <v/>
      </c>
      <c r="C203" s="11">
        <f>IF($A203="","",MONTH($A203))</f>
        <v/>
      </c>
      <c r="D203" s="6" t="n"/>
      <c r="E203" s="6" t="n"/>
      <c r="F203" s="6" t="n"/>
      <c r="G203" s="6" t="n"/>
      <c r="H203" s="6" t="n"/>
      <c r="I203" s="8" t="n"/>
      <c r="J203" s="12">
        <f>IF($I203="","",IF($H203="U$D",$I203,IFERROR($I203/VLOOKUP($B203*100+$C203,CONFIG!$I$5:$J$60,2,FALSE),"sin cotiz")))</f>
        <v/>
      </c>
      <c r="K203" s="6" t="n"/>
      <c r="L203" s="6" t="n"/>
      <c r="M203" s="6" t="n"/>
    </row>
    <row r="204">
      <c r="A204" s="10" t="n"/>
      <c r="B204" s="11">
        <f>IF($A204="","",YEAR($A204))</f>
        <v/>
      </c>
      <c r="C204" s="11">
        <f>IF($A204="","",MONTH($A204))</f>
        <v/>
      </c>
      <c r="D204" s="6" t="n"/>
      <c r="E204" s="6" t="n"/>
      <c r="F204" s="6" t="n"/>
      <c r="G204" s="6" t="n"/>
      <c r="H204" s="6" t="n"/>
      <c r="I204" s="8" t="n"/>
      <c r="J204" s="12">
        <f>IF($I204="","",IF($H204="U$D",$I204,IFERROR($I204/VLOOKUP($B204*100+$C204,CONFIG!$I$5:$J$60,2,FALSE),"sin cotiz")))</f>
        <v/>
      </c>
      <c r="K204" s="6" t="n"/>
      <c r="L204" s="6" t="n"/>
      <c r="M204" s="6" t="n"/>
    </row>
    <row r="205">
      <c r="A205" s="10" t="n"/>
      <c r="B205" s="11">
        <f>IF($A205="","",YEAR($A205))</f>
        <v/>
      </c>
      <c r="C205" s="11">
        <f>IF($A205="","",MONTH($A205))</f>
        <v/>
      </c>
      <c r="D205" s="6" t="n"/>
      <c r="E205" s="6" t="n"/>
      <c r="F205" s="6" t="n"/>
      <c r="G205" s="6" t="n"/>
      <c r="H205" s="6" t="n"/>
      <c r="I205" s="8" t="n"/>
      <c r="J205" s="12">
        <f>IF($I205="","",IF($H205="U$D",$I205,IFERROR($I205/VLOOKUP($B205*100+$C205,CONFIG!$I$5:$J$60,2,FALSE),"sin cotiz")))</f>
        <v/>
      </c>
      <c r="K205" s="6" t="n"/>
      <c r="L205" s="6" t="n"/>
      <c r="M205" s="6" t="n"/>
    </row>
    <row r="206">
      <c r="A206" s="10" t="n"/>
      <c r="B206" s="11">
        <f>IF($A206="","",YEAR($A206))</f>
        <v/>
      </c>
      <c r="C206" s="11">
        <f>IF($A206="","",MONTH($A206))</f>
        <v/>
      </c>
      <c r="D206" s="6" t="n"/>
      <c r="E206" s="6" t="n"/>
      <c r="F206" s="6" t="n"/>
      <c r="G206" s="6" t="n"/>
      <c r="H206" s="6" t="n"/>
      <c r="I206" s="8" t="n"/>
      <c r="J206" s="12">
        <f>IF($I206="","",IF($H206="U$D",$I206,IFERROR($I206/VLOOKUP($B206*100+$C206,CONFIG!$I$5:$J$60,2,FALSE),"sin cotiz")))</f>
        <v/>
      </c>
      <c r="K206" s="6" t="n"/>
      <c r="L206" s="6" t="n"/>
      <c r="M206" s="6" t="n"/>
    </row>
    <row r="207">
      <c r="A207" s="10" t="n"/>
      <c r="B207" s="11">
        <f>IF($A207="","",YEAR($A207))</f>
        <v/>
      </c>
      <c r="C207" s="11">
        <f>IF($A207="","",MONTH($A207))</f>
        <v/>
      </c>
      <c r="D207" s="6" t="n"/>
      <c r="E207" s="6" t="n"/>
      <c r="F207" s="6" t="n"/>
      <c r="G207" s="6" t="n"/>
      <c r="H207" s="6" t="n"/>
      <c r="I207" s="8" t="n"/>
      <c r="J207" s="12">
        <f>IF($I207="","",IF($H207="U$D",$I207,IFERROR($I207/VLOOKUP($B207*100+$C207,CONFIG!$I$5:$J$60,2,FALSE),"sin cotiz")))</f>
        <v/>
      </c>
      <c r="K207" s="6" t="n"/>
      <c r="L207" s="6" t="n"/>
      <c r="M207" s="6" t="n"/>
    </row>
    <row r="208">
      <c r="A208" s="10" t="n"/>
      <c r="B208" s="11">
        <f>IF($A208="","",YEAR($A208))</f>
        <v/>
      </c>
      <c r="C208" s="11">
        <f>IF($A208="","",MONTH($A208))</f>
        <v/>
      </c>
      <c r="D208" s="6" t="n"/>
      <c r="E208" s="6" t="n"/>
      <c r="F208" s="6" t="n"/>
      <c r="G208" s="6" t="n"/>
      <c r="H208" s="6" t="n"/>
      <c r="I208" s="8" t="n"/>
      <c r="J208" s="12">
        <f>IF($I208="","",IF($H208="U$D",$I208,IFERROR($I208/VLOOKUP($B208*100+$C208,CONFIG!$I$5:$J$60,2,FALSE),"sin cotiz")))</f>
        <v/>
      </c>
      <c r="K208" s="6" t="n"/>
      <c r="L208" s="6" t="n"/>
      <c r="M208" s="6" t="n"/>
    </row>
    <row r="209">
      <c r="A209" s="10" t="n"/>
      <c r="B209" s="11">
        <f>IF($A209="","",YEAR($A209))</f>
        <v/>
      </c>
      <c r="C209" s="11">
        <f>IF($A209="","",MONTH($A209))</f>
        <v/>
      </c>
      <c r="D209" s="6" t="n"/>
      <c r="E209" s="6" t="n"/>
      <c r="F209" s="6" t="n"/>
      <c r="G209" s="6" t="n"/>
      <c r="H209" s="6" t="n"/>
      <c r="I209" s="8" t="n"/>
      <c r="J209" s="12">
        <f>IF($I209="","",IF($H209="U$D",$I209,IFERROR($I209/VLOOKUP($B209*100+$C209,CONFIG!$I$5:$J$60,2,FALSE),"sin cotiz")))</f>
        <v/>
      </c>
      <c r="K209" s="6" t="n"/>
      <c r="L209" s="6" t="n"/>
      <c r="M209" s="6" t="n"/>
    </row>
    <row r="210">
      <c r="A210" s="10" t="n"/>
      <c r="B210" s="11">
        <f>IF($A210="","",YEAR($A210))</f>
        <v/>
      </c>
      <c r="C210" s="11">
        <f>IF($A210="","",MONTH($A210))</f>
        <v/>
      </c>
      <c r="D210" s="6" t="n"/>
      <c r="E210" s="6" t="n"/>
      <c r="F210" s="6" t="n"/>
      <c r="G210" s="6" t="n"/>
      <c r="H210" s="6" t="n"/>
      <c r="I210" s="8" t="n"/>
      <c r="J210" s="12">
        <f>IF($I210="","",IF($H210="U$D",$I210,IFERROR($I210/VLOOKUP($B210*100+$C210,CONFIG!$I$5:$J$60,2,FALSE),"sin cotiz")))</f>
        <v/>
      </c>
      <c r="K210" s="6" t="n"/>
      <c r="L210" s="6" t="n"/>
      <c r="M210" s="6" t="n"/>
    </row>
    <row r="211">
      <c r="A211" s="10" t="n"/>
      <c r="B211" s="11">
        <f>IF($A211="","",YEAR($A211))</f>
        <v/>
      </c>
      <c r="C211" s="11">
        <f>IF($A211="","",MONTH($A211))</f>
        <v/>
      </c>
      <c r="D211" s="6" t="n"/>
      <c r="E211" s="6" t="n"/>
      <c r="F211" s="6" t="n"/>
      <c r="G211" s="6" t="n"/>
      <c r="H211" s="6" t="n"/>
      <c r="I211" s="8" t="n"/>
      <c r="J211" s="12">
        <f>IF($I211="","",IF($H211="U$D",$I211,IFERROR($I211/VLOOKUP($B211*100+$C211,CONFIG!$I$5:$J$60,2,FALSE),"sin cotiz")))</f>
        <v/>
      </c>
      <c r="K211" s="6" t="n"/>
      <c r="L211" s="6" t="n"/>
      <c r="M211" s="6" t="n"/>
    </row>
    <row r="212">
      <c r="A212" s="10" t="n"/>
      <c r="B212" s="11">
        <f>IF($A212="","",YEAR($A212))</f>
        <v/>
      </c>
      <c r="C212" s="11">
        <f>IF($A212="","",MONTH($A212))</f>
        <v/>
      </c>
      <c r="D212" s="6" t="n"/>
      <c r="E212" s="6" t="n"/>
      <c r="F212" s="6" t="n"/>
      <c r="G212" s="6" t="n"/>
      <c r="H212" s="6" t="n"/>
      <c r="I212" s="8" t="n"/>
      <c r="J212" s="12">
        <f>IF($I212="","",IF($H212="U$D",$I212,IFERROR($I212/VLOOKUP($B212*100+$C212,CONFIG!$I$5:$J$60,2,FALSE),"sin cotiz")))</f>
        <v/>
      </c>
      <c r="K212" s="6" t="n"/>
      <c r="L212" s="6" t="n"/>
      <c r="M212" s="6" t="n"/>
    </row>
    <row r="213">
      <c r="A213" s="10" t="n"/>
      <c r="B213" s="11">
        <f>IF($A213="","",YEAR($A213))</f>
        <v/>
      </c>
      <c r="C213" s="11">
        <f>IF($A213="","",MONTH($A213))</f>
        <v/>
      </c>
      <c r="D213" s="6" t="n"/>
      <c r="E213" s="6" t="n"/>
      <c r="F213" s="6" t="n"/>
      <c r="G213" s="6" t="n"/>
      <c r="H213" s="6" t="n"/>
      <c r="I213" s="8" t="n"/>
      <c r="J213" s="12">
        <f>IF($I213="","",IF($H213="U$D",$I213,IFERROR($I213/VLOOKUP($B213*100+$C213,CONFIG!$I$5:$J$60,2,FALSE),"sin cotiz")))</f>
        <v/>
      </c>
      <c r="K213" s="6" t="n"/>
      <c r="L213" s="6" t="n"/>
      <c r="M213" s="6" t="n"/>
    </row>
    <row r="214">
      <c r="A214" s="10" t="n"/>
      <c r="B214" s="11">
        <f>IF($A214="","",YEAR($A214))</f>
        <v/>
      </c>
      <c r="C214" s="11">
        <f>IF($A214="","",MONTH($A214))</f>
        <v/>
      </c>
      <c r="D214" s="6" t="n"/>
      <c r="E214" s="6" t="n"/>
      <c r="F214" s="6" t="n"/>
      <c r="G214" s="6" t="n"/>
      <c r="H214" s="6" t="n"/>
      <c r="I214" s="8" t="n"/>
      <c r="J214" s="12">
        <f>IF($I214="","",IF($H214="U$D",$I214,IFERROR($I214/VLOOKUP($B214*100+$C214,CONFIG!$I$5:$J$60,2,FALSE),"sin cotiz")))</f>
        <v/>
      </c>
      <c r="K214" s="6" t="n"/>
      <c r="L214" s="6" t="n"/>
      <c r="M214" s="6" t="n"/>
    </row>
    <row r="215">
      <c r="A215" s="10" t="n"/>
      <c r="B215" s="11">
        <f>IF($A215="","",YEAR($A215))</f>
        <v/>
      </c>
      <c r="C215" s="11">
        <f>IF($A215="","",MONTH($A215))</f>
        <v/>
      </c>
      <c r="D215" s="6" t="n"/>
      <c r="E215" s="6" t="n"/>
      <c r="F215" s="6" t="n"/>
      <c r="G215" s="6" t="n"/>
      <c r="H215" s="6" t="n"/>
      <c r="I215" s="8" t="n"/>
      <c r="J215" s="12">
        <f>IF($I215="","",IF($H215="U$D",$I215,IFERROR($I215/VLOOKUP($B215*100+$C215,CONFIG!$I$5:$J$60,2,FALSE),"sin cotiz")))</f>
        <v/>
      </c>
      <c r="K215" s="6" t="n"/>
      <c r="L215" s="6" t="n"/>
      <c r="M215" s="6" t="n"/>
    </row>
    <row r="216">
      <c r="A216" s="10" t="n"/>
      <c r="B216" s="11">
        <f>IF($A216="","",YEAR($A216))</f>
        <v/>
      </c>
      <c r="C216" s="11">
        <f>IF($A216="","",MONTH($A216))</f>
        <v/>
      </c>
      <c r="D216" s="6" t="n"/>
      <c r="E216" s="6" t="n"/>
      <c r="F216" s="6" t="n"/>
      <c r="G216" s="6" t="n"/>
      <c r="H216" s="6" t="n"/>
      <c r="I216" s="8" t="n"/>
      <c r="J216" s="12">
        <f>IF($I216="","",IF($H216="U$D",$I216,IFERROR($I216/VLOOKUP($B216*100+$C216,CONFIG!$I$5:$J$60,2,FALSE),"sin cotiz")))</f>
        <v/>
      </c>
      <c r="K216" s="6" t="n"/>
      <c r="L216" s="6" t="n"/>
      <c r="M216" s="6" t="n"/>
    </row>
    <row r="217">
      <c r="A217" s="10" t="n"/>
      <c r="B217" s="11">
        <f>IF($A217="","",YEAR($A217))</f>
        <v/>
      </c>
      <c r="C217" s="11">
        <f>IF($A217="","",MONTH($A217))</f>
        <v/>
      </c>
      <c r="D217" s="6" t="n"/>
      <c r="E217" s="6" t="n"/>
      <c r="F217" s="6" t="n"/>
      <c r="G217" s="6" t="n"/>
      <c r="H217" s="6" t="n"/>
      <c r="I217" s="8" t="n"/>
      <c r="J217" s="12">
        <f>IF($I217="","",IF($H217="U$D",$I217,IFERROR($I217/VLOOKUP($B217*100+$C217,CONFIG!$I$5:$J$60,2,FALSE),"sin cotiz")))</f>
        <v/>
      </c>
      <c r="K217" s="6" t="n"/>
      <c r="L217" s="6" t="n"/>
      <c r="M217" s="6" t="n"/>
    </row>
    <row r="218">
      <c r="A218" s="10" t="n"/>
      <c r="B218" s="11">
        <f>IF($A218="","",YEAR($A218))</f>
        <v/>
      </c>
      <c r="C218" s="11">
        <f>IF($A218="","",MONTH($A218))</f>
        <v/>
      </c>
      <c r="D218" s="6" t="n"/>
      <c r="E218" s="6" t="n"/>
      <c r="F218" s="6" t="n"/>
      <c r="G218" s="6" t="n"/>
      <c r="H218" s="6" t="n"/>
      <c r="I218" s="8" t="n"/>
      <c r="J218" s="12">
        <f>IF($I218="","",IF($H218="U$D",$I218,IFERROR($I218/VLOOKUP($B218*100+$C218,CONFIG!$I$5:$J$60,2,FALSE),"sin cotiz")))</f>
        <v/>
      </c>
      <c r="K218" s="6" t="n"/>
      <c r="L218" s="6" t="n"/>
      <c r="M218" s="6" t="n"/>
    </row>
    <row r="219">
      <c r="A219" s="10" t="n"/>
      <c r="B219" s="11">
        <f>IF($A219="","",YEAR($A219))</f>
        <v/>
      </c>
      <c r="C219" s="11">
        <f>IF($A219="","",MONTH($A219))</f>
        <v/>
      </c>
      <c r="D219" s="6" t="n"/>
      <c r="E219" s="6" t="n"/>
      <c r="F219" s="6" t="n"/>
      <c r="G219" s="6" t="n"/>
      <c r="H219" s="6" t="n"/>
      <c r="I219" s="8" t="n"/>
      <c r="J219" s="12">
        <f>IF($I219="","",IF($H219="U$D",$I219,IFERROR($I219/VLOOKUP($B219*100+$C219,CONFIG!$I$5:$J$60,2,FALSE),"sin cotiz")))</f>
        <v/>
      </c>
      <c r="K219" s="6" t="n"/>
      <c r="L219" s="6" t="n"/>
      <c r="M219" s="6" t="n"/>
    </row>
    <row r="220">
      <c r="A220" s="10" t="n"/>
      <c r="B220" s="11">
        <f>IF($A220="","",YEAR($A220))</f>
        <v/>
      </c>
      <c r="C220" s="11">
        <f>IF($A220="","",MONTH($A220))</f>
        <v/>
      </c>
      <c r="D220" s="6" t="n"/>
      <c r="E220" s="6" t="n"/>
      <c r="F220" s="6" t="n"/>
      <c r="G220" s="6" t="n"/>
      <c r="H220" s="6" t="n"/>
      <c r="I220" s="8" t="n"/>
      <c r="J220" s="12">
        <f>IF($I220="","",IF($H220="U$D",$I220,IFERROR($I220/VLOOKUP($B220*100+$C220,CONFIG!$I$5:$J$60,2,FALSE),"sin cotiz")))</f>
        <v/>
      </c>
      <c r="K220" s="6" t="n"/>
      <c r="L220" s="6" t="n"/>
      <c r="M220" s="6" t="n"/>
    </row>
    <row r="221">
      <c r="A221" s="10" t="n"/>
      <c r="B221" s="11">
        <f>IF($A221="","",YEAR($A221))</f>
        <v/>
      </c>
      <c r="C221" s="11">
        <f>IF($A221="","",MONTH($A221))</f>
        <v/>
      </c>
      <c r="D221" s="6" t="n"/>
      <c r="E221" s="6" t="n"/>
      <c r="F221" s="6" t="n"/>
      <c r="G221" s="6" t="n"/>
      <c r="H221" s="6" t="n"/>
      <c r="I221" s="8" t="n"/>
      <c r="J221" s="12">
        <f>IF($I221="","",IF($H221="U$D",$I221,IFERROR($I221/VLOOKUP($B221*100+$C221,CONFIG!$I$5:$J$60,2,FALSE),"sin cotiz")))</f>
        <v/>
      </c>
      <c r="K221" s="6" t="n"/>
      <c r="L221" s="6" t="n"/>
      <c r="M221" s="6" t="n"/>
    </row>
    <row r="222">
      <c r="A222" s="10" t="n"/>
      <c r="B222" s="11">
        <f>IF($A222="","",YEAR($A222))</f>
        <v/>
      </c>
      <c r="C222" s="11">
        <f>IF($A222="","",MONTH($A222))</f>
        <v/>
      </c>
      <c r="D222" s="6" t="n"/>
      <c r="E222" s="6" t="n"/>
      <c r="F222" s="6" t="n"/>
      <c r="G222" s="6" t="n"/>
      <c r="H222" s="6" t="n"/>
      <c r="I222" s="8" t="n"/>
      <c r="J222" s="12">
        <f>IF($I222="","",IF($H222="U$D",$I222,IFERROR($I222/VLOOKUP($B222*100+$C222,CONFIG!$I$5:$J$60,2,FALSE),"sin cotiz")))</f>
        <v/>
      </c>
      <c r="K222" s="6" t="n"/>
      <c r="L222" s="6" t="n"/>
      <c r="M222" s="6" t="n"/>
    </row>
    <row r="223">
      <c r="A223" s="10" t="n"/>
      <c r="B223" s="11">
        <f>IF($A223="","",YEAR($A223))</f>
        <v/>
      </c>
      <c r="C223" s="11">
        <f>IF($A223="","",MONTH($A223))</f>
        <v/>
      </c>
      <c r="D223" s="6" t="n"/>
      <c r="E223" s="6" t="n"/>
      <c r="F223" s="6" t="n"/>
      <c r="G223" s="6" t="n"/>
      <c r="H223" s="6" t="n"/>
      <c r="I223" s="8" t="n"/>
      <c r="J223" s="12">
        <f>IF($I223="","",IF($H223="U$D",$I223,IFERROR($I223/VLOOKUP($B223*100+$C223,CONFIG!$I$5:$J$60,2,FALSE),"sin cotiz")))</f>
        <v/>
      </c>
      <c r="K223" s="6" t="n"/>
      <c r="L223" s="6" t="n"/>
      <c r="M223" s="6" t="n"/>
    </row>
    <row r="224">
      <c r="A224" s="10" t="n"/>
      <c r="B224" s="11">
        <f>IF($A224="","",YEAR($A224))</f>
        <v/>
      </c>
      <c r="C224" s="11">
        <f>IF($A224="","",MONTH($A224))</f>
        <v/>
      </c>
      <c r="D224" s="6" t="n"/>
      <c r="E224" s="6" t="n"/>
      <c r="F224" s="6" t="n"/>
      <c r="G224" s="6" t="n"/>
      <c r="H224" s="6" t="n"/>
      <c r="I224" s="8" t="n"/>
      <c r="J224" s="12">
        <f>IF($I224="","",IF($H224="U$D",$I224,IFERROR($I224/VLOOKUP($B224*100+$C224,CONFIG!$I$5:$J$60,2,FALSE),"sin cotiz")))</f>
        <v/>
      </c>
      <c r="K224" s="6" t="n"/>
      <c r="L224" s="6" t="n"/>
      <c r="M224" s="6" t="n"/>
    </row>
    <row r="225">
      <c r="A225" s="10" t="n"/>
      <c r="B225" s="11">
        <f>IF($A225="","",YEAR($A225))</f>
        <v/>
      </c>
      <c r="C225" s="11">
        <f>IF($A225="","",MONTH($A225))</f>
        <v/>
      </c>
      <c r="D225" s="6" t="n"/>
      <c r="E225" s="6" t="n"/>
      <c r="F225" s="6" t="n"/>
      <c r="G225" s="6" t="n"/>
      <c r="H225" s="6" t="n"/>
      <c r="I225" s="8" t="n"/>
      <c r="J225" s="12">
        <f>IF($I225="","",IF($H225="U$D",$I225,IFERROR($I225/VLOOKUP($B225*100+$C225,CONFIG!$I$5:$J$60,2,FALSE),"sin cotiz")))</f>
        <v/>
      </c>
      <c r="K225" s="6" t="n"/>
      <c r="L225" s="6" t="n"/>
      <c r="M225" s="6" t="n"/>
    </row>
    <row r="226">
      <c r="A226" s="10" t="n"/>
      <c r="B226" s="11">
        <f>IF($A226="","",YEAR($A226))</f>
        <v/>
      </c>
      <c r="C226" s="11">
        <f>IF($A226="","",MONTH($A226))</f>
        <v/>
      </c>
      <c r="D226" s="6" t="n"/>
      <c r="E226" s="6" t="n"/>
      <c r="F226" s="6" t="n"/>
      <c r="G226" s="6" t="n"/>
      <c r="H226" s="6" t="n"/>
      <c r="I226" s="8" t="n"/>
      <c r="J226" s="12">
        <f>IF($I226="","",IF($H226="U$D",$I226,IFERROR($I226/VLOOKUP($B226*100+$C226,CONFIG!$I$5:$J$60,2,FALSE),"sin cotiz")))</f>
        <v/>
      </c>
      <c r="K226" s="6" t="n"/>
      <c r="L226" s="6" t="n"/>
      <c r="M226" s="6" t="n"/>
    </row>
    <row r="227">
      <c r="A227" s="10" t="n"/>
      <c r="B227" s="11">
        <f>IF($A227="","",YEAR($A227))</f>
        <v/>
      </c>
      <c r="C227" s="11">
        <f>IF($A227="","",MONTH($A227))</f>
        <v/>
      </c>
      <c r="D227" s="6" t="n"/>
      <c r="E227" s="6" t="n"/>
      <c r="F227" s="6" t="n"/>
      <c r="G227" s="6" t="n"/>
      <c r="H227" s="6" t="n"/>
      <c r="I227" s="8" t="n"/>
      <c r="J227" s="12">
        <f>IF($I227="","",IF($H227="U$D",$I227,IFERROR($I227/VLOOKUP($B227*100+$C227,CONFIG!$I$5:$J$60,2,FALSE),"sin cotiz")))</f>
        <v/>
      </c>
      <c r="K227" s="6" t="n"/>
      <c r="L227" s="6" t="n"/>
      <c r="M227" s="6" t="n"/>
    </row>
    <row r="228">
      <c r="A228" s="10" t="n"/>
      <c r="B228" s="11">
        <f>IF($A228="","",YEAR($A228))</f>
        <v/>
      </c>
      <c r="C228" s="11">
        <f>IF($A228="","",MONTH($A228))</f>
        <v/>
      </c>
      <c r="D228" s="6" t="n"/>
      <c r="E228" s="6" t="n"/>
      <c r="F228" s="6" t="n"/>
      <c r="G228" s="6" t="n"/>
      <c r="H228" s="6" t="n"/>
      <c r="I228" s="8" t="n"/>
      <c r="J228" s="12">
        <f>IF($I228="","",IF($H228="U$D",$I228,IFERROR($I228/VLOOKUP($B228*100+$C228,CONFIG!$I$5:$J$60,2,FALSE),"sin cotiz")))</f>
        <v/>
      </c>
      <c r="K228" s="6" t="n"/>
      <c r="L228" s="6" t="n"/>
      <c r="M228" s="6" t="n"/>
    </row>
    <row r="229">
      <c r="A229" s="10" t="n"/>
      <c r="B229" s="11">
        <f>IF($A229="","",YEAR($A229))</f>
        <v/>
      </c>
      <c r="C229" s="11">
        <f>IF($A229="","",MONTH($A229))</f>
        <v/>
      </c>
      <c r="D229" s="6" t="n"/>
      <c r="E229" s="6" t="n"/>
      <c r="F229" s="6" t="n"/>
      <c r="G229" s="6" t="n"/>
      <c r="H229" s="6" t="n"/>
      <c r="I229" s="8" t="n"/>
      <c r="J229" s="12">
        <f>IF($I229="","",IF($H229="U$D",$I229,IFERROR($I229/VLOOKUP($B229*100+$C229,CONFIG!$I$5:$J$60,2,FALSE),"sin cotiz")))</f>
        <v/>
      </c>
      <c r="K229" s="6" t="n"/>
      <c r="L229" s="6" t="n"/>
      <c r="M229" s="6" t="n"/>
    </row>
    <row r="230">
      <c r="A230" s="10" t="n"/>
      <c r="B230" s="11">
        <f>IF($A230="","",YEAR($A230))</f>
        <v/>
      </c>
      <c r="C230" s="11">
        <f>IF($A230="","",MONTH($A230))</f>
        <v/>
      </c>
      <c r="D230" s="6" t="n"/>
      <c r="E230" s="6" t="n"/>
      <c r="F230" s="6" t="n"/>
      <c r="G230" s="6" t="n"/>
      <c r="H230" s="6" t="n"/>
      <c r="I230" s="8" t="n"/>
      <c r="J230" s="12">
        <f>IF($I230="","",IF($H230="U$D",$I230,IFERROR($I230/VLOOKUP($B230*100+$C230,CONFIG!$I$5:$J$60,2,FALSE),"sin cotiz")))</f>
        <v/>
      </c>
      <c r="K230" s="6" t="n"/>
      <c r="L230" s="6" t="n"/>
      <c r="M230" s="6" t="n"/>
    </row>
    <row r="231">
      <c r="A231" s="10" t="n"/>
      <c r="B231" s="11">
        <f>IF($A231="","",YEAR($A231))</f>
        <v/>
      </c>
      <c r="C231" s="11">
        <f>IF($A231="","",MONTH($A231))</f>
        <v/>
      </c>
      <c r="D231" s="6" t="n"/>
      <c r="E231" s="6" t="n"/>
      <c r="F231" s="6" t="n"/>
      <c r="G231" s="6" t="n"/>
      <c r="H231" s="6" t="n"/>
      <c r="I231" s="8" t="n"/>
      <c r="J231" s="12">
        <f>IF($I231="","",IF($H231="U$D",$I231,IFERROR($I231/VLOOKUP($B231*100+$C231,CONFIG!$I$5:$J$60,2,FALSE),"sin cotiz")))</f>
        <v/>
      </c>
      <c r="K231" s="6" t="n"/>
      <c r="L231" s="6" t="n"/>
      <c r="M231" s="6" t="n"/>
    </row>
    <row r="232">
      <c r="A232" s="10" t="n"/>
      <c r="B232" s="11">
        <f>IF($A232="","",YEAR($A232))</f>
        <v/>
      </c>
      <c r="C232" s="11">
        <f>IF($A232="","",MONTH($A232))</f>
        <v/>
      </c>
      <c r="D232" s="6" t="n"/>
      <c r="E232" s="6" t="n"/>
      <c r="F232" s="6" t="n"/>
      <c r="G232" s="6" t="n"/>
      <c r="H232" s="6" t="n"/>
      <c r="I232" s="8" t="n"/>
      <c r="J232" s="12">
        <f>IF($I232="","",IF($H232="U$D",$I232,IFERROR($I232/VLOOKUP($B232*100+$C232,CONFIG!$I$5:$J$60,2,FALSE),"sin cotiz")))</f>
        <v/>
      </c>
      <c r="K232" s="6" t="n"/>
      <c r="L232" s="6" t="n"/>
      <c r="M232" s="6" t="n"/>
    </row>
    <row r="233">
      <c r="A233" s="10" t="n"/>
      <c r="B233" s="11">
        <f>IF($A233="","",YEAR($A233))</f>
        <v/>
      </c>
      <c r="C233" s="11">
        <f>IF($A233="","",MONTH($A233))</f>
        <v/>
      </c>
      <c r="D233" s="6" t="n"/>
      <c r="E233" s="6" t="n"/>
      <c r="F233" s="6" t="n"/>
      <c r="G233" s="6" t="n"/>
      <c r="H233" s="6" t="n"/>
      <c r="I233" s="8" t="n"/>
      <c r="J233" s="12">
        <f>IF($I233="","",IF($H233="U$D",$I233,IFERROR($I233/VLOOKUP($B233*100+$C233,CONFIG!$I$5:$J$60,2,FALSE),"sin cotiz")))</f>
        <v/>
      </c>
      <c r="K233" s="6" t="n"/>
      <c r="L233" s="6" t="n"/>
      <c r="M233" s="6" t="n"/>
    </row>
    <row r="234">
      <c r="A234" s="10" t="n"/>
      <c r="B234" s="11">
        <f>IF($A234="","",YEAR($A234))</f>
        <v/>
      </c>
      <c r="C234" s="11">
        <f>IF($A234="","",MONTH($A234))</f>
        <v/>
      </c>
      <c r="D234" s="6" t="n"/>
      <c r="E234" s="6" t="n"/>
      <c r="F234" s="6" t="n"/>
      <c r="G234" s="6" t="n"/>
      <c r="H234" s="6" t="n"/>
      <c r="I234" s="8" t="n"/>
      <c r="J234" s="12">
        <f>IF($I234="","",IF($H234="U$D",$I234,IFERROR($I234/VLOOKUP($B234*100+$C234,CONFIG!$I$5:$J$60,2,FALSE),"sin cotiz")))</f>
        <v/>
      </c>
      <c r="K234" s="6" t="n"/>
      <c r="L234" s="6" t="n"/>
      <c r="M234" s="6" t="n"/>
    </row>
    <row r="235">
      <c r="A235" s="10" t="n"/>
      <c r="B235" s="11">
        <f>IF($A235="","",YEAR($A235))</f>
        <v/>
      </c>
      <c r="C235" s="11">
        <f>IF($A235="","",MONTH($A235))</f>
        <v/>
      </c>
      <c r="D235" s="6" t="n"/>
      <c r="E235" s="6" t="n"/>
      <c r="F235" s="6" t="n"/>
      <c r="G235" s="6" t="n"/>
      <c r="H235" s="6" t="n"/>
      <c r="I235" s="8" t="n"/>
      <c r="J235" s="12">
        <f>IF($I235="","",IF($H235="U$D",$I235,IFERROR($I235/VLOOKUP($B235*100+$C235,CONFIG!$I$5:$J$60,2,FALSE),"sin cotiz")))</f>
        <v/>
      </c>
      <c r="K235" s="6" t="n"/>
      <c r="L235" s="6" t="n"/>
      <c r="M235" s="6" t="n"/>
    </row>
    <row r="236">
      <c r="A236" s="10" t="n"/>
      <c r="B236" s="11">
        <f>IF($A236="","",YEAR($A236))</f>
        <v/>
      </c>
      <c r="C236" s="11">
        <f>IF($A236="","",MONTH($A236))</f>
        <v/>
      </c>
      <c r="D236" s="6" t="n"/>
      <c r="E236" s="6" t="n"/>
      <c r="F236" s="6" t="n"/>
      <c r="G236" s="6" t="n"/>
      <c r="H236" s="6" t="n"/>
      <c r="I236" s="8" t="n"/>
      <c r="J236" s="12">
        <f>IF($I236="","",IF($H236="U$D",$I236,IFERROR($I236/VLOOKUP($B236*100+$C236,CONFIG!$I$5:$J$60,2,FALSE),"sin cotiz")))</f>
        <v/>
      </c>
      <c r="K236" s="6" t="n"/>
      <c r="L236" s="6" t="n"/>
      <c r="M236" s="6" t="n"/>
    </row>
    <row r="237">
      <c r="A237" s="10" t="n"/>
      <c r="B237" s="11">
        <f>IF($A237="","",YEAR($A237))</f>
        <v/>
      </c>
      <c r="C237" s="11">
        <f>IF($A237="","",MONTH($A237))</f>
        <v/>
      </c>
      <c r="D237" s="6" t="n"/>
      <c r="E237" s="6" t="n"/>
      <c r="F237" s="6" t="n"/>
      <c r="G237" s="6" t="n"/>
      <c r="H237" s="6" t="n"/>
      <c r="I237" s="8" t="n"/>
      <c r="J237" s="12">
        <f>IF($I237="","",IF($H237="U$D",$I237,IFERROR($I237/VLOOKUP($B237*100+$C237,CONFIG!$I$5:$J$60,2,FALSE),"sin cotiz")))</f>
        <v/>
      </c>
      <c r="K237" s="6" t="n"/>
      <c r="L237" s="6" t="n"/>
      <c r="M237" s="6" t="n"/>
    </row>
    <row r="238">
      <c r="A238" s="10" t="n"/>
      <c r="B238" s="11">
        <f>IF($A238="","",YEAR($A238))</f>
        <v/>
      </c>
      <c r="C238" s="11">
        <f>IF($A238="","",MONTH($A238))</f>
        <v/>
      </c>
      <c r="D238" s="6" t="n"/>
      <c r="E238" s="6" t="n"/>
      <c r="F238" s="6" t="n"/>
      <c r="G238" s="6" t="n"/>
      <c r="H238" s="6" t="n"/>
      <c r="I238" s="8" t="n"/>
      <c r="J238" s="12">
        <f>IF($I238="","",IF($H238="U$D",$I238,IFERROR($I238/VLOOKUP($B238*100+$C238,CONFIG!$I$5:$J$60,2,FALSE),"sin cotiz")))</f>
        <v/>
      </c>
      <c r="K238" s="6" t="n"/>
      <c r="L238" s="6" t="n"/>
      <c r="M238" s="6" t="n"/>
    </row>
    <row r="239">
      <c r="A239" s="10" t="n"/>
      <c r="B239" s="11">
        <f>IF($A239="","",YEAR($A239))</f>
        <v/>
      </c>
      <c r="C239" s="11">
        <f>IF($A239="","",MONTH($A239))</f>
        <v/>
      </c>
      <c r="D239" s="6" t="n"/>
      <c r="E239" s="6" t="n"/>
      <c r="F239" s="6" t="n"/>
      <c r="G239" s="6" t="n"/>
      <c r="H239" s="6" t="n"/>
      <c r="I239" s="8" t="n"/>
      <c r="J239" s="12">
        <f>IF($I239="","",IF($H239="U$D",$I239,IFERROR($I239/VLOOKUP($B239*100+$C239,CONFIG!$I$5:$J$60,2,FALSE),"sin cotiz")))</f>
        <v/>
      </c>
      <c r="K239" s="6" t="n"/>
      <c r="L239" s="6" t="n"/>
      <c r="M239" s="6" t="n"/>
    </row>
    <row r="240">
      <c r="A240" s="10" t="n"/>
      <c r="B240" s="11">
        <f>IF($A240="","",YEAR($A240))</f>
        <v/>
      </c>
      <c r="C240" s="11">
        <f>IF($A240="","",MONTH($A240))</f>
        <v/>
      </c>
      <c r="D240" s="6" t="n"/>
      <c r="E240" s="6" t="n"/>
      <c r="F240" s="6" t="n"/>
      <c r="G240" s="6" t="n"/>
      <c r="H240" s="6" t="n"/>
      <c r="I240" s="8" t="n"/>
      <c r="J240" s="12">
        <f>IF($I240="","",IF($H240="U$D",$I240,IFERROR($I240/VLOOKUP($B240*100+$C240,CONFIG!$I$5:$J$60,2,FALSE),"sin cotiz")))</f>
        <v/>
      </c>
      <c r="K240" s="6" t="n"/>
      <c r="L240" s="6" t="n"/>
      <c r="M240" s="6" t="n"/>
    </row>
    <row r="241">
      <c r="A241" s="10" t="n"/>
      <c r="B241" s="11">
        <f>IF($A241="","",YEAR($A241))</f>
        <v/>
      </c>
      <c r="C241" s="11">
        <f>IF($A241="","",MONTH($A241))</f>
        <v/>
      </c>
      <c r="D241" s="6" t="n"/>
      <c r="E241" s="6" t="n"/>
      <c r="F241" s="6" t="n"/>
      <c r="G241" s="6" t="n"/>
      <c r="H241" s="6" t="n"/>
      <c r="I241" s="8" t="n"/>
      <c r="J241" s="12">
        <f>IF($I241="","",IF($H241="U$D",$I241,IFERROR($I241/VLOOKUP($B241*100+$C241,CONFIG!$I$5:$J$60,2,FALSE),"sin cotiz")))</f>
        <v/>
      </c>
      <c r="K241" s="6" t="n"/>
      <c r="L241" s="6" t="n"/>
      <c r="M241" s="6" t="n"/>
    </row>
    <row r="242">
      <c r="A242" s="10" t="n"/>
      <c r="B242" s="11">
        <f>IF($A242="","",YEAR($A242))</f>
        <v/>
      </c>
      <c r="C242" s="11">
        <f>IF($A242="","",MONTH($A242))</f>
        <v/>
      </c>
      <c r="D242" s="6" t="n"/>
      <c r="E242" s="6" t="n"/>
      <c r="F242" s="6" t="n"/>
      <c r="G242" s="6" t="n"/>
      <c r="H242" s="6" t="n"/>
      <c r="I242" s="8" t="n"/>
      <c r="J242" s="12">
        <f>IF($I242="","",IF($H242="U$D",$I242,IFERROR($I242/VLOOKUP($B242*100+$C242,CONFIG!$I$5:$J$60,2,FALSE),"sin cotiz")))</f>
        <v/>
      </c>
      <c r="K242" s="6" t="n"/>
      <c r="L242" s="6" t="n"/>
      <c r="M242" s="6" t="n"/>
    </row>
    <row r="243">
      <c r="A243" s="10" t="n"/>
      <c r="B243" s="11">
        <f>IF($A243="","",YEAR($A243))</f>
        <v/>
      </c>
      <c r="C243" s="11">
        <f>IF($A243="","",MONTH($A243))</f>
        <v/>
      </c>
      <c r="D243" s="6" t="n"/>
      <c r="E243" s="6" t="n"/>
      <c r="F243" s="6" t="n"/>
      <c r="G243" s="6" t="n"/>
      <c r="H243" s="6" t="n"/>
      <c r="I243" s="8" t="n"/>
      <c r="J243" s="12">
        <f>IF($I243="","",IF($H243="U$D",$I243,IFERROR($I243/VLOOKUP($B243*100+$C243,CONFIG!$I$5:$J$60,2,FALSE),"sin cotiz")))</f>
        <v/>
      </c>
      <c r="K243" s="6" t="n"/>
      <c r="L243" s="6" t="n"/>
      <c r="M243" s="6" t="n"/>
    </row>
    <row r="244">
      <c r="A244" s="10" t="n"/>
      <c r="B244" s="11">
        <f>IF($A244="","",YEAR($A244))</f>
        <v/>
      </c>
      <c r="C244" s="11">
        <f>IF($A244="","",MONTH($A244))</f>
        <v/>
      </c>
      <c r="D244" s="6" t="n"/>
      <c r="E244" s="6" t="n"/>
      <c r="F244" s="6" t="n"/>
      <c r="G244" s="6" t="n"/>
      <c r="H244" s="6" t="n"/>
      <c r="I244" s="8" t="n"/>
      <c r="J244" s="12">
        <f>IF($I244="","",IF($H244="U$D",$I244,IFERROR($I244/VLOOKUP($B244*100+$C244,CONFIG!$I$5:$J$60,2,FALSE),"sin cotiz")))</f>
        <v/>
      </c>
      <c r="K244" s="6" t="n"/>
      <c r="L244" s="6" t="n"/>
      <c r="M244" s="6" t="n"/>
    </row>
    <row r="245">
      <c r="A245" s="10" t="n"/>
      <c r="B245" s="11">
        <f>IF($A245="","",YEAR($A245))</f>
        <v/>
      </c>
      <c r="C245" s="11">
        <f>IF($A245="","",MONTH($A245))</f>
        <v/>
      </c>
      <c r="D245" s="6" t="n"/>
      <c r="E245" s="6" t="n"/>
      <c r="F245" s="6" t="n"/>
      <c r="G245" s="6" t="n"/>
      <c r="H245" s="6" t="n"/>
      <c r="I245" s="8" t="n"/>
      <c r="J245" s="12">
        <f>IF($I245="","",IF($H245="U$D",$I245,IFERROR($I245/VLOOKUP($B245*100+$C245,CONFIG!$I$5:$J$60,2,FALSE),"sin cotiz")))</f>
        <v/>
      </c>
      <c r="K245" s="6" t="n"/>
      <c r="L245" s="6" t="n"/>
      <c r="M245" s="6" t="n"/>
    </row>
    <row r="246">
      <c r="A246" s="10" t="n"/>
      <c r="B246" s="11">
        <f>IF($A246="","",YEAR($A246))</f>
        <v/>
      </c>
      <c r="C246" s="11">
        <f>IF($A246="","",MONTH($A246))</f>
        <v/>
      </c>
      <c r="D246" s="6" t="n"/>
      <c r="E246" s="6" t="n"/>
      <c r="F246" s="6" t="n"/>
      <c r="G246" s="6" t="n"/>
      <c r="H246" s="6" t="n"/>
      <c r="I246" s="8" t="n"/>
      <c r="J246" s="12">
        <f>IF($I246="","",IF($H246="U$D",$I246,IFERROR($I246/VLOOKUP($B246*100+$C246,CONFIG!$I$5:$J$60,2,FALSE),"sin cotiz")))</f>
        <v/>
      </c>
      <c r="K246" s="6" t="n"/>
      <c r="L246" s="6" t="n"/>
      <c r="M246" s="6" t="n"/>
    </row>
    <row r="247">
      <c r="A247" s="10" t="n"/>
      <c r="B247" s="11">
        <f>IF($A247="","",YEAR($A247))</f>
        <v/>
      </c>
      <c r="C247" s="11">
        <f>IF($A247="","",MONTH($A247))</f>
        <v/>
      </c>
      <c r="D247" s="6" t="n"/>
      <c r="E247" s="6" t="n"/>
      <c r="F247" s="6" t="n"/>
      <c r="G247" s="6" t="n"/>
      <c r="H247" s="6" t="n"/>
      <c r="I247" s="8" t="n"/>
      <c r="J247" s="12">
        <f>IF($I247="","",IF($H247="U$D",$I247,IFERROR($I247/VLOOKUP($B247*100+$C247,CONFIG!$I$5:$J$60,2,FALSE),"sin cotiz")))</f>
        <v/>
      </c>
      <c r="K247" s="6" t="n"/>
      <c r="L247" s="6" t="n"/>
      <c r="M247" s="6" t="n"/>
    </row>
    <row r="248">
      <c r="A248" s="10" t="n"/>
      <c r="B248" s="11">
        <f>IF($A248="","",YEAR($A248))</f>
        <v/>
      </c>
      <c r="C248" s="11">
        <f>IF($A248="","",MONTH($A248))</f>
        <v/>
      </c>
      <c r="D248" s="6" t="n"/>
      <c r="E248" s="6" t="n"/>
      <c r="F248" s="6" t="n"/>
      <c r="G248" s="6" t="n"/>
      <c r="H248" s="6" t="n"/>
      <c r="I248" s="8" t="n"/>
      <c r="J248" s="12">
        <f>IF($I248="","",IF($H248="U$D",$I248,IFERROR($I248/VLOOKUP($B248*100+$C248,CONFIG!$I$5:$J$60,2,FALSE),"sin cotiz")))</f>
        <v/>
      </c>
      <c r="K248" s="6" t="n"/>
      <c r="L248" s="6" t="n"/>
      <c r="M248" s="6" t="n"/>
    </row>
    <row r="249">
      <c r="A249" s="10" t="n"/>
      <c r="B249" s="11">
        <f>IF($A249="","",YEAR($A249))</f>
        <v/>
      </c>
      <c r="C249" s="11">
        <f>IF($A249="","",MONTH($A249))</f>
        <v/>
      </c>
      <c r="D249" s="6" t="n"/>
      <c r="E249" s="6" t="n"/>
      <c r="F249" s="6" t="n"/>
      <c r="G249" s="6" t="n"/>
      <c r="H249" s="6" t="n"/>
      <c r="I249" s="8" t="n"/>
      <c r="J249" s="12">
        <f>IF($I249="","",IF($H249="U$D",$I249,IFERROR($I249/VLOOKUP($B249*100+$C249,CONFIG!$I$5:$J$60,2,FALSE),"sin cotiz")))</f>
        <v/>
      </c>
      <c r="K249" s="6" t="n"/>
      <c r="L249" s="6" t="n"/>
      <c r="M249" s="6" t="n"/>
    </row>
    <row r="250">
      <c r="A250" s="10" t="n"/>
      <c r="B250" s="11">
        <f>IF($A250="","",YEAR($A250))</f>
        <v/>
      </c>
      <c r="C250" s="11">
        <f>IF($A250="","",MONTH($A250))</f>
        <v/>
      </c>
      <c r="D250" s="6" t="n"/>
      <c r="E250" s="6" t="n"/>
      <c r="F250" s="6" t="n"/>
      <c r="G250" s="6" t="n"/>
      <c r="H250" s="6" t="n"/>
      <c r="I250" s="8" t="n"/>
      <c r="J250" s="12">
        <f>IF($I250="","",IF($H250="U$D",$I250,IFERROR($I250/VLOOKUP($B250*100+$C250,CONFIG!$I$5:$J$60,2,FALSE),"sin cotiz")))</f>
        <v/>
      </c>
      <c r="K250" s="6" t="n"/>
      <c r="L250" s="6" t="n"/>
      <c r="M250" s="6" t="n"/>
    </row>
    <row r="251">
      <c r="A251" s="10" t="n"/>
      <c r="B251" s="11">
        <f>IF($A251="","",YEAR($A251))</f>
        <v/>
      </c>
      <c r="C251" s="11">
        <f>IF($A251="","",MONTH($A251))</f>
        <v/>
      </c>
      <c r="D251" s="6" t="n"/>
      <c r="E251" s="6" t="n"/>
      <c r="F251" s="6" t="n"/>
      <c r="G251" s="6" t="n"/>
      <c r="H251" s="6" t="n"/>
      <c r="I251" s="8" t="n"/>
      <c r="J251" s="12">
        <f>IF($I251="","",IF($H251="U$D",$I251,IFERROR($I251/VLOOKUP($B251*100+$C251,CONFIG!$I$5:$J$60,2,FALSE),"sin cotiz")))</f>
        <v/>
      </c>
      <c r="K251" s="6" t="n"/>
      <c r="L251" s="6" t="n"/>
      <c r="M251" s="6" t="n"/>
    </row>
    <row r="252">
      <c r="A252" s="10" t="n"/>
      <c r="B252" s="11">
        <f>IF($A252="","",YEAR($A252))</f>
        <v/>
      </c>
      <c r="C252" s="11">
        <f>IF($A252="","",MONTH($A252))</f>
        <v/>
      </c>
      <c r="D252" s="6" t="n"/>
      <c r="E252" s="6" t="n"/>
      <c r="F252" s="6" t="n"/>
      <c r="G252" s="6" t="n"/>
      <c r="H252" s="6" t="n"/>
      <c r="I252" s="8" t="n"/>
      <c r="J252" s="12">
        <f>IF($I252="","",IF($H252="U$D",$I252,IFERROR($I252/VLOOKUP($B252*100+$C252,CONFIG!$I$5:$J$60,2,FALSE),"sin cotiz")))</f>
        <v/>
      </c>
      <c r="K252" s="6" t="n"/>
      <c r="L252" s="6" t="n"/>
      <c r="M252" s="6" t="n"/>
    </row>
    <row r="253">
      <c r="A253" s="10" t="n"/>
      <c r="B253" s="11">
        <f>IF($A253="","",YEAR($A253))</f>
        <v/>
      </c>
      <c r="C253" s="11">
        <f>IF($A253="","",MONTH($A253))</f>
        <v/>
      </c>
      <c r="D253" s="6" t="n"/>
      <c r="E253" s="6" t="n"/>
      <c r="F253" s="6" t="n"/>
      <c r="G253" s="6" t="n"/>
      <c r="H253" s="6" t="n"/>
      <c r="I253" s="8" t="n"/>
      <c r="J253" s="12">
        <f>IF($I253="","",IF($H253="U$D",$I253,IFERROR($I253/VLOOKUP($B253*100+$C253,CONFIG!$I$5:$J$60,2,FALSE),"sin cotiz")))</f>
        <v/>
      </c>
      <c r="K253" s="6" t="n"/>
      <c r="L253" s="6" t="n"/>
      <c r="M253" s="6" t="n"/>
    </row>
    <row r="254">
      <c r="A254" s="10" t="n"/>
      <c r="B254" s="11">
        <f>IF($A254="","",YEAR($A254))</f>
        <v/>
      </c>
      <c r="C254" s="11">
        <f>IF($A254="","",MONTH($A254))</f>
        <v/>
      </c>
      <c r="D254" s="6" t="n"/>
      <c r="E254" s="6" t="n"/>
      <c r="F254" s="6" t="n"/>
      <c r="G254" s="6" t="n"/>
      <c r="H254" s="6" t="n"/>
      <c r="I254" s="8" t="n"/>
      <c r="J254" s="12">
        <f>IF($I254="","",IF($H254="U$D",$I254,IFERROR($I254/VLOOKUP($B254*100+$C254,CONFIG!$I$5:$J$60,2,FALSE),"sin cotiz")))</f>
        <v/>
      </c>
      <c r="K254" s="6" t="n"/>
      <c r="L254" s="6" t="n"/>
      <c r="M254" s="6" t="n"/>
    </row>
    <row r="255">
      <c r="A255" s="10" t="n"/>
      <c r="B255" s="11">
        <f>IF($A255="","",YEAR($A255))</f>
        <v/>
      </c>
      <c r="C255" s="11">
        <f>IF($A255="","",MONTH($A255))</f>
        <v/>
      </c>
      <c r="D255" s="6" t="n"/>
      <c r="E255" s="6" t="n"/>
      <c r="F255" s="6" t="n"/>
      <c r="G255" s="6" t="n"/>
      <c r="H255" s="6" t="n"/>
      <c r="I255" s="8" t="n"/>
      <c r="J255" s="12">
        <f>IF($I255="","",IF($H255="U$D",$I255,IFERROR($I255/VLOOKUP($B255*100+$C255,CONFIG!$I$5:$J$60,2,FALSE),"sin cotiz")))</f>
        <v/>
      </c>
      <c r="K255" s="6" t="n"/>
      <c r="L255" s="6" t="n"/>
      <c r="M255" s="6" t="n"/>
    </row>
    <row r="256">
      <c r="A256" s="10" t="n"/>
      <c r="B256" s="11">
        <f>IF($A256="","",YEAR($A256))</f>
        <v/>
      </c>
      <c r="C256" s="11">
        <f>IF($A256="","",MONTH($A256))</f>
        <v/>
      </c>
      <c r="D256" s="6" t="n"/>
      <c r="E256" s="6" t="n"/>
      <c r="F256" s="6" t="n"/>
      <c r="G256" s="6" t="n"/>
      <c r="H256" s="6" t="n"/>
      <c r="I256" s="8" t="n"/>
      <c r="J256" s="12">
        <f>IF($I256="","",IF($H256="U$D",$I256,IFERROR($I256/VLOOKUP($B256*100+$C256,CONFIG!$I$5:$J$60,2,FALSE),"sin cotiz")))</f>
        <v/>
      </c>
      <c r="K256" s="6" t="n"/>
      <c r="L256" s="6" t="n"/>
      <c r="M256" s="6" t="n"/>
    </row>
    <row r="257">
      <c r="A257" s="10" t="n"/>
      <c r="B257" s="11">
        <f>IF($A257="","",YEAR($A257))</f>
        <v/>
      </c>
      <c r="C257" s="11">
        <f>IF($A257="","",MONTH($A257))</f>
        <v/>
      </c>
      <c r="D257" s="6" t="n"/>
      <c r="E257" s="6" t="n"/>
      <c r="F257" s="6" t="n"/>
      <c r="G257" s="6" t="n"/>
      <c r="H257" s="6" t="n"/>
      <c r="I257" s="8" t="n"/>
      <c r="J257" s="12">
        <f>IF($I257="","",IF($H257="U$D",$I257,IFERROR($I257/VLOOKUP($B257*100+$C257,CONFIG!$I$5:$J$60,2,FALSE),"sin cotiz")))</f>
        <v/>
      </c>
      <c r="K257" s="6" t="n"/>
      <c r="L257" s="6" t="n"/>
      <c r="M257" s="6" t="n"/>
    </row>
    <row r="258">
      <c r="A258" s="10" t="n"/>
      <c r="B258" s="11">
        <f>IF($A258="","",YEAR($A258))</f>
        <v/>
      </c>
      <c r="C258" s="11">
        <f>IF($A258="","",MONTH($A258))</f>
        <v/>
      </c>
      <c r="D258" s="6" t="n"/>
      <c r="E258" s="6" t="n"/>
      <c r="F258" s="6" t="n"/>
      <c r="G258" s="6" t="n"/>
      <c r="H258" s="6" t="n"/>
      <c r="I258" s="8" t="n"/>
      <c r="J258" s="12">
        <f>IF($I258="","",IF($H258="U$D",$I258,IFERROR($I258/VLOOKUP($B258*100+$C258,CONFIG!$I$5:$J$60,2,FALSE),"sin cotiz")))</f>
        <v/>
      </c>
      <c r="K258" s="6" t="n"/>
      <c r="L258" s="6" t="n"/>
      <c r="M258" s="6" t="n"/>
    </row>
    <row r="259">
      <c r="A259" s="10" t="n"/>
      <c r="B259" s="11">
        <f>IF($A259="","",YEAR($A259))</f>
        <v/>
      </c>
      <c r="C259" s="11">
        <f>IF($A259="","",MONTH($A259))</f>
        <v/>
      </c>
      <c r="D259" s="6" t="n"/>
      <c r="E259" s="6" t="n"/>
      <c r="F259" s="6" t="n"/>
      <c r="G259" s="6" t="n"/>
      <c r="H259" s="6" t="n"/>
      <c r="I259" s="8" t="n"/>
      <c r="J259" s="12">
        <f>IF($I259="","",IF($H259="U$D",$I259,IFERROR($I259/VLOOKUP($B259*100+$C259,CONFIG!$I$5:$J$60,2,FALSE),"sin cotiz")))</f>
        <v/>
      </c>
      <c r="K259" s="6" t="n"/>
      <c r="L259" s="6" t="n"/>
      <c r="M259" s="6" t="n"/>
    </row>
    <row r="260">
      <c r="A260" s="10" t="n"/>
      <c r="B260" s="11">
        <f>IF($A260="","",YEAR($A260))</f>
        <v/>
      </c>
      <c r="C260" s="11">
        <f>IF($A260="","",MONTH($A260))</f>
        <v/>
      </c>
      <c r="D260" s="6" t="n"/>
      <c r="E260" s="6" t="n"/>
      <c r="F260" s="6" t="n"/>
      <c r="G260" s="6" t="n"/>
      <c r="H260" s="6" t="n"/>
      <c r="I260" s="8" t="n"/>
      <c r="J260" s="12">
        <f>IF($I260="","",IF($H260="U$D",$I260,IFERROR($I260/VLOOKUP($B260*100+$C260,CONFIG!$I$5:$J$60,2,FALSE),"sin cotiz")))</f>
        <v/>
      </c>
      <c r="K260" s="6" t="n"/>
      <c r="L260" s="6" t="n"/>
      <c r="M260" s="6" t="n"/>
    </row>
    <row r="261">
      <c r="A261" s="10" t="n"/>
      <c r="B261" s="11">
        <f>IF($A261="","",YEAR($A261))</f>
        <v/>
      </c>
      <c r="C261" s="11">
        <f>IF($A261="","",MONTH($A261))</f>
        <v/>
      </c>
      <c r="D261" s="6" t="n"/>
      <c r="E261" s="6" t="n"/>
      <c r="F261" s="6" t="n"/>
      <c r="G261" s="6" t="n"/>
      <c r="H261" s="6" t="n"/>
      <c r="I261" s="8" t="n"/>
      <c r="J261" s="12">
        <f>IF($I261="","",IF($H261="U$D",$I261,IFERROR($I261/VLOOKUP($B261*100+$C261,CONFIG!$I$5:$J$60,2,FALSE),"sin cotiz")))</f>
        <v/>
      </c>
      <c r="K261" s="6" t="n"/>
      <c r="L261" s="6" t="n"/>
      <c r="M261" s="6" t="n"/>
    </row>
    <row r="262">
      <c r="A262" s="10" t="n"/>
      <c r="B262" s="11">
        <f>IF($A262="","",YEAR($A262))</f>
        <v/>
      </c>
      <c r="C262" s="11">
        <f>IF($A262="","",MONTH($A262))</f>
        <v/>
      </c>
      <c r="D262" s="6" t="n"/>
      <c r="E262" s="6" t="n"/>
      <c r="F262" s="6" t="n"/>
      <c r="G262" s="6" t="n"/>
      <c r="H262" s="6" t="n"/>
      <c r="I262" s="8" t="n"/>
      <c r="J262" s="12">
        <f>IF($I262="","",IF($H262="U$D",$I262,IFERROR($I262/VLOOKUP($B262*100+$C262,CONFIG!$I$5:$J$60,2,FALSE),"sin cotiz")))</f>
        <v/>
      </c>
      <c r="K262" s="6" t="n"/>
      <c r="L262" s="6" t="n"/>
      <c r="M262" s="6" t="n"/>
    </row>
    <row r="263">
      <c r="A263" s="10" t="n"/>
      <c r="B263" s="11">
        <f>IF($A263="","",YEAR($A263))</f>
        <v/>
      </c>
      <c r="C263" s="11">
        <f>IF($A263="","",MONTH($A263))</f>
        <v/>
      </c>
      <c r="D263" s="6" t="n"/>
      <c r="E263" s="6" t="n"/>
      <c r="F263" s="6" t="n"/>
      <c r="G263" s="6" t="n"/>
      <c r="H263" s="6" t="n"/>
      <c r="I263" s="8" t="n"/>
      <c r="J263" s="12">
        <f>IF($I263="","",IF($H263="U$D",$I263,IFERROR($I263/VLOOKUP($B263*100+$C263,CONFIG!$I$5:$J$60,2,FALSE),"sin cotiz")))</f>
        <v/>
      </c>
      <c r="K263" s="6" t="n"/>
      <c r="L263" s="6" t="n"/>
      <c r="M263" s="6" t="n"/>
    </row>
    <row r="264">
      <c r="A264" s="10" t="n"/>
      <c r="B264" s="11">
        <f>IF($A264="","",YEAR($A264))</f>
        <v/>
      </c>
      <c r="C264" s="11">
        <f>IF($A264="","",MONTH($A264))</f>
        <v/>
      </c>
      <c r="D264" s="6" t="n"/>
      <c r="E264" s="6" t="n"/>
      <c r="F264" s="6" t="n"/>
      <c r="G264" s="6" t="n"/>
      <c r="H264" s="6" t="n"/>
      <c r="I264" s="8" t="n"/>
      <c r="J264" s="12">
        <f>IF($I264="","",IF($H264="U$D",$I264,IFERROR($I264/VLOOKUP($B264*100+$C264,CONFIG!$I$5:$J$60,2,FALSE),"sin cotiz")))</f>
        <v/>
      </c>
      <c r="K264" s="6" t="n"/>
      <c r="L264" s="6" t="n"/>
      <c r="M264" s="6" t="n"/>
    </row>
    <row r="265">
      <c r="A265" s="10" t="n"/>
      <c r="B265" s="11">
        <f>IF($A265="","",YEAR($A265))</f>
        <v/>
      </c>
      <c r="C265" s="11">
        <f>IF($A265="","",MONTH($A265))</f>
        <v/>
      </c>
      <c r="D265" s="6" t="n"/>
      <c r="E265" s="6" t="n"/>
      <c r="F265" s="6" t="n"/>
      <c r="G265" s="6" t="n"/>
      <c r="H265" s="6" t="n"/>
      <c r="I265" s="8" t="n"/>
      <c r="J265" s="12">
        <f>IF($I265="","",IF($H265="U$D",$I265,IFERROR($I265/VLOOKUP($B265*100+$C265,CONFIG!$I$5:$J$60,2,FALSE),"sin cotiz")))</f>
        <v/>
      </c>
      <c r="K265" s="6" t="n"/>
      <c r="L265" s="6" t="n"/>
      <c r="M265" s="6" t="n"/>
    </row>
    <row r="266">
      <c r="A266" s="10" t="n"/>
      <c r="B266" s="11">
        <f>IF($A266="","",YEAR($A266))</f>
        <v/>
      </c>
      <c r="C266" s="11">
        <f>IF($A266="","",MONTH($A266))</f>
        <v/>
      </c>
      <c r="D266" s="6" t="n"/>
      <c r="E266" s="6" t="n"/>
      <c r="F266" s="6" t="n"/>
      <c r="G266" s="6" t="n"/>
      <c r="H266" s="6" t="n"/>
      <c r="I266" s="8" t="n"/>
      <c r="J266" s="12">
        <f>IF($I266="","",IF($H266="U$D",$I266,IFERROR($I266/VLOOKUP($B266*100+$C266,CONFIG!$I$5:$J$60,2,FALSE),"sin cotiz")))</f>
        <v/>
      </c>
      <c r="K266" s="6" t="n"/>
      <c r="L266" s="6" t="n"/>
      <c r="M266" s="6" t="n"/>
    </row>
    <row r="267">
      <c r="A267" s="10" t="n"/>
      <c r="B267" s="11">
        <f>IF($A267="","",YEAR($A267))</f>
        <v/>
      </c>
      <c r="C267" s="11">
        <f>IF($A267="","",MONTH($A267))</f>
        <v/>
      </c>
      <c r="D267" s="6" t="n"/>
      <c r="E267" s="6" t="n"/>
      <c r="F267" s="6" t="n"/>
      <c r="G267" s="6" t="n"/>
      <c r="H267" s="6" t="n"/>
      <c r="I267" s="8" t="n"/>
      <c r="J267" s="12">
        <f>IF($I267="","",IF($H267="U$D",$I267,IFERROR($I267/VLOOKUP($B267*100+$C267,CONFIG!$I$5:$J$60,2,FALSE),"sin cotiz")))</f>
        <v/>
      </c>
      <c r="K267" s="6" t="n"/>
      <c r="L267" s="6" t="n"/>
      <c r="M267" s="6" t="n"/>
    </row>
    <row r="268">
      <c r="A268" s="10" t="n"/>
      <c r="B268" s="11">
        <f>IF($A268="","",YEAR($A268))</f>
        <v/>
      </c>
      <c r="C268" s="11">
        <f>IF($A268="","",MONTH($A268))</f>
        <v/>
      </c>
      <c r="D268" s="6" t="n"/>
      <c r="E268" s="6" t="n"/>
      <c r="F268" s="6" t="n"/>
      <c r="G268" s="6" t="n"/>
      <c r="H268" s="6" t="n"/>
      <c r="I268" s="8" t="n"/>
      <c r="J268" s="12">
        <f>IF($I268="","",IF($H268="U$D",$I268,IFERROR($I268/VLOOKUP($B268*100+$C268,CONFIG!$I$5:$J$60,2,FALSE),"sin cotiz")))</f>
        <v/>
      </c>
      <c r="K268" s="6" t="n"/>
      <c r="L268" s="6" t="n"/>
      <c r="M268" s="6" t="n"/>
    </row>
    <row r="269">
      <c r="A269" s="10" t="n"/>
      <c r="B269" s="11">
        <f>IF($A269="","",YEAR($A269))</f>
        <v/>
      </c>
      <c r="C269" s="11">
        <f>IF($A269="","",MONTH($A269))</f>
        <v/>
      </c>
      <c r="D269" s="6" t="n"/>
      <c r="E269" s="6" t="n"/>
      <c r="F269" s="6" t="n"/>
      <c r="G269" s="6" t="n"/>
      <c r="H269" s="6" t="n"/>
      <c r="I269" s="8" t="n"/>
      <c r="J269" s="12">
        <f>IF($I269="","",IF($H269="U$D",$I269,IFERROR($I269/VLOOKUP($B269*100+$C269,CONFIG!$I$5:$J$60,2,FALSE),"sin cotiz")))</f>
        <v/>
      </c>
      <c r="K269" s="6" t="n"/>
      <c r="L269" s="6" t="n"/>
      <c r="M269" s="6" t="n"/>
    </row>
    <row r="270">
      <c r="A270" s="10" t="n"/>
      <c r="B270" s="11">
        <f>IF($A270="","",YEAR($A270))</f>
        <v/>
      </c>
      <c r="C270" s="11">
        <f>IF($A270="","",MONTH($A270))</f>
        <v/>
      </c>
      <c r="D270" s="6" t="n"/>
      <c r="E270" s="6" t="n"/>
      <c r="F270" s="6" t="n"/>
      <c r="G270" s="6" t="n"/>
      <c r="H270" s="6" t="n"/>
      <c r="I270" s="8" t="n"/>
      <c r="J270" s="12">
        <f>IF($I270="","",IF($H270="U$D",$I270,IFERROR($I270/VLOOKUP($B270*100+$C270,CONFIG!$I$5:$J$60,2,FALSE),"sin cotiz")))</f>
        <v/>
      </c>
      <c r="K270" s="6" t="n"/>
      <c r="L270" s="6" t="n"/>
      <c r="M270" s="6" t="n"/>
    </row>
    <row r="271">
      <c r="A271" s="10" t="n"/>
      <c r="B271" s="11">
        <f>IF($A271="","",YEAR($A271))</f>
        <v/>
      </c>
      <c r="C271" s="11">
        <f>IF($A271="","",MONTH($A271))</f>
        <v/>
      </c>
      <c r="D271" s="6" t="n"/>
      <c r="E271" s="6" t="n"/>
      <c r="F271" s="6" t="n"/>
      <c r="G271" s="6" t="n"/>
      <c r="H271" s="6" t="n"/>
      <c r="I271" s="8" t="n"/>
      <c r="J271" s="12">
        <f>IF($I271="","",IF($H271="U$D",$I271,IFERROR($I271/VLOOKUP($B271*100+$C271,CONFIG!$I$5:$J$60,2,FALSE),"sin cotiz")))</f>
        <v/>
      </c>
      <c r="K271" s="6" t="n"/>
      <c r="L271" s="6" t="n"/>
      <c r="M271" s="6" t="n"/>
    </row>
    <row r="272">
      <c r="A272" s="10" t="n"/>
      <c r="B272" s="11">
        <f>IF($A272="","",YEAR($A272))</f>
        <v/>
      </c>
      <c r="C272" s="11">
        <f>IF($A272="","",MONTH($A272))</f>
        <v/>
      </c>
      <c r="D272" s="6" t="n"/>
      <c r="E272" s="6" t="n"/>
      <c r="F272" s="6" t="n"/>
      <c r="G272" s="6" t="n"/>
      <c r="H272" s="6" t="n"/>
      <c r="I272" s="8" t="n"/>
      <c r="J272" s="12">
        <f>IF($I272="","",IF($H272="U$D",$I272,IFERROR($I272/VLOOKUP($B272*100+$C272,CONFIG!$I$5:$J$60,2,FALSE),"sin cotiz")))</f>
        <v/>
      </c>
      <c r="K272" s="6" t="n"/>
      <c r="L272" s="6" t="n"/>
      <c r="M272" s="6" t="n"/>
    </row>
    <row r="273">
      <c r="A273" s="10" t="n"/>
      <c r="B273" s="11">
        <f>IF($A273="","",YEAR($A273))</f>
        <v/>
      </c>
      <c r="C273" s="11">
        <f>IF($A273="","",MONTH($A273))</f>
        <v/>
      </c>
      <c r="D273" s="6" t="n"/>
      <c r="E273" s="6" t="n"/>
      <c r="F273" s="6" t="n"/>
      <c r="G273" s="6" t="n"/>
      <c r="H273" s="6" t="n"/>
      <c r="I273" s="8" t="n"/>
      <c r="J273" s="12">
        <f>IF($I273="","",IF($H273="U$D",$I273,IFERROR($I273/VLOOKUP($B273*100+$C273,CONFIG!$I$5:$J$60,2,FALSE),"sin cotiz")))</f>
        <v/>
      </c>
      <c r="K273" s="6" t="n"/>
      <c r="L273" s="6" t="n"/>
      <c r="M273" s="6" t="n"/>
    </row>
    <row r="274">
      <c r="A274" s="10" t="n"/>
      <c r="B274" s="11">
        <f>IF($A274="","",YEAR($A274))</f>
        <v/>
      </c>
      <c r="C274" s="11">
        <f>IF($A274="","",MONTH($A274))</f>
        <v/>
      </c>
      <c r="D274" s="6" t="n"/>
      <c r="E274" s="6" t="n"/>
      <c r="F274" s="6" t="n"/>
      <c r="G274" s="6" t="n"/>
      <c r="H274" s="6" t="n"/>
      <c r="I274" s="8" t="n"/>
      <c r="J274" s="12">
        <f>IF($I274="","",IF($H274="U$D",$I274,IFERROR($I274/VLOOKUP($B274*100+$C274,CONFIG!$I$5:$J$60,2,FALSE),"sin cotiz")))</f>
        <v/>
      </c>
      <c r="K274" s="6" t="n"/>
      <c r="L274" s="6" t="n"/>
      <c r="M274" s="6" t="n"/>
    </row>
    <row r="275">
      <c r="A275" s="10" t="n"/>
      <c r="B275" s="11">
        <f>IF($A275="","",YEAR($A275))</f>
        <v/>
      </c>
      <c r="C275" s="11">
        <f>IF($A275="","",MONTH($A275))</f>
        <v/>
      </c>
      <c r="D275" s="6" t="n"/>
      <c r="E275" s="6" t="n"/>
      <c r="F275" s="6" t="n"/>
      <c r="G275" s="6" t="n"/>
      <c r="H275" s="6" t="n"/>
      <c r="I275" s="8" t="n"/>
      <c r="J275" s="12">
        <f>IF($I275="","",IF($H275="U$D",$I275,IFERROR($I275/VLOOKUP($B275*100+$C275,CONFIG!$I$5:$J$60,2,FALSE),"sin cotiz")))</f>
        <v/>
      </c>
      <c r="K275" s="6" t="n"/>
      <c r="L275" s="6" t="n"/>
      <c r="M275" s="6" t="n"/>
    </row>
    <row r="276">
      <c r="A276" s="10" t="n"/>
      <c r="B276" s="11">
        <f>IF($A276="","",YEAR($A276))</f>
        <v/>
      </c>
      <c r="C276" s="11">
        <f>IF($A276="","",MONTH($A276))</f>
        <v/>
      </c>
      <c r="D276" s="6" t="n"/>
      <c r="E276" s="6" t="n"/>
      <c r="F276" s="6" t="n"/>
      <c r="G276" s="6" t="n"/>
      <c r="H276" s="6" t="n"/>
      <c r="I276" s="8" t="n"/>
      <c r="J276" s="12">
        <f>IF($I276="","",IF($H276="U$D",$I276,IFERROR($I276/VLOOKUP($B276*100+$C276,CONFIG!$I$5:$J$60,2,FALSE),"sin cotiz")))</f>
        <v/>
      </c>
      <c r="K276" s="6" t="n"/>
      <c r="L276" s="6" t="n"/>
      <c r="M276" s="6" t="n"/>
    </row>
    <row r="277">
      <c r="A277" s="10" t="n"/>
      <c r="B277" s="11">
        <f>IF($A277="","",YEAR($A277))</f>
        <v/>
      </c>
      <c r="C277" s="11">
        <f>IF($A277="","",MONTH($A277))</f>
        <v/>
      </c>
      <c r="D277" s="6" t="n"/>
      <c r="E277" s="6" t="n"/>
      <c r="F277" s="6" t="n"/>
      <c r="G277" s="6" t="n"/>
      <c r="H277" s="6" t="n"/>
      <c r="I277" s="8" t="n"/>
      <c r="J277" s="12">
        <f>IF($I277="","",IF($H277="U$D",$I277,IFERROR($I277/VLOOKUP($B277*100+$C277,CONFIG!$I$5:$J$60,2,FALSE),"sin cotiz")))</f>
        <v/>
      </c>
      <c r="K277" s="6" t="n"/>
      <c r="L277" s="6" t="n"/>
      <c r="M277" s="6" t="n"/>
    </row>
    <row r="278">
      <c r="A278" s="10" t="n"/>
      <c r="B278" s="11">
        <f>IF($A278="","",YEAR($A278))</f>
        <v/>
      </c>
      <c r="C278" s="11">
        <f>IF($A278="","",MONTH($A278))</f>
        <v/>
      </c>
      <c r="D278" s="6" t="n"/>
      <c r="E278" s="6" t="n"/>
      <c r="F278" s="6" t="n"/>
      <c r="G278" s="6" t="n"/>
      <c r="H278" s="6" t="n"/>
      <c r="I278" s="8" t="n"/>
      <c r="J278" s="12">
        <f>IF($I278="","",IF($H278="U$D",$I278,IFERROR($I278/VLOOKUP($B278*100+$C278,CONFIG!$I$5:$J$60,2,FALSE),"sin cotiz")))</f>
        <v/>
      </c>
      <c r="K278" s="6" t="n"/>
      <c r="L278" s="6" t="n"/>
      <c r="M278" s="6" t="n"/>
    </row>
    <row r="279">
      <c r="A279" s="10" t="n"/>
      <c r="B279" s="11">
        <f>IF($A279="","",YEAR($A279))</f>
        <v/>
      </c>
      <c r="C279" s="11">
        <f>IF($A279="","",MONTH($A279))</f>
        <v/>
      </c>
      <c r="D279" s="6" t="n"/>
      <c r="E279" s="6" t="n"/>
      <c r="F279" s="6" t="n"/>
      <c r="G279" s="6" t="n"/>
      <c r="H279" s="6" t="n"/>
      <c r="I279" s="8" t="n"/>
      <c r="J279" s="12">
        <f>IF($I279="","",IF($H279="U$D",$I279,IFERROR($I279/VLOOKUP($B279*100+$C279,CONFIG!$I$5:$J$60,2,FALSE),"sin cotiz")))</f>
        <v/>
      </c>
      <c r="K279" s="6" t="n"/>
      <c r="L279" s="6" t="n"/>
      <c r="M279" s="6" t="n"/>
    </row>
    <row r="280">
      <c r="A280" s="10" t="n"/>
      <c r="B280" s="11">
        <f>IF($A280="","",YEAR($A280))</f>
        <v/>
      </c>
      <c r="C280" s="11">
        <f>IF($A280="","",MONTH($A280))</f>
        <v/>
      </c>
      <c r="D280" s="6" t="n"/>
      <c r="E280" s="6" t="n"/>
      <c r="F280" s="6" t="n"/>
      <c r="G280" s="6" t="n"/>
      <c r="H280" s="6" t="n"/>
      <c r="I280" s="8" t="n"/>
      <c r="J280" s="12">
        <f>IF($I280="","",IF($H280="U$D",$I280,IFERROR($I280/VLOOKUP($B280*100+$C280,CONFIG!$I$5:$J$60,2,FALSE),"sin cotiz")))</f>
        <v/>
      </c>
      <c r="K280" s="6" t="n"/>
      <c r="L280" s="6" t="n"/>
      <c r="M280" s="6" t="n"/>
    </row>
    <row r="281">
      <c r="A281" s="10" t="n"/>
      <c r="B281" s="11">
        <f>IF($A281="","",YEAR($A281))</f>
        <v/>
      </c>
      <c r="C281" s="11">
        <f>IF($A281="","",MONTH($A281))</f>
        <v/>
      </c>
      <c r="D281" s="6" t="n"/>
      <c r="E281" s="6" t="n"/>
      <c r="F281" s="6" t="n"/>
      <c r="G281" s="6" t="n"/>
      <c r="H281" s="6" t="n"/>
      <c r="I281" s="8" t="n"/>
      <c r="J281" s="12">
        <f>IF($I281="","",IF($H281="U$D",$I281,IFERROR($I281/VLOOKUP($B281*100+$C281,CONFIG!$I$5:$J$60,2,FALSE),"sin cotiz")))</f>
        <v/>
      </c>
      <c r="K281" s="6" t="n"/>
      <c r="L281" s="6" t="n"/>
      <c r="M281" s="6" t="n"/>
    </row>
    <row r="282">
      <c r="A282" s="10" t="n"/>
      <c r="B282" s="11">
        <f>IF($A282="","",YEAR($A282))</f>
        <v/>
      </c>
      <c r="C282" s="11">
        <f>IF($A282="","",MONTH($A282))</f>
        <v/>
      </c>
      <c r="D282" s="6" t="n"/>
      <c r="E282" s="6" t="n"/>
      <c r="F282" s="6" t="n"/>
      <c r="G282" s="6" t="n"/>
      <c r="H282" s="6" t="n"/>
      <c r="I282" s="8" t="n"/>
      <c r="J282" s="12">
        <f>IF($I282="","",IF($H282="U$D",$I282,IFERROR($I282/VLOOKUP($B282*100+$C282,CONFIG!$I$5:$J$60,2,FALSE),"sin cotiz")))</f>
        <v/>
      </c>
      <c r="K282" s="6" t="n"/>
      <c r="L282" s="6" t="n"/>
      <c r="M282" s="6" t="n"/>
    </row>
    <row r="283">
      <c r="A283" s="10" t="n"/>
      <c r="B283" s="11">
        <f>IF($A283="","",YEAR($A283))</f>
        <v/>
      </c>
      <c r="C283" s="11">
        <f>IF($A283="","",MONTH($A283))</f>
        <v/>
      </c>
      <c r="D283" s="6" t="n"/>
      <c r="E283" s="6" t="n"/>
      <c r="F283" s="6" t="n"/>
      <c r="G283" s="6" t="n"/>
      <c r="H283" s="6" t="n"/>
      <c r="I283" s="8" t="n"/>
      <c r="J283" s="12">
        <f>IF($I283="","",IF($H283="U$D",$I283,IFERROR($I283/VLOOKUP($B283*100+$C283,CONFIG!$I$5:$J$60,2,FALSE),"sin cotiz")))</f>
        <v/>
      </c>
      <c r="K283" s="6" t="n"/>
      <c r="L283" s="6" t="n"/>
      <c r="M283" s="6" t="n"/>
    </row>
    <row r="284">
      <c r="A284" s="10" t="n"/>
      <c r="B284" s="11">
        <f>IF($A284="","",YEAR($A284))</f>
        <v/>
      </c>
      <c r="C284" s="11">
        <f>IF($A284="","",MONTH($A284))</f>
        <v/>
      </c>
      <c r="D284" s="6" t="n"/>
      <c r="E284" s="6" t="n"/>
      <c r="F284" s="6" t="n"/>
      <c r="G284" s="6" t="n"/>
      <c r="H284" s="6" t="n"/>
      <c r="I284" s="8" t="n"/>
      <c r="J284" s="12">
        <f>IF($I284="","",IF($H284="U$D",$I284,IFERROR($I284/VLOOKUP($B284*100+$C284,CONFIG!$I$5:$J$60,2,FALSE),"sin cotiz")))</f>
        <v/>
      </c>
      <c r="K284" s="6" t="n"/>
      <c r="L284" s="6" t="n"/>
      <c r="M284" s="6" t="n"/>
    </row>
    <row r="285">
      <c r="A285" s="10" t="n"/>
      <c r="B285" s="11">
        <f>IF($A285="","",YEAR($A285))</f>
        <v/>
      </c>
      <c r="C285" s="11">
        <f>IF($A285="","",MONTH($A285))</f>
        <v/>
      </c>
      <c r="D285" s="6" t="n"/>
      <c r="E285" s="6" t="n"/>
      <c r="F285" s="6" t="n"/>
      <c r="G285" s="6" t="n"/>
      <c r="H285" s="6" t="n"/>
      <c r="I285" s="8" t="n"/>
      <c r="J285" s="12">
        <f>IF($I285="","",IF($H285="U$D",$I285,IFERROR($I285/VLOOKUP($B285*100+$C285,CONFIG!$I$5:$J$60,2,FALSE),"sin cotiz")))</f>
        <v/>
      </c>
      <c r="K285" s="6" t="n"/>
      <c r="L285" s="6" t="n"/>
      <c r="M285" s="6" t="n"/>
    </row>
    <row r="286">
      <c r="A286" s="10" t="n"/>
      <c r="B286" s="11">
        <f>IF($A286="","",YEAR($A286))</f>
        <v/>
      </c>
      <c r="C286" s="11">
        <f>IF($A286="","",MONTH($A286))</f>
        <v/>
      </c>
      <c r="D286" s="6" t="n"/>
      <c r="E286" s="6" t="n"/>
      <c r="F286" s="6" t="n"/>
      <c r="G286" s="6" t="n"/>
      <c r="H286" s="6" t="n"/>
      <c r="I286" s="8" t="n"/>
      <c r="J286" s="12">
        <f>IF($I286="","",IF($H286="U$D",$I286,IFERROR($I286/VLOOKUP($B286*100+$C286,CONFIG!$I$5:$J$60,2,FALSE),"sin cotiz")))</f>
        <v/>
      </c>
      <c r="K286" s="6" t="n"/>
      <c r="L286" s="6" t="n"/>
      <c r="M286" s="6" t="n"/>
    </row>
    <row r="287">
      <c r="A287" s="10" t="n"/>
      <c r="B287" s="11">
        <f>IF($A287="","",YEAR($A287))</f>
        <v/>
      </c>
      <c r="C287" s="11">
        <f>IF($A287="","",MONTH($A287))</f>
        <v/>
      </c>
      <c r="D287" s="6" t="n"/>
      <c r="E287" s="6" t="n"/>
      <c r="F287" s="6" t="n"/>
      <c r="G287" s="6" t="n"/>
      <c r="H287" s="6" t="n"/>
      <c r="I287" s="8" t="n"/>
      <c r="J287" s="12">
        <f>IF($I287="","",IF($H287="U$D",$I287,IFERROR($I287/VLOOKUP($B287*100+$C287,CONFIG!$I$5:$J$60,2,FALSE),"sin cotiz")))</f>
        <v/>
      </c>
      <c r="K287" s="6" t="n"/>
      <c r="L287" s="6" t="n"/>
      <c r="M287" s="6" t="n"/>
    </row>
    <row r="288">
      <c r="A288" s="10" t="n"/>
      <c r="B288" s="11">
        <f>IF($A288="","",YEAR($A288))</f>
        <v/>
      </c>
      <c r="C288" s="11">
        <f>IF($A288="","",MONTH($A288))</f>
        <v/>
      </c>
      <c r="D288" s="6" t="n"/>
      <c r="E288" s="6" t="n"/>
      <c r="F288" s="6" t="n"/>
      <c r="G288" s="6" t="n"/>
      <c r="H288" s="6" t="n"/>
      <c r="I288" s="8" t="n"/>
      <c r="J288" s="12">
        <f>IF($I288="","",IF($H288="U$D",$I288,IFERROR($I288/VLOOKUP($B288*100+$C288,CONFIG!$I$5:$J$60,2,FALSE),"sin cotiz")))</f>
        <v/>
      </c>
      <c r="K288" s="6" t="n"/>
      <c r="L288" s="6" t="n"/>
      <c r="M288" s="6" t="n"/>
    </row>
    <row r="289">
      <c r="A289" s="10" t="n"/>
      <c r="B289" s="11">
        <f>IF($A289="","",YEAR($A289))</f>
        <v/>
      </c>
      <c r="C289" s="11">
        <f>IF($A289="","",MONTH($A289))</f>
        <v/>
      </c>
      <c r="D289" s="6" t="n"/>
      <c r="E289" s="6" t="n"/>
      <c r="F289" s="6" t="n"/>
      <c r="G289" s="6" t="n"/>
      <c r="H289" s="6" t="n"/>
      <c r="I289" s="8" t="n"/>
      <c r="J289" s="12">
        <f>IF($I289="","",IF($H289="U$D",$I289,IFERROR($I289/VLOOKUP($B289*100+$C289,CONFIG!$I$5:$J$60,2,FALSE),"sin cotiz")))</f>
        <v/>
      </c>
      <c r="K289" s="6" t="n"/>
      <c r="L289" s="6" t="n"/>
      <c r="M289" s="6" t="n"/>
    </row>
    <row r="290">
      <c r="A290" s="10" t="n"/>
      <c r="B290" s="11">
        <f>IF($A290="","",YEAR($A290))</f>
        <v/>
      </c>
      <c r="C290" s="11">
        <f>IF($A290="","",MONTH($A290))</f>
        <v/>
      </c>
      <c r="D290" s="6" t="n"/>
      <c r="E290" s="6" t="n"/>
      <c r="F290" s="6" t="n"/>
      <c r="G290" s="6" t="n"/>
      <c r="H290" s="6" t="n"/>
      <c r="I290" s="8" t="n"/>
      <c r="J290" s="12">
        <f>IF($I290="","",IF($H290="U$D",$I290,IFERROR($I290/VLOOKUP($B290*100+$C290,CONFIG!$I$5:$J$60,2,FALSE),"sin cotiz")))</f>
        <v/>
      </c>
      <c r="K290" s="6" t="n"/>
      <c r="L290" s="6" t="n"/>
      <c r="M290" s="6" t="n"/>
    </row>
    <row r="291">
      <c r="A291" s="10" t="n"/>
      <c r="B291" s="11">
        <f>IF($A291="","",YEAR($A291))</f>
        <v/>
      </c>
      <c r="C291" s="11">
        <f>IF($A291="","",MONTH($A291))</f>
        <v/>
      </c>
      <c r="D291" s="6" t="n"/>
      <c r="E291" s="6" t="n"/>
      <c r="F291" s="6" t="n"/>
      <c r="G291" s="6" t="n"/>
      <c r="H291" s="6" t="n"/>
      <c r="I291" s="8" t="n"/>
      <c r="J291" s="12">
        <f>IF($I291="","",IF($H291="U$D",$I291,IFERROR($I291/VLOOKUP($B291*100+$C291,CONFIG!$I$5:$J$60,2,FALSE),"sin cotiz")))</f>
        <v/>
      </c>
      <c r="K291" s="6" t="n"/>
      <c r="L291" s="6" t="n"/>
      <c r="M291" s="6" t="n"/>
    </row>
    <row r="292">
      <c r="A292" s="10" t="n"/>
      <c r="B292" s="11">
        <f>IF($A292="","",YEAR($A292))</f>
        <v/>
      </c>
      <c r="C292" s="11">
        <f>IF($A292="","",MONTH($A292))</f>
        <v/>
      </c>
      <c r="D292" s="6" t="n"/>
      <c r="E292" s="6" t="n"/>
      <c r="F292" s="6" t="n"/>
      <c r="G292" s="6" t="n"/>
      <c r="H292" s="6" t="n"/>
      <c r="I292" s="8" t="n"/>
      <c r="J292" s="12">
        <f>IF($I292="","",IF($H292="U$D",$I292,IFERROR($I292/VLOOKUP($B292*100+$C292,CONFIG!$I$5:$J$60,2,FALSE),"sin cotiz")))</f>
        <v/>
      </c>
      <c r="K292" s="6" t="n"/>
      <c r="L292" s="6" t="n"/>
      <c r="M292" s="6" t="n"/>
    </row>
    <row r="293">
      <c r="A293" s="10" t="n"/>
      <c r="B293" s="11">
        <f>IF($A293="","",YEAR($A293))</f>
        <v/>
      </c>
      <c r="C293" s="11">
        <f>IF($A293="","",MONTH($A293))</f>
        <v/>
      </c>
      <c r="D293" s="6" t="n"/>
      <c r="E293" s="6" t="n"/>
      <c r="F293" s="6" t="n"/>
      <c r="G293" s="6" t="n"/>
      <c r="H293" s="6" t="n"/>
      <c r="I293" s="8" t="n"/>
      <c r="J293" s="12">
        <f>IF($I293="","",IF($H293="U$D",$I293,IFERROR($I293/VLOOKUP($B293*100+$C293,CONFIG!$I$5:$J$60,2,FALSE),"sin cotiz")))</f>
        <v/>
      </c>
      <c r="K293" s="6" t="n"/>
      <c r="L293" s="6" t="n"/>
      <c r="M293" s="6" t="n"/>
    </row>
    <row r="294">
      <c r="A294" s="10" t="n"/>
      <c r="B294" s="11">
        <f>IF($A294="","",YEAR($A294))</f>
        <v/>
      </c>
      <c r="C294" s="11">
        <f>IF($A294="","",MONTH($A294))</f>
        <v/>
      </c>
      <c r="D294" s="6" t="n"/>
      <c r="E294" s="6" t="n"/>
      <c r="F294" s="6" t="n"/>
      <c r="G294" s="6" t="n"/>
      <c r="H294" s="6" t="n"/>
      <c r="I294" s="8" t="n"/>
      <c r="J294" s="12">
        <f>IF($I294="","",IF($H294="U$D",$I294,IFERROR($I294/VLOOKUP($B294*100+$C294,CONFIG!$I$5:$J$60,2,FALSE),"sin cotiz")))</f>
        <v/>
      </c>
      <c r="K294" s="6" t="n"/>
      <c r="L294" s="6" t="n"/>
      <c r="M294" s="6" t="n"/>
    </row>
    <row r="295">
      <c r="A295" s="10" t="n"/>
      <c r="B295" s="11">
        <f>IF($A295="","",YEAR($A295))</f>
        <v/>
      </c>
      <c r="C295" s="11">
        <f>IF($A295="","",MONTH($A295))</f>
        <v/>
      </c>
      <c r="D295" s="6" t="n"/>
      <c r="E295" s="6" t="n"/>
      <c r="F295" s="6" t="n"/>
      <c r="G295" s="6" t="n"/>
      <c r="H295" s="6" t="n"/>
      <c r="I295" s="8" t="n"/>
      <c r="J295" s="12">
        <f>IF($I295="","",IF($H295="U$D",$I295,IFERROR($I295/VLOOKUP($B295*100+$C295,CONFIG!$I$5:$J$60,2,FALSE),"sin cotiz")))</f>
        <v/>
      </c>
      <c r="K295" s="6" t="n"/>
      <c r="L295" s="6" t="n"/>
      <c r="M295" s="6" t="n"/>
    </row>
    <row r="296">
      <c r="A296" s="10" t="n"/>
      <c r="B296" s="11">
        <f>IF($A296="","",YEAR($A296))</f>
        <v/>
      </c>
      <c r="C296" s="11">
        <f>IF($A296="","",MONTH($A296))</f>
        <v/>
      </c>
      <c r="D296" s="6" t="n"/>
      <c r="E296" s="6" t="n"/>
      <c r="F296" s="6" t="n"/>
      <c r="G296" s="6" t="n"/>
      <c r="H296" s="6" t="n"/>
      <c r="I296" s="8" t="n"/>
      <c r="J296" s="12">
        <f>IF($I296="","",IF($H296="U$D",$I296,IFERROR($I296/VLOOKUP($B296*100+$C296,CONFIG!$I$5:$J$60,2,FALSE),"sin cotiz")))</f>
        <v/>
      </c>
      <c r="K296" s="6" t="n"/>
      <c r="L296" s="6" t="n"/>
      <c r="M296" s="6" t="n"/>
    </row>
    <row r="297">
      <c r="A297" s="10" t="n"/>
      <c r="B297" s="11">
        <f>IF($A297="","",YEAR($A297))</f>
        <v/>
      </c>
      <c r="C297" s="11">
        <f>IF($A297="","",MONTH($A297))</f>
        <v/>
      </c>
      <c r="D297" s="6" t="n"/>
      <c r="E297" s="6" t="n"/>
      <c r="F297" s="6" t="n"/>
      <c r="G297" s="6" t="n"/>
      <c r="H297" s="6" t="n"/>
      <c r="I297" s="8" t="n"/>
      <c r="J297" s="12">
        <f>IF($I297="","",IF($H297="U$D",$I297,IFERROR($I297/VLOOKUP($B297*100+$C297,CONFIG!$I$5:$J$60,2,FALSE),"sin cotiz")))</f>
        <v/>
      </c>
      <c r="K297" s="6" t="n"/>
      <c r="L297" s="6" t="n"/>
      <c r="M297" s="6" t="n"/>
    </row>
    <row r="298">
      <c r="A298" s="10" t="n"/>
      <c r="B298" s="11">
        <f>IF($A298="","",YEAR($A298))</f>
        <v/>
      </c>
      <c r="C298" s="11">
        <f>IF($A298="","",MONTH($A298))</f>
        <v/>
      </c>
      <c r="D298" s="6" t="n"/>
      <c r="E298" s="6" t="n"/>
      <c r="F298" s="6" t="n"/>
      <c r="G298" s="6" t="n"/>
      <c r="H298" s="6" t="n"/>
      <c r="I298" s="8" t="n"/>
      <c r="J298" s="12">
        <f>IF($I298="","",IF($H298="U$D",$I298,IFERROR($I298/VLOOKUP($B298*100+$C298,CONFIG!$I$5:$J$60,2,FALSE),"sin cotiz")))</f>
        <v/>
      </c>
      <c r="K298" s="6" t="n"/>
      <c r="L298" s="6" t="n"/>
      <c r="M298" s="6" t="n"/>
    </row>
    <row r="299">
      <c r="A299" s="10" t="n"/>
      <c r="B299" s="11">
        <f>IF($A299="","",YEAR($A299))</f>
        <v/>
      </c>
      <c r="C299" s="11">
        <f>IF($A299="","",MONTH($A299))</f>
        <v/>
      </c>
      <c r="D299" s="6" t="n"/>
      <c r="E299" s="6" t="n"/>
      <c r="F299" s="6" t="n"/>
      <c r="G299" s="6" t="n"/>
      <c r="H299" s="6" t="n"/>
      <c r="I299" s="8" t="n"/>
      <c r="J299" s="12">
        <f>IF($I299="","",IF($H299="U$D",$I299,IFERROR($I299/VLOOKUP($B299*100+$C299,CONFIG!$I$5:$J$60,2,FALSE),"sin cotiz")))</f>
        <v/>
      </c>
      <c r="K299" s="6" t="n"/>
      <c r="L299" s="6" t="n"/>
      <c r="M299" s="6" t="n"/>
    </row>
    <row r="300">
      <c r="A300" s="10" t="n"/>
      <c r="B300" s="11">
        <f>IF($A300="","",YEAR($A300))</f>
        <v/>
      </c>
      <c r="C300" s="11">
        <f>IF($A300="","",MONTH($A300))</f>
        <v/>
      </c>
      <c r="D300" s="6" t="n"/>
      <c r="E300" s="6" t="n"/>
      <c r="F300" s="6" t="n"/>
      <c r="G300" s="6" t="n"/>
      <c r="H300" s="6" t="n"/>
      <c r="I300" s="8" t="n"/>
      <c r="J300" s="12">
        <f>IF($I300="","",IF($H300="U$D",$I300,IFERROR($I300/VLOOKUP($B300*100+$C300,CONFIG!$I$5:$J$60,2,FALSE),"sin cotiz")))</f>
        <v/>
      </c>
      <c r="K300" s="6" t="n"/>
      <c r="L300" s="6" t="n"/>
      <c r="M300" s="6" t="n"/>
    </row>
    <row r="301">
      <c r="A301" s="10" t="n"/>
      <c r="B301" s="11">
        <f>IF($A301="","",YEAR($A301))</f>
        <v/>
      </c>
      <c r="C301" s="11">
        <f>IF($A301="","",MONTH($A301))</f>
        <v/>
      </c>
      <c r="D301" s="6" t="n"/>
      <c r="E301" s="6" t="n"/>
      <c r="F301" s="6" t="n"/>
      <c r="G301" s="6" t="n"/>
      <c r="H301" s="6" t="n"/>
      <c r="I301" s="8" t="n"/>
      <c r="J301" s="12">
        <f>IF($I301="","",IF($H301="U$D",$I301,IFERROR($I301/VLOOKUP($B301*100+$C301,CONFIG!$I$5:$J$60,2,FALSE),"sin cotiz")))</f>
        <v/>
      </c>
      <c r="K301" s="6" t="n"/>
      <c r="L301" s="6" t="n"/>
      <c r="M301" s="6" t="n"/>
    </row>
    <row r="302">
      <c r="A302" s="10" t="n"/>
      <c r="B302" s="11">
        <f>IF($A302="","",YEAR($A302))</f>
        <v/>
      </c>
      <c r="C302" s="11">
        <f>IF($A302="","",MONTH($A302))</f>
        <v/>
      </c>
      <c r="D302" s="6" t="n"/>
      <c r="E302" s="6" t="n"/>
      <c r="F302" s="6" t="n"/>
      <c r="G302" s="6" t="n"/>
      <c r="H302" s="6" t="n"/>
      <c r="I302" s="8" t="n"/>
      <c r="J302" s="12">
        <f>IF($I302="","",IF($H302="U$D",$I302,IFERROR($I302/VLOOKUP($B302*100+$C302,CONFIG!$I$5:$J$60,2,FALSE),"sin cotiz")))</f>
        <v/>
      </c>
      <c r="K302" s="6" t="n"/>
      <c r="L302" s="6" t="n"/>
      <c r="M302" s="6" t="n"/>
    </row>
    <row r="303">
      <c r="A303" s="10" t="n"/>
      <c r="B303" s="11">
        <f>IF($A303="","",YEAR($A303))</f>
        <v/>
      </c>
      <c r="C303" s="11">
        <f>IF($A303="","",MONTH($A303))</f>
        <v/>
      </c>
      <c r="D303" s="6" t="n"/>
      <c r="E303" s="6" t="n"/>
      <c r="F303" s="6" t="n"/>
      <c r="G303" s="6" t="n"/>
      <c r="H303" s="6" t="n"/>
      <c r="I303" s="8" t="n"/>
      <c r="J303" s="12">
        <f>IF($I303="","",IF($H303="U$D",$I303,IFERROR($I303/VLOOKUP($B303*100+$C303,CONFIG!$I$5:$J$60,2,FALSE),"sin cotiz")))</f>
        <v/>
      </c>
      <c r="K303" s="6" t="n"/>
      <c r="L303" s="6" t="n"/>
      <c r="M303" s="6" t="n"/>
    </row>
    <row r="304">
      <c r="A304" s="10" t="n"/>
      <c r="B304" s="11">
        <f>IF($A304="","",YEAR($A304))</f>
        <v/>
      </c>
      <c r="C304" s="11">
        <f>IF($A304="","",MONTH($A304))</f>
        <v/>
      </c>
      <c r="D304" s="6" t="n"/>
      <c r="E304" s="6" t="n"/>
      <c r="F304" s="6" t="n"/>
      <c r="G304" s="6" t="n"/>
      <c r="H304" s="6" t="n"/>
      <c r="I304" s="8" t="n"/>
      <c r="J304" s="12">
        <f>IF($I304="","",IF($H304="U$D",$I304,IFERROR($I304/VLOOKUP($B304*100+$C304,CONFIG!$I$5:$J$60,2,FALSE),"sin cotiz")))</f>
        <v/>
      </c>
      <c r="K304" s="6" t="n"/>
      <c r="L304" s="6" t="n"/>
      <c r="M304" s="6" t="n"/>
    </row>
    <row r="305">
      <c r="A305" s="10" t="n"/>
      <c r="B305" s="11">
        <f>IF($A305="","",YEAR($A305))</f>
        <v/>
      </c>
      <c r="C305" s="11">
        <f>IF($A305="","",MONTH($A305))</f>
        <v/>
      </c>
      <c r="D305" s="6" t="n"/>
      <c r="E305" s="6" t="n"/>
      <c r="F305" s="6" t="n"/>
      <c r="G305" s="6" t="n"/>
      <c r="H305" s="6" t="n"/>
      <c r="I305" s="8" t="n"/>
      <c r="J305" s="12">
        <f>IF($I305="","",IF($H305="U$D",$I305,IFERROR($I305/VLOOKUP($B305*100+$C305,CONFIG!$I$5:$J$60,2,FALSE),"sin cotiz")))</f>
        <v/>
      </c>
      <c r="K305" s="6" t="n"/>
      <c r="L305" s="6" t="n"/>
      <c r="M305" s="6" t="n"/>
    </row>
    <row r="306">
      <c r="A306" s="10" t="n"/>
      <c r="B306" s="11">
        <f>IF($A306="","",YEAR($A306))</f>
        <v/>
      </c>
      <c r="C306" s="11">
        <f>IF($A306="","",MONTH($A306))</f>
        <v/>
      </c>
      <c r="D306" s="6" t="n"/>
      <c r="E306" s="6" t="n"/>
      <c r="F306" s="6" t="n"/>
      <c r="G306" s="6" t="n"/>
      <c r="H306" s="6" t="n"/>
      <c r="I306" s="8" t="n"/>
      <c r="J306" s="12">
        <f>IF($I306="","",IF($H306="U$D",$I306,IFERROR($I306/VLOOKUP($B306*100+$C306,CONFIG!$I$5:$J$60,2,FALSE),"sin cotiz")))</f>
        <v/>
      </c>
      <c r="K306" s="6" t="n"/>
      <c r="L306" s="6" t="n"/>
      <c r="M306" s="6" t="n"/>
    </row>
    <row r="307">
      <c r="A307" s="10" t="n"/>
      <c r="B307" s="11">
        <f>IF($A307="","",YEAR($A307))</f>
        <v/>
      </c>
      <c r="C307" s="11">
        <f>IF($A307="","",MONTH($A307))</f>
        <v/>
      </c>
      <c r="D307" s="6" t="n"/>
      <c r="E307" s="6" t="n"/>
      <c r="F307" s="6" t="n"/>
      <c r="G307" s="6" t="n"/>
      <c r="H307" s="6" t="n"/>
      <c r="I307" s="8" t="n"/>
      <c r="J307" s="12">
        <f>IF($I307="","",IF($H307="U$D",$I307,IFERROR($I307/VLOOKUP($B307*100+$C307,CONFIG!$I$5:$J$60,2,FALSE),"sin cotiz")))</f>
        <v/>
      </c>
      <c r="K307" s="6" t="n"/>
      <c r="L307" s="6" t="n"/>
      <c r="M307" s="6" t="n"/>
    </row>
    <row r="308">
      <c r="A308" s="10" t="n"/>
      <c r="B308" s="11">
        <f>IF($A308="","",YEAR($A308))</f>
        <v/>
      </c>
      <c r="C308" s="11">
        <f>IF($A308="","",MONTH($A308))</f>
        <v/>
      </c>
      <c r="D308" s="6" t="n"/>
      <c r="E308" s="6" t="n"/>
      <c r="F308" s="6" t="n"/>
      <c r="G308" s="6" t="n"/>
      <c r="H308" s="6" t="n"/>
      <c r="I308" s="8" t="n"/>
      <c r="J308" s="12">
        <f>IF($I308="","",IF($H308="U$D",$I308,IFERROR($I308/VLOOKUP($B308*100+$C308,CONFIG!$I$5:$J$60,2,FALSE),"sin cotiz")))</f>
        <v/>
      </c>
      <c r="K308" s="6" t="n"/>
      <c r="L308" s="6" t="n"/>
      <c r="M308" s="6" t="n"/>
    </row>
    <row r="309">
      <c r="A309" s="10" t="n"/>
      <c r="B309" s="11">
        <f>IF($A309="","",YEAR($A309))</f>
        <v/>
      </c>
      <c r="C309" s="11">
        <f>IF($A309="","",MONTH($A309))</f>
        <v/>
      </c>
      <c r="D309" s="6" t="n"/>
      <c r="E309" s="6" t="n"/>
      <c r="F309" s="6" t="n"/>
      <c r="G309" s="6" t="n"/>
      <c r="H309" s="6" t="n"/>
      <c r="I309" s="8" t="n"/>
      <c r="J309" s="12">
        <f>IF($I309="","",IF($H309="U$D",$I309,IFERROR($I309/VLOOKUP($B309*100+$C309,CONFIG!$I$5:$J$60,2,FALSE),"sin cotiz")))</f>
        <v/>
      </c>
      <c r="K309" s="6" t="n"/>
      <c r="L309" s="6" t="n"/>
      <c r="M309" s="6" t="n"/>
    </row>
    <row r="310">
      <c r="A310" s="10" t="n"/>
      <c r="B310" s="11">
        <f>IF($A310="","",YEAR($A310))</f>
        <v/>
      </c>
      <c r="C310" s="11">
        <f>IF($A310="","",MONTH($A310))</f>
        <v/>
      </c>
      <c r="D310" s="6" t="n"/>
      <c r="E310" s="6" t="n"/>
      <c r="F310" s="6" t="n"/>
      <c r="G310" s="6" t="n"/>
      <c r="H310" s="6" t="n"/>
      <c r="I310" s="8" t="n"/>
      <c r="J310" s="12">
        <f>IF($I310="","",IF($H310="U$D",$I310,IFERROR($I310/VLOOKUP($B310*100+$C310,CONFIG!$I$5:$J$60,2,FALSE),"sin cotiz")))</f>
        <v/>
      </c>
      <c r="K310" s="6" t="n"/>
      <c r="L310" s="6" t="n"/>
      <c r="M310" s="6" t="n"/>
    </row>
    <row r="311">
      <c r="A311" s="10" t="n"/>
      <c r="B311" s="11">
        <f>IF($A311="","",YEAR($A311))</f>
        <v/>
      </c>
      <c r="C311" s="11">
        <f>IF($A311="","",MONTH($A311))</f>
        <v/>
      </c>
      <c r="D311" s="6" t="n"/>
      <c r="E311" s="6" t="n"/>
      <c r="F311" s="6" t="n"/>
      <c r="G311" s="6" t="n"/>
      <c r="H311" s="6" t="n"/>
      <c r="I311" s="8" t="n"/>
      <c r="J311" s="12">
        <f>IF($I311="","",IF($H311="U$D",$I311,IFERROR($I311/VLOOKUP($B311*100+$C311,CONFIG!$I$5:$J$60,2,FALSE),"sin cotiz")))</f>
        <v/>
      </c>
      <c r="K311" s="6" t="n"/>
      <c r="L311" s="6" t="n"/>
      <c r="M311" s="6" t="n"/>
    </row>
    <row r="312">
      <c r="A312" s="10" t="n"/>
      <c r="B312" s="11">
        <f>IF($A312="","",YEAR($A312))</f>
        <v/>
      </c>
      <c r="C312" s="11">
        <f>IF($A312="","",MONTH($A312))</f>
        <v/>
      </c>
      <c r="D312" s="6" t="n"/>
      <c r="E312" s="6" t="n"/>
      <c r="F312" s="6" t="n"/>
      <c r="G312" s="6" t="n"/>
      <c r="H312" s="6" t="n"/>
      <c r="I312" s="8" t="n"/>
      <c r="J312" s="12">
        <f>IF($I312="","",IF($H312="U$D",$I312,IFERROR($I312/VLOOKUP($B312*100+$C312,CONFIG!$I$5:$J$60,2,FALSE),"sin cotiz")))</f>
        <v/>
      </c>
      <c r="K312" s="6" t="n"/>
      <c r="L312" s="6" t="n"/>
      <c r="M312" s="6" t="n"/>
    </row>
    <row r="313">
      <c r="A313" s="10" t="n"/>
      <c r="B313" s="11">
        <f>IF($A313="","",YEAR($A313))</f>
        <v/>
      </c>
      <c r="C313" s="11">
        <f>IF($A313="","",MONTH($A313))</f>
        <v/>
      </c>
      <c r="D313" s="6" t="n"/>
      <c r="E313" s="6" t="n"/>
      <c r="F313" s="6" t="n"/>
      <c r="G313" s="6" t="n"/>
      <c r="H313" s="6" t="n"/>
      <c r="I313" s="8" t="n"/>
      <c r="J313" s="12">
        <f>IF($I313="","",IF($H313="U$D",$I313,IFERROR($I313/VLOOKUP($B313*100+$C313,CONFIG!$I$5:$J$60,2,FALSE),"sin cotiz")))</f>
        <v/>
      </c>
      <c r="K313" s="6" t="n"/>
      <c r="L313" s="6" t="n"/>
      <c r="M313" s="6" t="n"/>
    </row>
    <row r="314">
      <c r="A314" s="10" t="n"/>
      <c r="B314" s="11">
        <f>IF($A314="","",YEAR($A314))</f>
        <v/>
      </c>
      <c r="C314" s="11">
        <f>IF($A314="","",MONTH($A314))</f>
        <v/>
      </c>
      <c r="D314" s="6" t="n"/>
      <c r="E314" s="6" t="n"/>
      <c r="F314" s="6" t="n"/>
      <c r="G314" s="6" t="n"/>
      <c r="H314" s="6" t="n"/>
      <c r="I314" s="8" t="n"/>
      <c r="J314" s="12">
        <f>IF($I314="","",IF($H314="U$D",$I314,IFERROR($I314/VLOOKUP($B314*100+$C314,CONFIG!$I$5:$J$60,2,FALSE),"sin cotiz")))</f>
        <v/>
      </c>
      <c r="K314" s="6" t="n"/>
      <c r="L314" s="6" t="n"/>
      <c r="M314" s="6" t="n"/>
    </row>
    <row r="315">
      <c r="A315" s="10" t="n"/>
      <c r="B315" s="11">
        <f>IF($A315="","",YEAR($A315))</f>
        <v/>
      </c>
      <c r="C315" s="11">
        <f>IF($A315="","",MONTH($A315))</f>
        <v/>
      </c>
      <c r="D315" s="6" t="n"/>
      <c r="E315" s="6" t="n"/>
      <c r="F315" s="6" t="n"/>
      <c r="G315" s="6" t="n"/>
      <c r="H315" s="6" t="n"/>
      <c r="I315" s="8" t="n"/>
      <c r="J315" s="12">
        <f>IF($I315="","",IF($H315="U$D",$I315,IFERROR($I315/VLOOKUP($B315*100+$C315,CONFIG!$I$5:$J$60,2,FALSE),"sin cotiz")))</f>
        <v/>
      </c>
      <c r="K315" s="6" t="n"/>
      <c r="L315" s="6" t="n"/>
      <c r="M315" s="6" t="n"/>
    </row>
    <row r="316">
      <c r="A316" s="10" t="n"/>
      <c r="B316" s="11">
        <f>IF($A316="","",YEAR($A316))</f>
        <v/>
      </c>
      <c r="C316" s="11">
        <f>IF($A316="","",MONTH($A316))</f>
        <v/>
      </c>
      <c r="D316" s="6" t="n"/>
      <c r="E316" s="6" t="n"/>
      <c r="F316" s="6" t="n"/>
      <c r="G316" s="6" t="n"/>
      <c r="H316" s="6" t="n"/>
      <c r="I316" s="8" t="n"/>
      <c r="J316" s="12">
        <f>IF($I316="","",IF($H316="U$D",$I316,IFERROR($I316/VLOOKUP($B316*100+$C316,CONFIG!$I$5:$J$60,2,FALSE),"sin cotiz")))</f>
        <v/>
      </c>
      <c r="K316" s="6" t="n"/>
      <c r="L316" s="6" t="n"/>
      <c r="M316" s="6" t="n"/>
    </row>
    <row r="317">
      <c r="A317" s="10" t="n"/>
      <c r="B317" s="11">
        <f>IF($A317="","",YEAR($A317))</f>
        <v/>
      </c>
      <c r="C317" s="11">
        <f>IF($A317="","",MONTH($A317))</f>
        <v/>
      </c>
      <c r="D317" s="6" t="n"/>
      <c r="E317" s="6" t="n"/>
      <c r="F317" s="6" t="n"/>
      <c r="G317" s="6" t="n"/>
      <c r="H317" s="6" t="n"/>
      <c r="I317" s="8" t="n"/>
      <c r="J317" s="12">
        <f>IF($I317="","",IF($H317="U$D",$I317,IFERROR($I317/VLOOKUP($B317*100+$C317,CONFIG!$I$5:$J$60,2,FALSE),"sin cotiz")))</f>
        <v/>
      </c>
      <c r="K317" s="6" t="n"/>
      <c r="L317" s="6" t="n"/>
      <c r="M317" s="6" t="n"/>
    </row>
    <row r="318">
      <c r="A318" s="10" t="n"/>
      <c r="B318" s="11">
        <f>IF($A318="","",YEAR($A318))</f>
        <v/>
      </c>
      <c r="C318" s="11">
        <f>IF($A318="","",MONTH($A318))</f>
        <v/>
      </c>
      <c r="D318" s="6" t="n"/>
      <c r="E318" s="6" t="n"/>
      <c r="F318" s="6" t="n"/>
      <c r="G318" s="6" t="n"/>
      <c r="H318" s="6" t="n"/>
      <c r="I318" s="8" t="n"/>
      <c r="J318" s="12">
        <f>IF($I318="","",IF($H318="U$D",$I318,IFERROR($I318/VLOOKUP($B318*100+$C318,CONFIG!$I$5:$J$60,2,FALSE),"sin cotiz")))</f>
        <v/>
      </c>
      <c r="K318" s="6" t="n"/>
      <c r="L318" s="6" t="n"/>
      <c r="M318" s="6" t="n"/>
    </row>
    <row r="319">
      <c r="A319" s="10" t="n"/>
      <c r="B319" s="11">
        <f>IF($A319="","",YEAR($A319))</f>
        <v/>
      </c>
      <c r="C319" s="11">
        <f>IF($A319="","",MONTH($A319))</f>
        <v/>
      </c>
      <c r="D319" s="6" t="n"/>
      <c r="E319" s="6" t="n"/>
      <c r="F319" s="6" t="n"/>
      <c r="G319" s="6" t="n"/>
      <c r="H319" s="6" t="n"/>
      <c r="I319" s="8" t="n"/>
      <c r="J319" s="12">
        <f>IF($I319="","",IF($H319="U$D",$I319,IFERROR($I319/VLOOKUP($B319*100+$C319,CONFIG!$I$5:$J$60,2,FALSE),"sin cotiz")))</f>
        <v/>
      </c>
      <c r="K319" s="6" t="n"/>
      <c r="L319" s="6" t="n"/>
      <c r="M319" s="6" t="n"/>
    </row>
    <row r="320">
      <c r="A320" s="10" t="n"/>
      <c r="B320" s="11">
        <f>IF($A320="","",YEAR($A320))</f>
        <v/>
      </c>
      <c r="C320" s="11">
        <f>IF($A320="","",MONTH($A320))</f>
        <v/>
      </c>
      <c r="D320" s="6" t="n"/>
      <c r="E320" s="6" t="n"/>
      <c r="F320" s="6" t="n"/>
      <c r="G320" s="6" t="n"/>
      <c r="H320" s="6" t="n"/>
      <c r="I320" s="8" t="n"/>
      <c r="J320" s="12">
        <f>IF($I320="","",IF($H320="U$D",$I320,IFERROR($I320/VLOOKUP($B320*100+$C320,CONFIG!$I$5:$J$60,2,FALSE),"sin cotiz")))</f>
        <v/>
      </c>
      <c r="K320" s="6" t="n"/>
      <c r="L320" s="6" t="n"/>
      <c r="M320" s="6" t="n"/>
    </row>
    <row r="321">
      <c r="A321" s="10" t="n"/>
      <c r="B321" s="11">
        <f>IF($A321="","",YEAR($A321))</f>
        <v/>
      </c>
      <c r="C321" s="11">
        <f>IF($A321="","",MONTH($A321))</f>
        <v/>
      </c>
      <c r="D321" s="6" t="n"/>
      <c r="E321" s="6" t="n"/>
      <c r="F321" s="6" t="n"/>
      <c r="G321" s="6" t="n"/>
      <c r="H321" s="6" t="n"/>
      <c r="I321" s="8" t="n"/>
      <c r="J321" s="12">
        <f>IF($I321="","",IF($H321="U$D",$I321,IFERROR($I321/VLOOKUP($B321*100+$C321,CONFIG!$I$5:$J$60,2,FALSE),"sin cotiz")))</f>
        <v/>
      </c>
      <c r="K321" s="6" t="n"/>
      <c r="L321" s="6" t="n"/>
      <c r="M321" s="6" t="n"/>
    </row>
    <row r="322">
      <c r="A322" s="10" t="n"/>
      <c r="B322" s="11">
        <f>IF($A322="","",YEAR($A322))</f>
        <v/>
      </c>
      <c r="C322" s="11">
        <f>IF($A322="","",MONTH($A322))</f>
        <v/>
      </c>
      <c r="D322" s="6" t="n"/>
      <c r="E322" s="6" t="n"/>
      <c r="F322" s="6" t="n"/>
      <c r="G322" s="6" t="n"/>
      <c r="H322" s="6" t="n"/>
      <c r="I322" s="8" t="n"/>
      <c r="J322" s="12">
        <f>IF($I322="","",IF($H322="U$D",$I322,IFERROR($I322/VLOOKUP($B322*100+$C322,CONFIG!$I$5:$J$60,2,FALSE),"sin cotiz")))</f>
        <v/>
      </c>
      <c r="K322" s="6" t="n"/>
      <c r="L322" s="6" t="n"/>
      <c r="M322" s="6" t="n"/>
    </row>
    <row r="323">
      <c r="A323" s="10" t="n"/>
      <c r="B323" s="11">
        <f>IF($A323="","",YEAR($A323))</f>
        <v/>
      </c>
      <c r="C323" s="11">
        <f>IF($A323="","",MONTH($A323))</f>
        <v/>
      </c>
      <c r="D323" s="6" t="n"/>
      <c r="E323" s="6" t="n"/>
      <c r="F323" s="6" t="n"/>
      <c r="G323" s="6" t="n"/>
      <c r="H323" s="6" t="n"/>
      <c r="I323" s="8" t="n"/>
      <c r="J323" s="12">
        <f>IF($I323="","",IF($H323="U$D",$I323,IFERROR($I323/VLOOKUP($B323*100+$C323,CONFIG!$I$5:$J$60,2,FALSE),"sin cotiz")))</f>
        <v/>
      </c>
      <c r="K323" s="6" t="n"/>
      <c r="L323" s="6" t="n"/>
      <c r="M323" s="6" t="n"/>
    </row>
    <row r="324">
      <c r="A324" s="10" t="n"/>
      <c r="B324" s="11">
        <f>IF($A324="","",YEAR($A324))</f>
        <v/>
      </c>
      <c r="C324" s="11">
        <f>IF($A324="","",MONTH($A324))</f>
        <v/>
      </c>
      <c r="D324" s="6" t="n"/>
      <c r="E324" s="6" t="n"/>
      <c r="F324" s="6" t="n"/>
      <c r="G324" s="6" t="n"/>
      <c r="H324" s="6" t="n"/>
      <c r="I324" s="8" t="n"/>
      <c r="J324" s="12">
        <f>IF($I324="","",IF($H324="U$D",$I324,IFERROR($I324/VLOOKUP($B324*100+$C324,CONFIG!$I$5:$J$60,2,FALSE),"sin cotiz")))</f>
        <v/>
      </c>
      <c r="K324" s="6" t="n"/>
      <c r="L324" s="6" t="n"/>
      <c r="M324" s="6" t="n"/>
    </row>
    <row r="325">
      <c r="A325" s="10" t="n"/>
      <c r="B325" s="11">
        <f>IF($A325="","",YEAR($A325))</f>
        <v/>
      </c>
      <c r="C325" s="11">
        <f>IF($A325="","",MONTH($A325))</f>
        <v/>
      </c>
      <c r="D325" s="6" t="n"/>
      <c r="E325" s="6" t="n"/>
      <c r="F325" s="6" t="n"/>
      <c r="G325" s="6" t="n"/>
      <c r="H325" s="6" t="n"/>
      <c r="I325" s="8" t="n"/>
      <c r="J325" s="12">
        <f>IF($I325="","",IF($H325="U$D",$I325,IFERROR($I325/VLOOKUP($B325*100+$C325,CONFIG!$I$5:$J$60,2,FALSE),"sin cotiz")))</f>
        <v/>
      </c>
      <c r="K325" s="6" t="n"/>
      <c r="L325" s="6" t="n"/>
      <c r="M325" s="6" t="n"/>
    </row>
    <row r="326">
      <c r="A326" s="10" t="n"/>
      <c r="B326" s="11">
        <f>IF($A326="","",YEAR($A326))</f>
        <v/>
      </c>
      <c r="C326" s="11">
        <f>IF($A326="","",MONTH($A326))</f>
        <v/>
      </c>
      <c r="D326" s="6" t="n"/>
      <c r="E326" s="6" t="n"/>
      <c r="F326" s="6" t="n"/>
      <c r="G326" s="6" t="n"/>
      <c r="H326" s="6" t="n"/>
      <c r="I326" s="8" t="n"/>
      <c r="J326" s="12">
        <f>IF($I326="","",IF($H326="U$D",$I326,IFERROR($I326/VLOOKUP($B326*100+$C326,CONFIG!$I$5:$J$60,2,FALSE),"sin cotiz")))</f>
        <v/>
      </c>
      <c r="K326" s="6" t="n"/>
      <c r="L326" s="6" t="n"/>
      <c r="M326" s="6" t="n"/>
    </row>
    <row r="327">
      <c r="A327" s="10" t="n"/>
      <c r="B327" s="11">
        <f>IF($A327="","",YEAR($A327))</f>
        <v/>
      </c>
      <c r="C327" s="11">
        <f>IF($A327="","",MONTH($A327))</f>
        <v/>
      </c>
      <c r="D327" s="6" t="n"/>
      <c r="E327" s="6" t="n"/>
      <c r="F327" s="6" t="n"/>
      <c r="G327" s="6" t="n"/>
      <c r="H327" s="6" t="n"/>
      <c r="I327" s="8" t="n"/>
      <c r="J327" s="12">
        <f>IF($I327="","",IF($H327="U$D",$I327,IFERROR($I327/VLOOKUP($B327*100+$C327,CONFIG!$I$5:$J$60,2,FALSE),"sin cotiz")))</f>
        <v/>
      </c>
      <c r="K327" s="6" t="n"/>
      <c r="L327" s="6" t="n"/>
      <c r="M327" s="6" t="n"/>
    </row>
    <row r="328">
      <c r="A328" s="10" t="n"/>
      <c r="B328" s="11">
        <f>IF($A328="","",YEAR($A328))</f>
        <v/>
      </c>
      <c r="C328" s="11">
        <f>IF($A328="","",MONTH($A328))</f>
        <v/>
      </c>
      <c r="D328" s="6" t="n"/>
      <c r="E328" s="6" t="n"/>
      <c r="F328" s="6" t="n"/>
      <c r="G328" s="6" t="n"/>
      <c r="H328" s="6" t="n"/>
      <c r="I328" s="8" t="n"/>
      <c r="J328" s="12">
        <f>IF($I328="","",IF($H328="U$D",$I328,IFERROR($I328/VLOOKUP($B328*100+$C328,CONFIG!$I$5:$J$60,2,FALSE),"sin cotiz")))</f>
        <v/>
      </c>
      <c r="K328" s="6" t="n"/>
      <c r="L328" s="6" t="n"/>
      <c r="M328" s="6" t="n"/>
    </row>
    <row r="329">
      <c r="A329" s="10" t="n"/>
      <c r="B329" s="11">
        <f>IF($A329="","",YEAR($A329))</f>
        <v/>
      </c>
      <c r="C329" s="11">
        <f>IF($A329="","",MONTH($A329))</f>
        <v/>
      </c>
      <c r="D329" s="6" t="n"/>
      <c r="E329" s="6" t="n"/>
      <c r="F329" s="6" t="n"/>
      <c r="G329" s="6" t="n"/>
      <c r="H329" s="6" t="n"/>
      <c r="I329" s="8" t="n"/>
      <c r="J329" s="12">
        <f>IF($I329="","",IF($H329="U$D",$I329,IFERROR($I329/VLOOKUP($B329*100+$C329,CONFIG!$I$5:$J$60,2,FALSE),"sin cotiz")))</f>
        <v/>
      </c>
      <c r="K329" s="6" t="n"/>
      <c r="L329" s="6" t="n"/>
      <c r="M329" s="6" t="n"/>
    </row>
    <row r="330">
      <c r="A330" s="10" t="n"/>
      <c r="B330" s="11">
        <f>IF($A330="","",YEAR($A330))</f>
        <v/>
      </c>
      <c r="C330" s="11">
        <f>IF($A330="","",MONTH($A330))</f>
        <v/>
      </c>
      <c r="D330" s="6" t="n"/>
      <c r="E330" s="6" t="n"/>
      <c r="F330" s="6" t="n"/>
      <c r="G330" s="6" t="n"/>
      <c r="H330" s="6" t="n"/>
      <c r="I330" s="8" t="n"/>
      <c r="J330" s="12">
        <f>IF($I330="","",IF($H330="U$D",$I330,IFERROR($I330/VLOOKUP($B330*100+$C330,CONFIG!$I$5:$J$60,2,FALSE),"sin cotiz")))</f>
        <v/>
      </c>
      <c r="K330" s="6" t="n"/>
      <c r="L330" s="6" t="n"/>
      <c r="M330" s="6" t="n"/>
    </row>
    <row r="331">
      <c r="A331" s="10" t="n"/>
      <c r="B331" s="11">
        <f>IF($A331="","",YEAR($A331))</f>
        <v/>
      </c>
      <c r="C331" s="11">
        <f>IF($A331="","",MONTH($A331))</f>
        <v/>
      </c>
      <c r="D331" s="6" t="n"/>
      <c r="E331" s="6" t="n"/>
      <c r="F331" s="6" t="n"/>
      <c r="G331" s="6" t="n"/>
      <c r="H331" s="6" t="n"/>
      <c r="I331" s="8" t="n"/>
      <c r="J331" s="12">
        <f>IF($I331="","",IF($H331="U$D",$I331,IFERROR($I331/VLOOKUP($B331*100+$C331,CONFIG!$I$5:$J$60,2,FALSE),"sin cotiz")))</f>
        <v/>
      </c>
      <c r="K331" s="6" t="n"/>
      <c r="L331" s="6" t="n"/>
      <c r="M331" s="6" t="n"/>
    </row>
    <row r="332">
      <c r="A332" s="10" t="n"/>
      <c r="B332" s="11">
        <f>IF($A332="","",YEAR($A332))</f>
        <v/>
      </c>
      <c r="C332" s="11">
        <f>IF($A332="","",MONTH($A332))</f>
        <v/>
      </c>
      <c r="D332" s="6" t="n"/>
      <c r="E332" s="6" t="n"/>
      <c r="F332" s="6" t="n"/>
      <c r="G332" s="6" t="n"/>
      <c r="H332" s="6" t="n"/>
      <c r="I332" s="8" t="n"/>
      <c r="J332" s="12">
        <f>IF($I332="","",IF($H332="U$D",$I332,IFERROR($I332/VLOOKUP($B332*100+$C332,CONFIG!$I$5:$J$60,2,FALSE),"sin cotiz")))</f>
        <v/>
      </c>
      <c r="K332" s="6" t="n"/>
      <c r="L332" s="6" t="n"/>
      <c r="M332" s="6" t="n"/>
    </row>
    <row r="333">
      <c r="A333" s="10" t="n"/>
      <c r="B333" s="11">
        <f>IF($A333="","",YEAR($A333))</f>
        <v/>
      </c>
      <c r="C333" s="11">
        <f>IF($A333="","",MONTH($A333))</f>
        <v/>
      </c>
      <c r="D333" s="6" t="n"/>
      <c r="E333" s="6" t="n"/>
      <c r="F333" s="6" t="n"/>
      <c r="G333" s="6" t="n"/>
      <c r="H333" s="6" t="n"/>
      <c r="I333" s="8" t="n"/>
      <c r="J333" s="12">
        <f>IF($I333="","",IF($H333="U$D",$I333,IFERROR($I333/VLOOKUP($B333*100+$C333,CONFIG!$I$5:$J$60,2,FALSE),"sin cotiz")))</f>
        <v/>
      </c>
      <c r="K333" s="6" t="n"/>
      <c r="L333" s="6" t="n"/>
      <c r="M333" s="6" t="n"/>
    </row>
    <row r="334">
      <c r="A334" s="10" t="n"/>
      <c r="B334" s="11">
        <f>IF($A334="","",YEAR($A334))</f>
        <v/>
      </c>
      <c r="C334" s="11">
        <f>IF($A334="","",MONTH($A334))</f>
        <v/>
      </c>
      <c r="D334" s="6" t="n"/>
      <c r="E334" s="6" t="n"/>
      <c r="F334" s="6" t="n"/>
      <c r="G334" s="6" t="n"/>
      <c r="H334" s="6" t="n"/>
      <c r="I334" s="8" t="n"/>
      <c r="J334" s="12">
        <f>IF($I334="","",IF($H334="U$D",$I334,IFERROR($I334/VLOOKUP($B334*100+$C334,CONFIG!$I$5:$J$60,2,FALSE),"sin cotiz")))</f>
        <v/>
      </c>
      <c r="K334" s="6" t="n"/>
      <c r="L334" s="6" t="n"/>
      <c r="M334" s="6" t="n"/>
    </row>
    <row r="335">
      <c r="A335" s="10" t="n"/>
      <c r="B335" s="11">
        <f>IF($A335="","",YEAR($A335))</f>
        <v/>
      </c>
      <c r="C335" s="11">
        <f>IF($A335="","",MONTH($A335))</f>
        <v/>
      </c>
      <c r="D335" s="6" t="n"/>
      <c r="E335" s="6" t="n"/>
      <c r="F335" s="6" t="n"/>
      <c r="G335" s="6" t="n"/>
      <c r="H335" s="6" t="n"/>
      <c r="I335" s="8" t="n"/>
      <c r="J335" s="12">
        <f>IF($I335="","",IF($H335="U$D",$I335,IFERROR($I335/VLOOKUP($B335*100+$C335,CONFIG!$I$5:$J$60,2,FALSE),"sin cotiz")))</f>
        <v/>
      </c>
      <c r="K335" s="6" t="n"/>
      <c r="L335" s="6" t="n"/>
      <c r="M335" s="6" t="n"/>
    </row>
    <row r="336">
      <c r="A336" s="10" t="n"/>
      <c r="B336" s="11">
        <f>IF($A336="","",YEAR($A336))</f>
        <v/>
      </c>
      <c r="C336" s="11">
        <f>IF($A336="","",MONTH($A336))</f>
        <v/>
      </c>
      <c r="D336" s="6" t="n"/>
      <c r="E336" s="6" t="n"/>
      <c r="F336" s="6" t="n"/>
      <c r="G336" s="6" t="n"/>
      <c r="H336" s="6" t="n"/>
      <c r="I336" s="8" t="n"/>
      <c r="J336" s="12">
        <f>IF($I336="","",IF($H336="U$D",$I336,IFERROR($I336/VLOOKUP($B336*100+$C336,CONFIG!$I$5:$J$60,2,FALSE),"sin cotiz")))</f>
        <v/>
      </c>
      <c r="K336" s="6" t="n"/>
      <c r="L336" s="6" t="n"/>
      <c r="M336" s="6" t="n"/>
    </row>
    <row r="337">
      <c r="A337" s="10" t="n"/>
      <c r="B337" s="11">
        <f>IF($A337="","",YEAR($A337))</f>
        <v/>
      </c>
      <c r="C337" s="11">
        <f>IF($A337="","",MONTH($A337))</f>
        <v/>
      </c>
      <c r="D337" s="6" t="n"/>
      <c r="E337" s="6" t="n"/>
      <c r="F337" s="6" t="n"/>
      <c r="G337" s="6" t="n"/>
      <c r="H337" s="6" t="n"/>
      <c r="I337" s="8" t="n"/>
      <c r="J337" s="12">
        <f>IF($I337="","",IF($H337="U$D",$I337,IFERROR($I337/VLOOKUP($B337*100+$C337,CONFIG!$I$5:$J$60,2,FALSE),"sin cotiz")))</f>
        <v/>
      </c>
      <c r="K337" s="6" t="n"/>
      <c r="L337" s="6" t="n"/>
      <c r="M337" s="6" t="n"/>
    </row>
    <row r="338">
      <c r="A338" s="10" t="n"/>
      <c r="B338" s="11">
        <f>IF($A338="","",YEAR($A338))</f>
        <v/>
      </c>
      <c r="C338" s="11">
        <f>IF($A338="","",MONTH($A338))</f>
        <v/>
      </c>
      <c r="D338" s="6" t="n"/>
      <c r="E338" s="6" t="n"/>
      <c r="F338" s="6" t="n"/>
      <c r="G338" s="6" t="n"/>
      <c r="H338" s="6" t="n"/>
      <c r="I338" s="8" t="n"/>
      <c r="J338" s="12">
        <f>IF($I338="","",IF($H338="U$D",$I338,IFERROR($I338/VLOOKUP($B338*100+$C338,CONFIG!$I$5:$J$60,2,FALSE),"sin cotiz")))</f>
        <v/>
      </c>
      <c r="K338" s="6" t="n"/>
      <c r="L338" s="6" t="n"/>
      <c r="M338" s="6" t="n"/>
    </row>
    <row r="339">
      <c r="A339" s="10" t="n"/>
      <c r="B339" s="11">
        <f>IF($A339="","",YEAR($A339))</f>
        <v/>
      </c>
      <c r="C339" s="11">
        <f>IF($A339="","",MONTH($A339))</f>
        <v/>
      </c>
      <c r="D339" s="6" t="n"/>
      <c r="E339" s="6" t="n"/>
      <c r="F339" s="6" t="n"/>
      <c r="G339" s="6" t="n"/>
      <c r="H339" s="6" t="n"/>
      <c r="I339" s="8" t="n"/>
      <c r="J339" s="12">
        <f>IF($I339="","",IF($H339="U$D",$I339,IFERROR($I339/VLOOKUP($B339*100+$C339,CONFIG!$I$5:$J$60,2,FALSE),"sin cotiz")))</f>
        <v/>
      </c>
      <c r="K339" s="6" t="n"/>
      <c r="L339" s="6" t="n"/>
      <c r="M339" s="6" t="n"/>
    </row>
    <row r="340">
      <c r="A340" s="10" t="n"/>
      <c r="B340" s="11">
        <f>IF($A340="","",YEAR($A340))</f>
        <v/>
      </c>
      <c r="C340" s="11">
        <f>IF($A340="","",MONTH($A340))</f>
        <v/>
      </c>
      <c r="D340" s="6" t="n"/>
      <c r="E340" s="6" t="n"/>
      <c r="F340" s="6" t="n"/>
      <c r="G340" s="6" t="n"/>
      <c r="H340" s="6" t="n"/>
      <c r="I340" s="8" t="n"/>
      <c r="J340" s="12">
        <f>IF($I340="","",IF($H340="U$D",$I340,IFERROR($I340/VLOOKUP($B340*100+$C340,CONFIG!$I$5:$J$60,2,FALSE),"sin cotiz")))</f>
        <v/>
      </c>
      <c r="K340" s="6" t="n"/>
      <c r="L340" s="6" t="n"/>
      <c r="M340" s="6" t="n"/>
    </row>
    <row r="341">
      <c r="A341" s="10" t="n"/>
      <c r="B341" s="11">
        <f>IF($A341="","",YEAR($A341))</f>
        <v/>
      </c>
      <c r="C341" s="11">
        <f>IF($A341="","",MONTH($A341))</f>
        <v/>
      </c>
      <c r="D341" s="6" t="n"/>
      <c r="E341" s="6" t="n"/>
      <c r="F341" s="6" t="n"/>
      <c r="G341" s="6" t="n"/>
      <c r="H341" s="6" t="n"/>
      <c r="I341" s="8" t="n"/>
      <c r="J341" s="12">
        <f>IF($I341="","",IF($H341="U$D",$I341,IFERROR($I341/VLOOKUP($B341*100+$C341,CONFIG!$I$5:$J$60,2,FALSE),"sin cotiz")))</f>
        <v/>
      </c>
      <c r="K341" s="6" t="n"/>
      <c r="L341" s="6" t="n"/>
      <c r="M341" s="6" t="n"/>
    </row>
    <row r="342">
      <c r="A342" s="10" t="n"/>
      <c r="B342" s="11">
        <f>IF($A342="","",YEAR($A342))</f>
        <v/>
      </c>
      <c r="C342" s="11">
        <f>IF($A342="","",MONTH($A342))</f>
        <v/>
      </c>
      <c r="D342" s="6" t="n"/>
      <c r="E342" s="6" t="n"/>
      <c r="F342" s="6" t="n"/>
      <c r="G342" s="6" t="n"/>
      <c r="H342" s="6" t="n"/>
      <c r="I342" s="8" t="n"/>
      <c r="J342" s="12">
        <f>IF($I342="","",IF($H342="U$D",$I342,IFERROR($I342/VLOOKUP($B342*100+$C342,CONFIG!$I$5:$J$60,2,FALSE),"sin cotiz")))</f>
        <v/>
      </c>
      <c r="K342" s="6" t="n"/>
      <c r="L342" s="6" t="n"/>
      <c r="M342" s="6" t="n"/>
    </row>
    <row r="343">
      <c r="A343" s="10" t="n"/>
      <c r="B343" s="11">
        <f>IF($A343="","",YEAR($A343))</f>
        <v/>
      </c>
      <c r="C343" s="11">
        <f>IF($A343="","",MONTH($A343))</f>
        <v/>
      </c>
      <c r="D343" s="6" t="n"/>
      <c r="E343" s="6" t="n"/>
      <c r="F343" s="6" t="n"/>
      <c r="G343" s="6" t="n"/>
      <c r="H343" s="6" t="n"/>
      <c r="I343" s="8" t="n"/>
      <c r="J343" s="12">
        <f>IF($I343="","",IF($H343="U$D",$I343,IFERROR($I343/VLOOKUP($B343*100+$C343,CONFIG!$I$5:$J$60,2,FALSE),"sin cotiz")))</f>
        <v/>
      </c>
      <c r="K343" s="6" t="n"/>
      <c r="L343" s="6" t="n"/>
      <c r="M343" s="6" t="n"/>
    </row>
    <row r="344">
      <c r="A344" s="10" t="n"/>
      <c r="B344" s="11">
        <f>IF($A344="","",YEAR($A344))</f>
        <v/>
      </c>
      <c r="C344" s="11">
        <f>IF($A344="","",MONTH($A344))</f>
        <v/>
      </c>
      <c r="D344" s="6" t="n"/>
      <c r="E344" s="6" t="n"/>
      <c r="F344" s="6" t="n"/>
      <c r="G344" s="6" t="n"/>
      <c r="H344" s="6" t="n"/>
      <c r="I344" s="8" t="n"/>
      <c r="J344" s="12">
        <f>IF($I344="","",IF($H344="U$D",$I344,IFERROR($I344/VLOOKUP($B344*100+$C344,CONFIG!$I$5:$J$60,2,FALSE),"sin cotiz")))</f>
        <v/>
      </c>
      <c r="K344" s="6" t="n"/>
      <c r="L344" s="6" t="n"/>
      <c r="M344" s="6" t="n"/>
    </row>
    <row r="345">
      <c r="A345" s="10" t="n"/>
      <c r="B345" s="11">
        <f>IF($A345="","",YEAR($A345))</f>
        <v/>
      </c>
      <c r="C345" s="11">
        <f>IF($A345="","",MONTH($A345))</f>
        <v/>
      </c>
      <c r="D345" s="6" t="n"/>
      <c r="E345" s="6" t="n"/>
      <c r="F345" s="6" t="n"/>
      <c r="G345" s="6" t="n"/>
      <c r="H345" s="6" t="n"/>
      <c r="I345" s="8" t="n"/>
      <c r="J345" s="12">
        <f>IF($I345="","",IF($H345="U$D",$I345,IFERROR($I345/VLOOKUP($B345*100+$C345,CONFIG!$I$5:$J$60,2,FALSE),"sin cotiz")))</f>
        <v/>
      </c>
      <c r="K345" s="6" t="n"/>
      <c r="L345" s="6" t="n"/>
      <c r="M345" s="6" t="n"/>
    </row>
    <row r="346">
      <c r="A346" s="10" t="n"/>
      <c r="B346" s="11">
        <f>IF($A346="","",YEAR($A346))</f>
        <v/>
      </c>
      <c r="C346" s="11">
        <f>IF($A346="","",MONTH($A346))</f>
        <v/>
      </c>
      <c r="D346" s="6" t="n"/>
      <c r="E346" s="6" t="n"/>
      <c r="F346" s="6" t="n"/>
      <c r="G346" s="6" t="n"/>
      <c r="H346" s="6" t="n"/>
      <c r="I346" s="8" t="n"/>
      <c r="J346" s="12">
        <f>IF($I346="","",IF($H346="U$D",$I346,IFERROR($I346/VLOOKUP($B346*100+$C346,CONFIG!$I$5:$J$60,2,FALSE),"sin cotiz")))</f>
        <v/>
      </c>
      <c r="K346" s="6" t="n"/>
      <c r="L346" s="6" t="n"/>
      <c r="M346" s="6" t="n"/>
    </row>
    <row r="347">
      <c r="A347" s="10" t="n"/>
      <c r="B347" s="11">
        <f>IF($A347="","",YEAR($A347))</f>
        <v/>
      </c>
      <c r="C347" s="11">
        <f>IF($A347="","",MONTH($A347))</f>
        <v/>
      </c>
      <c r="D347" s="6" t="n"/>
      <c r="E347" s="6" t="n"/>
      <c r="F347" s="6" t="n"/>
      <c r="G347" s="6" t="n"/>
      <c r="H347" s="6" t="n"/>
      <c r="I347" s="8" t="n"/>
      <c r="J347" s="12">
        <f>IF($I347="","",IF($H347="U$D",$I347,IFERROR($I347/VLOOKUP($B347*100+$C347,CONFIG!$I$5:$J$60,2,FALSE),"sin cotiz")))</f>
        <v/>
      </c>
      <c r="K347" s="6" t="n"/>
      <c r="L347" s="6" t="n"/>
      <c r="M347" s="6" t="n"/>
    </row>
    <row r="348">
      <c r="A348" s="10" t="n"/>
      <c r="B348" s="11">
        <f>IF($A348="","",YEAR($A348))</f>
        <v/>
      </c>
      <c r="C348" s="11">
        <f>IF($A348="","",MONTH($A348))</f>
        <v/>
      </c>
      <c r="D348" s="6" t="n"/>
      <c r="E348" s="6" t="n"/>
      <c r="F348" s="6" t="n"/>
      <c r="G348" s="6" t="n"/>
      <c r="H348" s="6" t="n"/>
      <c r="I348" s="8" t="n"/>
      <c r="J348" s="12">
        <f>IF($I348="","",IF($H348="U$D",$I348,IFERROR($I348/VLOOKUP($B348*100+$C348,CONFIG!$I$5:$J$60,2,FALSE),"sin cotiz")))</f>
        <v/>
      </c>
      <c r="K348" s="6" t="n"/>
      <c r="L348" s="6" t="n"/>
      <c r="M348" s="6" t="n"/>
    </row>
    <row r="349">
      <c r="A349" s="10" t="n"/>
      <c r="B349" s="11">
        <f>IF($A349="","",YEAR($A349))</f>
        <v/>
      </c>
      <c r="C349" s="11">
        <f>IF($A349="","",MONTH($A349))</f>
        <v/>
      </c>
      <c r="D349" s="6" t="n"/>
      <c r="E349" s="6" t="n"/>
      <c r="F349" s="6" t="n"/>
      <c r="G349" s="6" t="n"/>
      <c r="H349" s="6" t="n"/>
      <c r="I349" s="8" t="n"/>
      <c r="J349" s="12">
        <f>IF($I349="","",IF($H349="U$D",$I349,IFERROR($I349/VLOOKUP($B349*100+$C349,CONFIG!$I$5:$J$60,2,FALSE),"sin cotiz")))</f>
        <v/>
      </c>
      <c r="K349" s="6" t="n"/>
      <c r="L349" s="6" t="n"/>
      <c r="M349" s="6" t="n"/>
    </row>
    <row r="350">
      <c r="A350" s="10" t="n"/>
      <c r="B350" s="11">
        <f>IF($A350="","",YEAR($A350))</f>
        <v/>
      </c>
      <c r="C350" s="11">
        <f>IF($A350="","",MONTH($A350))</f>
        <v/>
      </c>
      <c r="D350" s="6" t="n"/>
      <c r="E350" s="6" t="n"/>
      <c r="F350" s="6" t="n"/>
      <c r="G350" s="6" t="n"/>
      <c r="H350" s="6" t="n"/>
      <c r="I350" s="8" t="n"/>
      <c r="J350" s="12">
        <f>IF($I350="","",IF($H350="U$D",$I350,IFERROR($I350/VLOOKUP($B350*100+$C350,CONFIG!$I$5:$J$60,2,FALSE),"sin cotiz")))</f>
        <v/>
      </c>
      <c r="K350" s="6" t="n"/>
      <c r="L350" s="6" t="n"/>
      <c r="M350" s="6" t="n"/>
    </row>
    <row r="351">
      <c r="A351" s="10" t="n"/>
      <c r="B351" s="11">
        <f>IF($A351="","",YEAR($A351))</f>
        <v/>
      </c>
      <c r="C351" s="11">
        <f>IF($A351="","",MONTH($A351))</f>
        <v/>
      </c>
      <c r="D351" s="6" t="n"/>
      <c r="E351" s="6" t="n"/>
      <c r="F351" s="6" t="n"/>
      <c r="G351" s="6" t="n"/>
      <c r="H351" s="6" t="n"/>
      <c r="I351" s="8" t="n"/>
      <c r="J351" s="12">
        <f>IF($I351="","",IF($H351="U$D",$I351,IFERROR($I351/VLOOKUP($B351*100+$C351,CONFIG!$I$5:$J$60,2,FALSE),"sin cotiz")))</f>
        <v/>
      </c>
      <c r="K351" s="6" t="n"/>
      <c r="L351" s="6" t="n"/>
      <c r="M351" s="6" t="n"/>
    </row>
    <row r="352">
      <c r="A352" s="10" t="n"/>
      <c r="B352" s="11">
        <f>IF($A352="","",YEAR($A352))</f>
        <v/>
      </c>
      <c r="C352" s="11">
        <f>IF($A352="","",MONTH($A352))</f>
        <v/>
      </c>
      <c r="D352" s="6" t="n"/>
      <c r="E352" s="6" t="n"/>
      <c r="F352" s="6" t="n"/>
      <c r="G352" s="6" t="n"/>
      <c r="H352" s="6" t="n"/>
      <c r="I352" s="8" t="n"/>
      <c r="J352" s="12">
        <f>IF($I352="","",IF($H352="U$D",$I352,IFERROR($I352/VLOOKUP($B352*100+$C352,CONFIG!$I$5:$J$60,2,FALSE),"sin cotiz")))</f>
        <v/>
      </c>
      <c r="K352" s="6" t="n"/>
      <c r="L352" s="6" t="n"/>
      <c r="M352" s="6" t="n"/>
    </row>
    <row r="353">
      <c r="A353" s="10" t="n"/>
      <c r="B353" s="11">
        <f>IF($A353="","",YEAR($A353))</f>
        <v/>
      </c>
      <c r="C353" s="11">
        <f>IF($A353="","",MONTH($A353))</f>
        <v/>
      </c>
      <c r="D353" s="6" t="n"/>
      <c r="E353" s="6" t="n"/>
      <c r="F353" s="6" t="n"/>
      <c r="G353" s="6" t="n"/>
      <c r="H353" s="6" t="n"/>
      <c r="I353" s="8" t="n"/>
      <c r="J353" s="12">
        <f>IF($I353="","",IF($H353="U$D",$I353,IFERROR($I353/VLOOKUP($B353*100+$C353,CONFIG!$I$5:$J$60,2,FALSE),"sin cotiz")))</f>
        <v/>
      </c>
      <c r="K353" s="6" t="n"/>
      <c r="L353" s="6" t="n"/>
      <c r="M353" s="6" t="n"/>
    </row>
    <row r="354">
      <c r="A354" s="10" t="n"/>
      <c r="B354" s="11">
        <f>IF($A354="","",YEAR($A354))</f>
        <v/>
      </c>
      <c r="C354" s="11">
        <f>IF($A354="","",MONTH($A354))</f>
        <v/>
      </c>
      <c r="D354" s="6" t="n"/>
      <c r="E354" s="6" t="n"/>
      <c r="F354" s="6" t="n"/>
      <c r="G354" s="6" t="n"/>
      <c r="H354" s="6" t="n"/>
      <c r="I354" s="8" t="n"/>
      <c r="J354" s="12">
        <f>IF($I354="","",IF($H354="U$D",$I354,IFERROR($I354/VLOOKUP($B354*100+$C354,CONFIG!$I$5:$J$60,2,FALSE),"sin cotiz")))</f>
        <v/>
      </c>
      <c r="K354" s="6" t="n"/>
      <c r="L354" s="6" t="n"/>
      <c r="M354" s="6" t="n"/>
    </row>
    <row r="355">
      <c r="A355" s="10" t="n"/>
      <c r="B355" s="11">
        <f>IF($A355="","",YEAR($A355))</f>
        <v/>
      </c>
      <c r="C355" s="11">
        <f>IF($A355="","",MONTH($A355))</f>
        <v/>
      </c>
      <c r="D355" s="6" t="n"/>
      <c r="E355" s="6" t="n"/>
      <c r="F355" s="6" t="n"/>
      <c r="G355" s="6" t="n"/>
      <c r="H355" s="6" t="n"/>
      <c r="I355" s="8" t="n"/>
      <c r="J355" s="12">
        <f>IF($I355="","",IF($H355="U$D",$I355,IFERROR($I355/VLOOKUP($B355*100+$C355,CONFIG!$I$5:$J$60,2,FALSE),"sin cotiz")))</f>
        <v/>
      </c>
      <c r="K355" s="6" t="n"/>
      <c r="L355" s="6" t="n"/>
      <c r="M355" s="6" t="n"/>
    </row>
    <row r="356">
      <c r="A356" s="10" t="n"/>
      <c r="B356" s="11">
        <f>IF($A356="","",YEAR($A356))</f>
        <v/>
      </c>
      <c r="C356" s="11">
        <f>IF($A356="","",MONTH($A356))</f>
        <v/>
      </c>
      <c r="D356" s="6" t="n"/>
      <c r="E356" s="6" t="n"/>
      <c r="F356" s="6" t="n"/>
      <c r="G356" s="6" t="n"/>
      <c r="H356" s="6" t="n"/>
      <c r="I356" s="8" t="n"/>
      <c r="J356" s="12">
        <f>IF($I356="","",IF($H356="U$D",$I356,IFERROR($I356/VLOOKUP($B356*100+$C356,CONFIG!$I$5:$J$60,2,FALSE),"sin cotiz")))</f>
        <v/>
      </c>
      <c r="K356" s="6" t="n"/>
      <c r="L356" s="6" t="n"/>
      <c r="M356" s="6" t="n"/>
    </row>
    <row r="357">
      <c r="A357" s="10" t="n"/>
      <c r="B357" s="11">
        <f>IF($A357="","",YEAR($A357))</f>
        <v/>
      </c>
      <c r="C357" s="11">
        <f>IF($A357="","",MONTH($A357))</f>
        <v/>
      </c>
      <c r="D357" s="6" t="n"/>
      <c r="E357" s="6" t="n"/>
      <c r="F357" s="6" t="n"/>
      <c r="G357" s="6" t="n"/>
      <c r="H357" s="6" t="n"/>
      <c r="I357" s="8" t="n"/>
      <c r="J357" s="12">
        <f>IF($I357="","",IF($H357="U$D",$I357,IFERROR($I357/VLOOKUP($B357*100+$C357,CONFIG!$I$5:$J$60,2,FALSE),"sin cotiz")))</f>
        <v/>
      </c>
      <c r="K357" s="6" t="n"/>
      <c r="L357" s="6" t="n"/>
      <c r="M357" s="6" t="n"/>
    </row>
    <row r="358">
      <c r="A358" s="10" t="n"/>
      <c r="B358" s="11">
        <f>IF($A358="","",YEAR($A358))</f>
        <v/>
      </c>
      <c r="C358" s="11">
        <f>IF($A358="","",MONTH($A358))</f>
        <v/>
      </c>
      <c r="D358" s="6" t="n"/>
      <c r="E358" s="6" t="n"/>
      <c r="F358" s="6" t="n"/>
      <c r="G358" s="6" t="n"/>
      <c r="H358" s="6" t="n"/>
      <c r="I358" s="8" t="n"/>
      <c r="J358" s="12">
        <f>IF($I358="","",IF($H358="U$D",$I358,IFERROR($I358/VLOOKUP($B358*100+$C358,CONFIG!$I$5:$J$60,2,FALSE),"sin cotiz")))</f>
        <v/>
      </c>
      <c r="K358" s="6" t="n"/>
      <c r="L358" s="6" t="n"/>
      <c r="M358" s="6" t="n"/>
    </row>
    <row r="359">
      <c r="A359" s="10" t="n"/>
      <c r="B359" s="11">
        <f>IF($A359="","",YEAR($A359))</f>
        <v/>
      </c>
      <c r="C359" s="11">
        <f>IF($A359="","",MONTH($A359))</f>
        <v/>
      </c>
      <c r="D359" s="6" t="n"/>
      <c r="E359" s="6" t="n"/>
      <c r="F359" s="6" t="n"/>
      <c r="G359" s="6" t="n"/>
      <c r="H359" s="6" t="n"/>
      <c r="I359" s="8" t="n"/>
      <c r="J359" s="12">
        <f>IF($I359="","",IF($H359="U$D",$I359,IFERROR($I359/VLOOKUP($B359*100+$C359,CONFIG!$I$5:$J$60,2,FALSE),"sin cotiz")))</f>
        <v/>
      </c>
      <c r="K359" s="6" t="n"/>
      <c r="L359" s="6" t="n"/>
      <c r="M359" s="6" t="n"/>
    </row>
    <row r="360">
      <c r="A360" s="10" t="n"/>
      <c r="B360" s="11">
        <f>IF($A360="","",YEAR($A360))</f>
        <v/>
      </c>
      <c r="C360" s="11">
        <f>IF($A360="","",MONTH($A360))</f>
        <v/>
      </c>
      <c r="D360" s="6" t="n"/>
      <c r="E360" s="6" t="n"/>
      <c r="F360" s="6" t="n"/>
      <c r="G360" s="6" t="n"/>
      <c r="H360" s="6" t="n"/>
      <c r="I360" s="8" t="n"/>
      <c r="J360" s="12">
        <f>IF($I360="","",IF($H360="U$D",$I360,IFERROR($I360/VLOOKUP($B360*100+$C360,CONFIG!$I$5:$J$60,2,FALSE),"sin cotiz")))</f>
        <v/>
      </c>
      <c r="K360" s="6" t="n"/>
      <c r="L360" s="6" t="n"/>
      <c r="M360" s="6" t="n"/>
    </row>
    <row r="361">
      <c r="A361" s="10" t="n"/>
      <c r="B361" s="11">
        <f>IF($A361="","",YEAR($A361))</f>
        <v/>
      </c>
      <c r="C361" s="11">
        <f>IF($A361="","",MONTH($A361))</f>
        <v/>
      </c>
      <c r="D361" s="6" t="n"/>
      <c r="E361" s="6" t="n"/>
      <c r="F361" s="6" t="n"/>
      <c r="G361" s="6" t="n"/>
      <c r="H361" s="6" t="n"/>
      <c r="I361" s="8" t="n"/>
      <c r="J361" s="12">
        <f>IF($I361="","",IF($H361="U$D",$I361,IFERROR($I361/VLOOKUP($B361*100+$C361,CONFIG!$I$5:$J$60,2,FALSE),"sin cotiz")))</f>
        <v/>
      </c>
      <c r="K361" s="6" t="n"/>
      <c r="L361" s="6" t="n"/>
      <c r="M361" s="6" t="n"/>
    </row>
    <row r="362">
      <c r="A362" s="10" t="n"/>
      <c r="B362" s="11">
        <f>IF($A362="","",YEAR($A362))</f>
        <v/>
      </c>
      <c r="C362" s="11">
        <f>IF($A362="","",MONTH($A362))</f>
        <v/>
      </c>
      <c r="D362" s="6" t="n"/>
      <c r="E362" s="6" t="n"/>
      <c r="F362" s="6" t="n"/>
      <c r="G362" s="6" t="n"/>
      <c r="H362" s="6" t="n"/>
      <c r="I362" s="8" t="n"/>
      <c r="J362" s="12">
        <f>IF($I362="","",IF($H362="U$D",$I362,IFERROR($I362/VLOOKUP($B362*100+$C362,CONFIG!$I$5:$J$60,2,FALSE),"sin cotiz")))</f>
        <v/>
      </c>
      <c r="K362" s="6" t="n"/>
      <c r="L362" s="6" t="n"/>
      <c r="M362" s="6" t="n"/>
    </row>
    <row r="363">
      <c r="A363" s="10" t="n"/>
      <c r="B363" s="11">
        <f>IF($A363="","",YEAR($A363))</f>
        <v/>
      </c>
      <c r="C363" s="11">
        <f>IF($A363="","",MONTH($A363))</f>
        <v/>
      </c>
      <c r="D363" s="6" t="n"/>
      <c r="E363" s="6" t="n"/>
      <c r="F363" s="6" t="n"/>
      <c r="G363" s="6" t="n"/>
      <c r="H363" s="6" t="n"/>
      <c r="I363" s="8" t="n"/>
      <c r="J363" s="12">
        <f>IF($I363="","",IF($H363="U$D",$I363,IFERROR($I363/VLOOKUP($B363*100+$C363,CONFIG!$I$5:$J$60,2,FALSE),"sin cotiz")))</f>
        <v/>
      </c>
      <c r="K363" s="6" t="n"/>
      <c r="L363" s="6" t="n"/>
      <c r="M363" s="6" t="n"/>
    </row>
    <row r="364">
      <c r="A364" s="10" t="n"/>
      <c r="B364" s="11">
        <f>IF($A364="","",YEAR($A364))</f>
        <v/>
      </c>
      <c r="C364" s="11">
        <f>IF($A364="","",MONTH($A364))</f>
        <v/>
      </c>
      <c r="D364" s="6" t="n"/>
      <c r="E364" s="6" t="n"/>
      <c r="F364" s="6" t="n"/>
      <c r="G364" s="6" t="n"/>
      <c r="H364" s="6" t="n"/>
      <c r="I364" s="8" t="n"/>
      <c r="J364" s="12">
        <f>IF($I364="","",IF($H364="U$D",$I364,IFERROR($I364/VLOOKUP($B364*100+$C364,CONFIG!$I$5:$J$60,2,FALSE),"sin cotiz")))</f>
        <v/>
      </c>
      <c r="K364" s="6" t="n"/>
      <c r="L364" s="6" t="n"/>
      <c r="M364" s="6" t="n"/>
    </row>
    <row r="365">
      <c r="A365" s="10" t="n"/>
      <c r="B365" s="11">
        <f>IF($A365="","",YEAR($A365))</f>
        <v/>
      </c>
      <c r="C365" s="11">
        <f>IF($A365="","",MONTH($A365))</f>
        <v/>
      </c>
      <c r="D365" s="6" t="n"/>
      <c r="E365" s="6" t="n"/>
      <c r="F365" s="6" t="n"/>
      <c r="G365" s="6" t="n"/>
      <c r="H365" s="6" t="n"/>
      <c r="I365" s="8" t="n"/>
      <c r="J365" s="12">
        <f>IF($I365="","",IF($H365="U$D",$I365,IFERROR($I365/VLOOKUP($B365*100+$C365,CONFIG!$I$5:$J$60,2,FALSE),"sin cotiz")))</f>
        <v/>
      </c>
      <c r="K365" s="6" t="n"/>
      <c r="L365" s="6" t="n"/>
      <c r="M365" s="6" t="n"/>
    </row>
    <row r="366">
      <c r="A366" s="10" t="n"/>
      <c r="B366" s="11">
        <f>IF($A366="","",YEAR($A366))</f>
        <v/>
      </c>
      <c r="C366" s="11">
        <f>IF($A366="","",MONTH($A366))</f>
        <v/>
      </c>
      <c r="D366" s="6" t="n"/>
      <c r="E366" s="6" t="n"/>
      <c r="F366" s="6" t="n"/>
      <c r="G366" s="6" t="n"/>
      <c r="H366" s="6" t="n"/>
      <c r="I366" s="8" t="n"/>
      <c r="J366" s="12">
        <f>IF($I366="","",IF($H366="U$D",$I366,IFERROR($I366/VLOOKUP($B366*100+$C366,CONFIG!$I$5:$J$60,2,FALSE),"sin cotiz")))</f>
        <v/>
      </c>
      <c r="K366" s="6" t="n"/>
      <c r="L366" s="6" t="n"/>
      <c r="M366" s="6" t="n"/>
    </row>
    <row r="367">
      <c r="A367" s="10" t="n"/>
      <c r="B367" s="11">
        <f>IF($A367="","",YEAR($A367))</f>
        <v/>
      </c>
      <c r="C367" s="11">
        <f>IF($A367="","",MONTH($A367))</f>
        <v/>
      </c>
      <c r="D367" s="6" t="n"/>
      <c r="E367" s="6" t="n"/>
      <c r="F367" s="6" t="n"/>
      <c r="G367" s="6" t="n"/>
      <c r="H367" s="6" t="n"/>
      <c r="I367" s="8" t="n"/>
      <c r="J367" s="12">
        <f>IF($I367="","",IF($H367="U$D",$I367,IFERROR($I367/VLOOKUP($B367*100+$C367,CONFIG!$I$5:$J$60,2,FALSE),"sin cotiz")))</f>
        <v/>
      </c>
      <c r="K367" s="6" t="n"/>
      <c r="L367" s="6" t="n"/>
      <c r="M367" s="6" t="n"/>
    </row>
    <row r="368">
      <c r="A368" s="10" t="n"/>
      <c r="B368" s="11">
        <f>IF($A368="","",YEAR($A368))</f>
        <v/>
      </c>
      <c r="C368" s="11">
        <f>IF($A368="","",MONTH($A368))</f>
        <v/>
      </c>
      <c r="D368" s="6" t="n"/>
      <c r="E368" s="6" t="n"/>
      <c r="F368" s="6" t="n"/>
      <c r="G368" s="6" t="n"/>
      <c r="H368" s="6" t="n"/>
      <c r="I368" s="8" t="n"/>
      <c r="J368" s="12">
        <f>IF($I368="","",IF($H368="U$D",$I368,IFERROR($I368/VLOOKUP($B368*100+$C368,CONFIG!$I$5:$J$60,2,FALSE),"sin cotiz")))</f>
        <v/>
      </c>
      <c r="K368" s="6" t="n"/>
      <c r="L368" s="6" t="n"/>
      <c r="M368" s="6" t="n"/>
    </row>
    <row r="369">
      <c r="A369" s="10" t="n"/>
      <c r="B369" s="11">
        <f>IF($A369="","",YEAR($A369))</f>
        <v/>
      </c>
      <c r="C369" s="11">
        <f>IF($A369="","",MONTH($A369))</f>
        <v/>
      </c>
      <c r="D369" s="6" t="n"/>
      <c r="E369" s="6" t="n"/>
      <c r="F369" s="6" t="n"/>
      <c r="G369" s="6" t="n"/>
      <c r="H369" s="6" t="n"/>
      <c r="I369" s="8" t="n"/>
      <c r="J369" s="12">
        <f>IF($I369="","",IF($H369="U$D",$I369,IFERROR($I369/VLOOKUP($B369*100+$C369,CONFIG!$I$5:$J$60,2,FALSE),"sin cotiz")))</f>
        <v/>
      </c>
      <c r="K369" s="6" t="n"/>
      <c r="L369" s="6" t="n"/>
      <c r="M369" s="6" t="n"/>
    </row>
    <row r="370">
      <c r="A370" s="10" t="n"/>
      <c r="B370" s="11">
        <f>IF($A370="","",YEAR($A370))</f>
        <v/>
      </c>
      <c r="C370" s="11">
        <f>IF($A370="","",MONTH($A370))</f>
        <v/>
      </c>
      <c r="D370" s="6" t="n"/>
      <c r="E370" s="6" t="n"/>
      <c r="F370" s="6" t="n"/>
      <c r="G370" s="6" t="n"/>
      <c r="H370" s="6" t="n"/>
      <c r="I370" s="8" t="n"/>
      <c r="J370" s="12">
        <f>IF($I370="","",IF($H370="U$D",$I370,IFERROR($I370/VLOOKUP($B370*100+$C370,CONFIG!$I$5:$J$60,2,FALSE),"sin cotiz")))</f>
        <v/>
      </c>
      <c r="K370" s="6" t="n"/>
      <c r="L370" s="6" t="n"/>
      <c r="M370" s="6" t="n"/>
    </row>
    <row r="371">
      <c r="A371" s="10" t="n"/>
      <c r="B371" s="11">
        <f>IF($A371="","",YEAR($A371))</f>
        <v/>
      </c>
      <c r="C371" s="11">
        <f>IF($A371="","",MONTH($A371))</f>
        <v/>
      </c>
      <c r="D371" s="6" t="n"/>
      <c r="E371" s="6" t="n"/>
      <c r="F371" s="6" t="n"/>
      <c r="G371" s="6" t="n"/>
      <c r="H371" s="6" t="n"/>
      <c r="I371" s="8" t="n"/>
      <c r="J371" s="12">
        <f>IF($I371="","",IF($H371="U$D",$I371,IFERROR($I371/VLOOKUP($B371*100+$C371,CONFIG!$I$5:$J$60,2,FALSE),"sin cotiz")))</f>
        <v/>
      </c>
      <c r="K371" s="6" t="n"/>
      <c r="L371" s="6" t="n"/>
      <c r="M371" s="6" t="n"/>
    </row>
    <row r="372">
      <c r="A372" s="10" t="n"/>
      <c r="B372" s="11">
        <f>IF($A372="","",YEAR($A372))</f>
        <v/>
      </c>
      <c r="C372" s="11">
        <f>IF($A372="","",MONTH($A372))</f>
        <v/>
      </c>
      <c r="D372" s="6" t="n"/>
      <c r="E372" s="6" t="n"/>
      <c r="F372" s="6" t="n"/>
      <c r="G372" s="6" t="n"/>
      <c r="H372" s="6" t="n"/>
      <c r="I372" s="8" t="n"/>
      <c r="J372" s="12">
        <f>IF($I372="","",IF($H372="U$D",$I372,IFERROR($I372/VLOOKUP($B372*100+$C372,CONFIG!$I$5:$J$60,2,FALSE),"sin cotiz")))</f>
        <v/>
      </c>
      <c r="K372" s="6" t="n"/>
      <c r="L372" s="6" t="n"/>
      <c r="M372" s="6" t="n"/>
    </row>
    <row r="373">
      <c r="A373" s="10" t="n"/>
      <c r="B373" s="11">
        <f>IF($A373="","",YEAR($A373))</f>
        <v/>
      </c>
      <c r="C373" s="11">
        <f>IF($A373="","",MONTH($A373))</f>
        <v/>
      </c>
      <c r="D373" s="6" t="n"/>
      <c r="E373" s="6" t="n"/>
      <c r="F373" s="6" t="n"/>
      <c r="G373" s="6" t="n"/>
      <c r="H373" s="6" t="n"/>
      <c r="I373" s="8" t="n"/>
      <c r="J373" s="12">
        <f>IF($I373="","",IF($H373="U$D",$I373,IFERROR($I373/VLOOKUP($B373*100+$C373,CONFIG!$I$5:$J$60,2,FALSE),"sin cotiz")))</f>
        <v/>
      </c>
      <c r="K373" s="6" t="n"/>
      <c r="L373" s="6" t="n"/>
      <c r="M373" s="6" t="n"/>
    </row>
    <row r="374">
      <c r="A374" s="10" t="n"/>
      <c r="B374" s="11">
        <f>IF($A374="","",YEAR($A374))</f>
        <v/>
      </c>
      <c r="C374" s="11">
        <f>IF($A374="","",MONTH($A374))</f>
        <v/>
      </c>
      <c r="D374" s="6" t="n"/>
      <c r="E374" s="6" t="n"/>
      <c r="F374" s="6" t="n"/>
      <c r="G374" s="6" t="n"/>
      <c r="H374" s="6" t="n"/>
      <c r="I374" s="8" t="n"/>
      <c r="J374" s="12">
        <f>IF($I374="","",IF($H374="U$D",$I374,IFERROR($I374/VLOOKUP($B374*100+$C374,CONFIG!$I$5:$J$60,2,FALSE),"sin cotiz")))</f>
        <v/>
      </c>
      <c r="K374" s="6" t="n"/>
      <c r="L374" s="6" t="n"/>
      <c r="M374" s="6" t="n"/>
    </row>
    <row r="375">
      <c r="A375" s="10" t="n"/>
      <c r="B375" s="11">
        <f>IF($A375="","",YEAR($A375))</f>
        <v/>
      </c>
      <c r="C375" s="11">
        <f>IF($A375="","",MONTH($A375))</f>
        <v/>
      </c>
      <c r="D375" s="6" t="n"/>
      <c r="E375" s="6" t="n"/>
      <c r="F375" s="6" t="n"/>
      <c r="G375" s="6" t="n"/>
      <c r="H375" s="6" t="n"/>
      <c r="I375" s="8" t="n"/>
      <c r="J375" s="12">
        <f>IF($I375="","",IF($H375="U$D",$I375,IFERROR($I375/VLOOKUP($B375*100+$C375,CONFIG!$I$5:$J$60,2,FALSE),"sin cotiz")))</f>
        <v/>
      </c>
      <c r="K375" s="6" t="n"/>
      <c r="L375" s="6" t="n"/>
      <c r="M375" s="6" t="n"/>
    </row>
    <row r="376">
      <c r="A376" s="10" t="n"/>
      <c r="B376" s="11">
        <f>IF($A376="","",YEAR($A376))</f>
        <v/>
      </c>
      <c r="C376" s="11">
        <f>IF($A376="","",MONTH($A376))</f>
        <v/>
      </c>
      <c r="D376" s="6" t="n"/>
      <c r="E376" s="6" t="n"/>
      <c r="F376" s="6" t="n"/>
      <c r="G376" s="6" t="n"/>
      <c r="H376" s="6" t="n"/>
      <c r="I376" s="8" t="n"/>
      <c r="J376" s="12">
        <f>IF($I376="","",IF($H376="U$D",$I376,IFERROR($I376/VLOOKUP($B376*100+$C376,CONFIG!$I$5:$J$60,2,FALSE),"sin cotiz")))</f>
        <v/>
      </c>
      <c r="K376" s="6" t="n"/>
      <c r="L376" s="6" t="n"/>
      <c r="M376" s="6" t="n"/>
    </row>
    <row r="377">
      <c r="A377" s="10" t="n"/>
      <c r="B377" s="11">
        <f>IF($A377="","",YEAR($A377))</f>
        <v/>
      </c>
      <c r="C377" s="11">
        <f>IF($A377="","",MONTH($A377))</f>
        <v/>
      </c>
      <c r="D377" s="6" t="n"/>
      <c r="E377" s="6" t="n"/>
      <c r="F377" s="6" t="n"/>
      <c r="G377" s="6" t="n"/>
      <c r="H377" s="6" t="n"/>
      <c r="I377" s="8" t="n"/>
      <c r="J377" s="12">
        <f>IF($I377="","",IF($H377="U$D",$I377,IFERROR($I377/VLOOKUP($B377*100+$C377,CONFIG!$I$5:$J$60,2,FALSE),"sin cotiz")))</f>
        <v/>
      </c>
      <c r="K377" s="6" t="n"/>
      <c r="L377" s="6" t="n"/>
      <c r="M377" s="6" t="n"/>
    </row>
    <row r="378">
      <c r="A378" s="10" t="n"/>
      <c r="B378" s="11">
        <f>IF($A378="","",YEAR($A378))</f>
        <v/>
      </c>
      <c r="C378" s="11">
        <f>IF($A378="","",MONTH($A378))</f>
        <v/>
      </c>
      <c r="D378" s="6" t="n"/>
      <c r="E378" s="6" t="n"/>
      <c r="F378" s="6" t="n"/>
      <c r="G378" s="6" t="n"/>
      <c r="H378" s="6" t="n"/>
      <c r="I378" s="8" t="n"/>
      <c r="J378" s="12">
        <f>IF($I378="","",IF($H378="U$D",$I378,IFERROR($I378/VLOOKUP($B378*100+$C378,CONFIG!$I$5:$J$60,2,FALSE),"sin cotiz")))</f>
        <v/>
      </c>
      <c r="K378" s="6" t="n"/>
      <c r="L378" s="6" t="n"/>
      <c r="M378" s="6" t="n"/>
    </row>
    <row r="379">
      <c r="A379" s="10" t="n"/>
      <c r="B379" s="11">
        <f>IF($A379="","",YEAR($A379))</f>
        <v/>
      </c>
      <c r="C379" s="11">
        <f>IF($A379="","",MONTH($A379))</f>
        <v/>
      </c>
      <c r="D379" s="6" t="n"/>
      <c r="E379" s="6" t="n"/>
      <c r="F379" s="6" t="n"/>
      <c r="G379" s="6" t="n"/>
      <c r="H379" s="6" t="n"/>
      <c r="I379" s="8" t="n"/>
      <c r="J379" s="12">
        <f>IF($I379="","",IF($H379="U$D",$I379,IFERROR($I379/VLOOKUP($B379*100+$C379,CONFIG!$I$5:$J$60,2,FALSE),"sin cotiz")))</f>
        <v/>
      </c>
      <c r="K379" s="6" t="n"/>
      <c r="L379" s="6" t="n"/>
      <c r="M379" s="6" t="n"/>
    </row>
    <row r="380">
      <c r="A380" s="10" t="n"/>
      <c r="B380" s="11">
        <f>IF($A380="","",YEAR($A380))</f>
        <v/>
      </c>
      <c r="C380" s="11">
        <f>IF($A380="","",MONTH($A380))</f>
        <v/>
      </c>
      <c r="D380" s="6" t="n"/>
      <c r="E380" s="6" t="n"/>
      <c r="F380" s="6" t="n"/>
      <c r="G380" s="6" t="n"/>
      <c r="H380" s="6" t="n"/>
      <c r="I380" s="8" t="n"/>
      <c r="J380" s="12">
        <f>IF($I380="","",IF($H380="U$D",$I380,IFERROR($I380/VLOOKUP($B380*100+$C380,CONFIG!$I$5:$J$60,2,FALSE),"sin cotiz")))</f>
        <v/>
      </c>
      <c r="K380" s="6" t="n"/>
      <c r="L380" s="6" t="n"/>
      <c r="M380" s="6" t="n"/>
    </row>
    <row r="381">
      <c r="A381" s="10" t="n"/>
      <c r="B381" s="11">
        <f>IF($A381="","",YEAR($A381))</f>
        <v/>
      </c>
      <c r="C381" s="11">
        <f>IF($A381="","",MONTH($A381))</f>
        <v/>
      </c>
      <c r="D381" s="6" t="n"/>
      <c r="E381" s="6" t="n"/>
      <c r="F381" s="6" t="n"/>
      <c r="G381" s="6" t="n"/>
      <c r="H381" s="6" t="n"/>
      <c r="I381" s="8" t="n"/>
      <c r="J381" s="12">
        <f>IF($I381="","",IF($H381="U$D",$I381,IFERROR($I381/VLOOKUP($B381*100+$C381,CONFIG!$I$5:$J$60,2,FALSE),"sin cotiz")))</f>
        <v/>
      </c>
      <c r="K381" s="6" t="n"/>
      <c r="L381" s="6" t="n"/>
      <c r="M381" s="6" t="n"/>
    </row>
    <row r="382">
      <c r="A382" s="10" t="n"/>
      <c r="B382" s="11">
        <f>IF($A382="","",YEAR($A382))</f>
        <v/>
      </c>
      <c r="C382" s="11">
        <f>IF($A382="","",MONTH($A382))</f>
        <v/>
      </c>
      <c r="D382" s="6" t="n"/>
      <c r="E382" s="6" t="n"/>
      <c r="F382" s="6" t="n"/>
      <c r="G382" s="6" t="n"/>
      <c r="H382" s="6" t="n"/>
      <c r="I382" s="8" t="n"/>
      <c r="J382" s="12">
        <f>IF($I382="","",IF($H382="U$D",$I382,IFERROR($I382/VLOOKUP($B382*100+$C382,CONFIG!$I$5:$J$60,2,FALSE),"sin cotiz")))</f>
        <v/>
      </c>
      <c r="K382" s="6" t="n"/>
      <c r="L382" s="6" t="n"/>
      <c r="M382" s="6" t="n"/>
    </row>
    <row r="383">
      <c r="A383" s="10" t="n"/>
      <c r="B383" s="11">
        <f>IF($A383="","",YEAR($A383))</f>
        <v/>
      </c>
      <c r="C383" s="11">
        <f>IF($A383="","",MONTH($A383))</f>
        <v/>
      </c>
      <c r="D383" s="6" t="n"/>
      <c r="E383" s="6" t="n"/>
      <c r="F383" s="6" t="n"/>
      <c r="G383" s="6" t="n"/>
      <c r="H383" s="6" t="n"/>
      <c r="I383" s="8" t="n"/>
      <c r="J383" s="12">
        <f>IF($I383="","",IF($H383="U$D",$I383,IFERROR($I383/VLOOKUP($B383*100+$C383,CONFIG!$I$5:$J$60,2,FALSE),"sin cotiz")))</f>
        <v/>
      </c>
      <c r="K383" s="6" t="n"/>
      <c r="L383" s="6" t="n"/>
      <c r="M383" s="6" t="n"/>
    </row>
    <row r="384">
      <c r="A384" s="10" t="n"/>
      <c r="B384" s="11">
        <f>IF($A384="","",YEAR($A384))</f>
        <v/>
      </c>
      <c r="C384" s="11">
        <f>IF($A384="","",MONTH($A384))</f>
        <v/>
      </c>
      <c r="D384" s="6" t="n"/>
      <c r="E384" s="6" t="n"/>
      <c r="F384" s="6" t="n"/>
      <c r="G384" s="6" t="n"/>
      <c r="H384" s="6" t="n"/>
      <c r="I384" s="8" t="n"/>
      <c r="J384" s="12">
        <f>IF($I384="","",IF($H384="U$D",$I384,IFERROR($I384/VLOOKUP($B384*100+$C384,CONFIG!$I$5:$J$60,2,FALSE),"sin cotiz")))</f>
        <v/>
      </c>
      <c r="K384" s="6" t="n"/>
      <c r="L384" s="6" t="n"/>
      <c r="M384" s="6" t="n"/>
    </row>
    <row r="385">
      <c r="A385" s="10" t="n"/>
      <c r="B385" s="11">
        <f>IF($A385="","",YEAR($A385))</f>
        <v/>
      </c>
      <c r="C385" s="11">
        <f>IF($A385="","",MONTH($A385))</f>
        <v/>
      </c>
      <c r="D385" s="6" t="n"/>
      <c r="E385" s="6" t="n"/>
      <c r="F385" s="6" t="n"/>
      <c r="G385" s="6" t="n"/>
      <c r="H385" s="6" t="n"/>
      <c r="I385" s="8" t="n"/>
      <c r="J385" s="12">
        <f>IF($I385="","",IF($H385="U$D",$I385,IFERROR($I385/VLOOKUP($B385*100+$C385,CONFIG!$I$5:$J$60,2,FALSE),"sin cotiz")))</f>
        <v/>
      </c>
      <c r="K385" s="6" t="n"/>
      <c r="L385" s="6" t="n"/>
      <c r="M385" s="6" t="n"/>
    </row>
    <row r="386">
      <c r="A386" s="10" t="n"/>
      <c r="B386" s="11">
        <f>IF($A386="","",YEAR($A386))</f>
        <v/>
      </c>
      <c r="C386" s="11">
        <f>IF($A386="","",MONTH($A386))</f>
        <v/>
      </c>
      <c r="D386" s="6" t="n"/>
      <c r="E386" s="6" t="n"/>
      <c r="F386" s="6" t="n"/>
      <c r="G386" s="6" t="n"/>
      <c r="H386" s="6" t="n"/>
      <c r="I386" s="8" t="n"/>
      <c r="J386" s="12">
        <f>IF($I386="","",IF($H386="U$D",$I386,IFERROR($I386/VLOOKUP($B386*100+$C386,CONFIG!$I$5:$J$60,2,FALSE),"sin cotiz")))</f>
        <v/>
      </c>
      <c r="K386" s="6" t="n"/>
      <c r="L386" s="6" t="n"/>
      <c r="M386" s="6" t="n"/>
    </row>
    <row r="387">
      <c r="A387" s="10" t="n"/>
      <c r="B387" s="11">
        <f>IF($A387="","",YEAR($A387))</f>
        <v/>
      </c>
      <c r="C387" s="11">
        <f>IF($A387="","",MONTH($A387))</f>
        <v/>
      </c>
      <c r="D387" s="6" t="n"/>
      <c r="E387" s="6" t="n"/>
      <c r="F387" s="6" t="n"/>
      <c r="G387" s="6" t="n"/>
      <c r="H387" s="6" t="n"/>
      <c r="I387" s="8" t="n"/>
      <c r="J387" s="12">
        <f>IF($I387="","",IF($H387="U$D",$I387,IFERROR($I387/VLOOKUP($B387*100+$C387,CONFIG!$I$5:$J$60,2,FALSE),"sin cotiz")))</f>
        <v/>
      </c>
      <c r="K387" s="6" t="n"/>
      <c r="L387" s="6" t="n"/>
      <c r="M387" s="6" t="n"/>
    </row>
    <row r="388">
      <c r="A388" s="10" t="n"/>
      <c r="B388" s="11">
        <f>IF($A388="","",YEAR($A388))</f>
        <v/>
      </c>
      <c r="C388" s="11">
        <f>IF($A388="","",MONTH($A388))</f>
        <v/>
      </c>
      <c r="D388" s="6" t="n"/>
      <c r="E388" s="6" t="n"/>
      <c r="F388" s="6" t="n"/>
      <c r="G388" s="6" t="n"/>
      <c r="H388" s="6" t="n"/>
      <c r="I388" s="8" t="n"/>
      <c r="J388" s="12">
        <f>IF($I388="","",IF($H388="U$D",$I388,IFERROR($I388/VLOOKUP($B388*100+$C388,CONFIG!$I$5:$J$60,2,FALSE),"sin cotiz")))</f>
        <v/>
      </c>
      <c r="K388" s="6" t="n"/>
      <c r="L388" s="6" t="n"/>
      <c r="M388" s="6" t="n"/>
    </row>
    <row r="389">
      <c r="A389" s="10" t="n"/>
      <c r="B389" s="11">
        <f>IF($A389="","",YEAR($A389))</f>
        <v/>
      </c>
      <c r="C389" s="11">
        <f>IF($A389="","",MONTH($A389))</f>
        <v/>
      </c>
      <c r="D389" s="6" t="n"/>
      <c r="E389" s="6" t="n"/>
      <c r="F389" s="6" t="n"/>
      <c r="G389" s="6" t="n"/>
      <c r="H389" s="6" t="n"/>
      <c r="I389" s="8" t="n"/>
      <c r="J389" s="12">
        <f>IF($I389="","",IF($H389="U$D",$I389,IFERROR($I389/VLOOKUP($B389*100+$C389,CONFIG!$I$5:$J$60,2,FALSE),"sin cotiz")))</f>
        <v/>
      </c>
      <c r="K389" s="6" t="n"/>
      <c r="L389" s="6" t="n"/>
      <c r="M389" s="6" t="n"/>
    </row>
    <row r="390">
      <c r="A390" s="10" t="n"/>
      <c r="B390" s="11">
        <f>IF($A390="","",YEAR($A390))</f>
        <v/>
      </c>
      <c r="C390" s="11">
        <f>IF($A390="","",MONTH($A390))</f>
        <v/>
      </c>
      <c r="D390" s="6" t="n"/>
      <c r="E390" s="6" t="n"/>
      <c r="F390" s="6" t="n"/>
      <c r="G390" s="6" t="n"/>
      <c r="H390" s="6" t="n"/>
      <c r="I390" s="8" t="n"/>
      <c r="J390" s="12">
        <f>IF($I390="","",IF($H390="U$D",$I390,IFERROR($I390/VLOOKUP($B390*100+$C390,CONFIG!$I$5:$J$60,2,FALSE),"sin cotiz")))</f>
        <v/>
      </c>
      <c r="K390" s="6" t="n"/>
      <c r="L390" s="6" t="n"/>
      <c r="M390" s="6" t="n"/>
    </row>
    <row r="391">
      <c r="A391" s="10" t="n"/>
      <c r="B391" s="11">
        <f>IF($A391="","",YEAR($A391))</f>
        <v/>
      </c>
      <c r="C391" s="11">
        <f>IF($A391="","",MONTH($A391))</f>
        <v/>
      </c>
      <c r="D391" s="6" t="n"/>
      <c r="E391" s="6" t="n"/>
      <c r="F391" s="6" t="n"/>
      <c r="G391" s="6" t="n"/>
      <c r="H391" s="6" t="n"/>
      <c r="I391" s="8" t="n"/>
      <c r="J391" s="12">
        <f>IF($I391="","",IF($H391="U$D",$I391,IFERROR($I391/VLOOKUP($B391*100+$C391,CONFIG!$I$5:$J$60,2,FALSE),"sin cotiz")))</f>
        <v/>
      </c>
      <c r="K391" s="6" t="n"/>
      <c r="L391" s="6" t="n"/>
      <c r="M391" s="6" t="n"/>
    </row>
    <row r="392">
      <c r="A392" s="10" t="n"/>
      <c r="B392" s="11">
        <f>IF($A392="","",YEAR($A392))</f>
        <v/>
      </c>
      <c r="C392" s="11">
        <f>IF($A392="","",MONTH($A392))</f>
        <v/>
      </c>
      <c r="D392" s="6" t="n"/>
      <c r="E392" s="6" t="n"/>
      <c r="F392" s="6" t="n"/>
      <c r="G392" s="6" t="n"/>
      <c r="H392" s="6" t="n"/>
      <c r="I392" s="8" t="n"/>
      <c r="J392" s="12">
        <f>IF($I392="","",IF($H392="U$D",$I392,IFERROR($I392/VLOOKUP($B392*100+$C392,CONFIG!$I$5:$J$60,2,FALSE),"sin cotiz")))</f>
        <v/>
      </c>
      <c r="K392" s="6" t="n"/>
      <c r="L392" s="6" t="n"/>
      <c r="M392" s="6" t="n"/>
    </row>
    <row r="393">
      <c r="A393" s="10" t="n"/>
      <c r="B393" s="11">
        <f>IF($A393="","",YEAR($A393))</f>
        <v/>
      </c>
      <c r="C393" s="11">
        <f>IF($A393="","",MONTH($A393))</f>
        <v/>
      </c>
      <c r="D393" s="6" t="n"/>
      <c r="E393" s="6" t="n"/>
      <c r="F393" s="6" t="n"/>
      <c r="G393" s="6" t="n"/>
      <c r="H393" s="6" t="n"/>
      <c r="I393" s="8" t="n"/>
      <c r="J393" s="12">
        <f>IF($I393="","",IF($H393="U$D",$I393,IFERROR($I393/VLOOKUP($B393*100+$C393,CONFIG!$I$5:$J$60,2,FALSE),"sin cotiz")))</f>
        <v/>
      </c>
      <c r="K393" s="6" t="n"/>
      <c r="L393" s="6" t="n"/>
      <c r="M393" s="6" t="n"/>
    </row>
    <row r="394">
      <c r="A394" s="10" t="n"/>
      <c r="B394" s="11">
        <f>IF($A394="","",YEAR($A394))</f>
        <v/>
      </c>
      <c r="C394" s="11">
        <f>IF($A394="","",MONTH($A394))</f>
        <v/>
      </c>
      <c r="D394" s="6" t="n"/>
      <c r="E394" s="6" t="n"/>
      <c r="F394" s="6" t="n"/>
      <c r="G394" s="6" t="n"/>
      <c r="H394" s="6" t="n"/>
      <c r="I394" s="8" t="n"/>
      <c r="J394" s="12">
        <f>IF($I394="","",IF($H394="U$D",$I394,IFERROR($I394/VLOOKUP($B394*100+$C394,CONFIG!$I$5:$J$60,2,FALSE),"sin cotiz")))</f>
        <v/>
      </c>
      <c r="K394" s="6" t="n"/>
      <c r="L394" s="6" t="n"/>
      <c r="M394" s="6" t="n"/>
    </row>
    <row r="395">
      <c r="A395" s="10" t="n"/>
      <c r="B395" s="11">
        <f>IF($A395="","",YEAR($A395))</f>
        <v/>
      </c>
      <c r="C395" s="11">
        <f>IF($A395="","",MONTH($A395))</f>
        <v/>
      </c>
      <c r="D395" s="6" t="n"/>
      <c r="E395" s="6" t="n"/>
      <c r="F395" s="6" t="n"/>
      <c r="G395" s="6" t="n"/>
      <c r="H395" s="6" t="n"/>
      <c r="I395" s="8" t="n"/>
      <c r="J395" s="12">
        <f>IF($I395="","",IF($H395="U$D",$I395,IFERROR($I395/VLOOKUP($B395*100+$C395,CONFIG!$I$5:$J$60,2,FALSE),"sin cotiz")))</f>
        <v/>
      </c>
      <c r="K395" s="6" t="n"/>
      <c r="L395" s="6" t="n"/>
      <c r="M395" s="6" t="n"/>
    </row>
    <row r="396">
      <c r="A396" s="10" t="n"/>
      <c r="B396" s="11">
        <f>IF($A396="","",YEAR($A396))</f>
        <v/>
      </c>
      <c r="C396" s="11">
        <f>IF($A396="","",MONTH($A396))</f>
        <v/>
      </c>
      <c r="D396" s="6" t="n"/>
      <c r="E396" s="6" t="n"/>
      <c r="F396" s="6" t="n"/>
      <c r="G396" s="6" t="n"/>
      <c r="H396" s="6" t="n"/>
      <c r="I396" s="8" t="n"/>
      <c r="J396" s="12">
        <f>IF($I396="","",IF($H396="U$D",$I396,IFERROR($I396/VLOOKUP($B396*100+$C396,CONFIG!$I$5:$J$60,2,FALSE),"sin cotiz")))</f>
        <v/>
      </c>
      <c r="K396" s="6" t="n"/>
      <c r="L396" s="6" t="n"/>
      <c r="M396" s="6" t="n"/>
    </row>
    <row r="397">
      <c r="A397" s="10" t="n"/>
      <c r="B397" s="11">
        <f>IF($A397="","",YEAR($A397))</f>
        <v/>
      </c>
      <c r="C397" s="11">
        <f>IF($A397="","",MONTH($A397))</f>
        <v/>
      </c>
      <c r="D397" s="6" t="n"/>
      <c r="E397" s="6" t="n"/>
      <c r="F397" s="6" t="n"/>
      <c r="G397" s="6" t="n"/>
      <c r="H397" s="6" t="n"/>
      <c r="I397" s="8" t="n"/>
      <c r="J397" s="12">
        <f>IF($I397="","",IF($H397="U$D",$I397,IFERROR($I397/VLOOKUP($B397*100+$C397,CONFIG!$I$5:$J$60,2,FALSE),"sin cotiz")))</f>
        <v/>
      </c>
      <c r="K397" s="6" t="n"/>
      <c r="L397" s="6" t="n"/>
      <c r="M397" s="6" t="n"/>
    </row>
    <row r="398">
      <c r="A398" s="10" t="n"/>
      <c r="B398" s="11">
        <f>IF($A398="","",YEAR($A398))</f>
        <v/>
      </c>
      <c r="C398" s="11">
        <f>IF($A398="","",MONTH($A398))</f>
        <v/>
      </c>
      <c r="D398" s="6" t="n"/>
      <c r="E398" s="6" t="n"/>
      <c r="F398" s="6" t="n"/>
      <c r="G398" s="6" t="n"/>
      <c r="H398" s="6" t="n"/>
      <c r="I398" s="8" t="n"/>
      <c r="J398" s="12">
        <f>IF($I398="","",IF($H398="U$D",$I398,IFERROR($I398/VLOOKUP($B398*100+$C398,CONFIG!$I$5:$J$60,2,FALSE),"sin cotiz")))</f>
        <v/>
      </c>
      <c r="K398" s="6" t="n"/>
      <c r="L398" s="6" t="n"/>
      <c r="M398" s="6" t="n"/>
    </row>
    <row r="399">
      <c r="A399" s="10" t="n"/>
      <c r="B399" s="11">
        <f>IF($A399="","",YEAR($A399))</f>
        <v/>
      </c>
      <c r="C399" s="11">
        <f>IF($A399="","",MONTH($A399))</f>
        <v/>
      </c>
      <c r="D399" s="6" t="n"/>
      <c r="E399" s="6" t="n"/>
      <c r="F399" s="6" t="n"/>
      <c r="G399" s="6" t="n"/>
      <c r="H399" s="6" t="n"/>
      <c r="I399" s="8" t="n"/>
      <c r="J399" s="12">
        <f>IF($I399="","",IF($H399="U$D",$I399,IFERROR($I399/VLOOKUP($B399*100+$C399,CONFIG!$I$5:$J$60,2,FALSE),"sin cotiz")))</f>
        <v/>
      </c>
      <c r="K399" s="6" t="n"/>
      <c r="L399" s="6" t="n"/>
      <c r="M399" s="6" t="n"/>
    </row>
    <row r="400">
      <c r="A400" s="10" t="n"/>
      <c r="B400" s="11">
        <f>IF($A400="","",YEAR($A400))</f>
        <v/>
      </c>
      <c r="C400" s="11">
        <f>IF($A400="","",MONTH($A400))</f>
        <v/>
      </c>
      <c r="D400" s="6" t="n"/>
      <c r="E400" s="6" t="n"/>
      <c r="F400" s="6" t="n"/>
      <c r="G400" s="6" t="n"/>
      <c r="H400" s="6" t="n"/>
      <c r="I400" s="8" t="n"/>
      <c r="J400" s="12">
        <f>IF($I400="","",IF($H400="U$D",$I400,IFERROR($I400/VLOOKUP($B400*100+$C400,CONFIG!$I$5:$J$60,2,FALSE),"sin cotiz")))</f>
        <v/>
      </c>
      <c r="K400" s="6" t="n"/>
      <c r="L400" s="6" t="n"/>
      <c r="M400" s="6" t="n"/>
    </row>
    <row r="401">
      <c r="A401" s="10" t="n"/>
      <c r="B401" s="11">
        <f>IF($A401="","",YEAR($A401))</f>
        <v/>
      </c>
      <c r="C401" s="11">
        <f>IF($A401="","",MONTH($A401))</f>
        <v/>
      </c>
      <c r="D401" s="6" t="n"/>
      <c r="E401" s="6" t="n"/>
      <c r="F401" s="6" t="n"/>
      <c r="G401" s="6" t="n"/>
      <c r="H401" s="6" t="n"/>
      <c r="I401" s="8" t="n"/>
      <c r="J401" s="12">
        <f>IF($I401="","",IF($H401="U$D",$I401,IFERROR($I401/VLOOKUP($B401*100+$C401,CONFIG!$I$5:$J$60,2,FALSE),"sin cotiz")))</f>
        <v/>
      </c>
      <c r="K401" s="6" t="n"/>
      <c r="L401" s="6" t="n"/>
      <c r="M401" s="6" t="n"/>
    </row>
    <row r="402">
      <c r="A402" s="10" t="n"/>
      <c r="B402" s="11">
        <f>IF($A402="","",YEAR($A402))</f>
        <v/>
      </c>
      <c r="C402" s="11">
        <f>IF($A402="","",MONTH($A402))</f>
        <v/>
      </c>
      <c r="D402" s="6" t="n"/>
      <c r="E402" s="6" t="n"/>
      <c r="F402" s="6" t="n"/>
      <c r="G402" s="6" t="n"/>
      <c r="H402" s="6" t="n"/>
      <c r="I402" s="8" t="n"/>
      <c r="J402" s="12">
        <f>IF($I402="","",IF($H402="U$D",$I402,IFERROR($I402/VLOOKUP($B402*100+$C402,CONFIG!$I$5:$J$60,2,FALSE),"sin cotiz")))</f>
        <v/>
      </c>
      <c r="K402" s="6" t="n"/>
      <c r="L402" s="6" t="n"/>
      <c r="M402" s="6" t="n"/>
    </row>
    <row r="403">
      <c r="A403" s="10" t="n"/>
      <c r="B403" s="11">
        <f>IF($A403="","",YEAR($A403))</f>
        <v/>
      </c>
      <c r="C403" s="11">
        <f>IF($A403="","",MONTH($A403))</f>
        <v/>
      </c>
      <c r="D403" s="6" t="n"/>
      <c r="E403" s="6" t="n"/>
      <c r="F403" s="6" t="n"/>
      <c r="G403" s="6" t="n"/>
      <c r="H403" s="6" t="n"/>
      <c r="I403" s="8" t="n"/>
      <c r="J403" s="12">
        <f>IF($I403="","",IF($H403="U$D",$I403,IFERROR($I403/VLOOKUP($B403*100+$C403,CONFIG!$I$5:$J$60,2,FALSE),"sin cotiz")))</f>
        <v/>
      </c>
      <c r="K403" s="6" t="n"/>
      <c r="L403" s="6" t="n"/>
      <c r="M403" s="6" t="n"/>
    </row>
    <row r="404">
      <c r="A404" s="10" t="n"/>
      <c r="B404" s="11">
        <f>IF($A404="","",YEAR($A404))</f>
        <v/>
      </c>
      <c r="C404" s="11">
        <f>IF($A404="","",MONTH($A404))</f>
        <v/>
      </c>
      <c r="D404" s="6" t="n"/>
      <c r="E404" s="6" t="n"/>
      <c r="F404" s="6" t="n"/>
      <c r="G404" s="6" t="n"/>
      <c r="H404" s="6" t="n"/>
      <c r="I404" s="8" t="n"/>
      <c r="J404" s="12">
        <f>IF($I404="","",IF($H404="U$D",$I404,IFERROR($I404/VLOOKUP($B404*100+$C404,CONFIG!$I$5:$J$60,2,FALSE),"sin cotiz")))</f>
        <v/>
      </c>
      <c r="K404" s="6" t="n"/>
      <c r="L404" s="6" t="n"/>
      <c r="M404" s="6" t="n"/>
    </row>
    <row r="405">
      <c r="A405" s="10" t="n"/>
      <c r="B405" s="11">
        <f>IF($A405="","",YEAR($A405))</f>
        <v/>
      </c>
      <c r="C405" s="11">
        <f>IF($A405="","",MONTH($A405))</f>
        <v/>
      </c>
      <c r="D405" s="6" t="n"/>
      <c r="E405" s="6" t="n"/>
      <c r="F405" s="6" t="n"/>
      <c r="G405" s="6" t="n"/>
      <c r="H405" s="6" t="n"/>
      <c r="I405" s="8" t="n"/>
      <c r="J405" s="12">
        <f>IF($I405="","",IF($H405="U$D",$I405,IFERROR($I405/VLOOKUP($B405*100+$C405,CONFIG!$I$5:$J$60,2,FALSE),"sin cotiz")))</f>
        <v/>
      </c>
      <c r="K405" s="6" t="n"/>
      <c r="L405" s="6" t="n"/>
      <c r="M405" s="6" t="n"/>
    </row>
    <row r="406">
      <c r="A406" s="10" t="n"/>
      <c r="B406" s="11">
        <f>IF($A406="","",YEAR($A406))</f>
        <v/>
      </c>
      <c r="C406" s="11">
        <f>IF($A406="","",MONTH($A406))</f>
        <v/>
      </c>
      <c r="D406" s="6" t="n"/>
      <c r="E406" s="6" t="n"/>
      <c r="F406" s="6" t="n"/>
      <c r="G406" s="6" t="n"/>
      <c r="H406" s="6" t="n"/>
      <c r="I406" s="8" t="n"/>
      <c r="J406" s="12">
        <f>IF($I406="","",IF($H406="U$D",$I406,IFERROR($I406/VLOOKUP($B406*100+$C406,CONFIG!$I$5:$J$60,2,FALSE),"sin cotiz")))</f>
        <v/>
      </c>
      <c r="K406" s="6" t="n"/>
      <c r="L406" s="6" t="n"/>
      <c r="M406" s="6" t="n"/>
    </row>
    <row r="407">
      <c r="A407" s="10" t="n"/>
      <c r="B407" s="11">
        <f>IF($A407="","",YEAR($A407))</f>
        <v/>
      </c>
      <c r="C407" s="11">
        <f>IF($A407="","",MONTH($A407))</f>
        <v/>
      </c>
      <c r="D407" s="6" t="n"/>
      <c r="E407" s="6" t="n"/>
      <c r="F407" s="6" t="n"/>
      <c r="G407" s="6" t="n"/>
      <c r="H407" s="6" t="n"/>
      <c r="I407" s="8" t="n"/>
      <c r="J407" s="12">
        <f>IF($I407="","",IF($H407="U$D",$I407,IFERROR($I407/VLOOKUP($B407*100+$C407,CONFIG!$I$5:$J$60,2,FALSE),"sin cotiz")))</f>
        <v/>
      </c>
      <c r="K407" s="6" t="n"/>
      <c r="L407" s="6" t="n"/>
      <c r="M407" s="6" t="n"/>
    </row>
    <row r="408">
      <c r="A408" s="10" t="n"/>
      <c r="B408" s="11">
        <f>IF($A408="","",YEAR($A408))</f>
        <v/>
      </c>
      <c r="C408" s="11">
        <f>IF($A408="","",MONTH($A408))</f>
        <v/>
      </c>
      <c r="D408" s="6" t="n"/>
      <c r="E408" s="6" t="n"/>
      <c r="F408" s="6" t="n"/>
      <c r="G408" s="6" t="n"/>
      <c r="H408" s="6" t="n"/>
      <c r="I408" s="8" t="n"/>
      <c r="J408" s="12">
        <f>IF($I408="","",IF($H408="U$D",$I408,IFERROR($I408/VLOOKUP($B408*100+$C408,CONFIG!$I$5:$J$60,2,FALSE),"sin cotiz")))</f>
        <v/>
      </c>
      <c r="K408" s="6" t="n"/>
      <c r="L408" s="6" t="n"/>
      <c r="M408" s="6" t="n"/>
    </row>
    <row r="409">
      <c r="A409" s="10" t="n"/>
      <c r="B409" s="11">
        <f>IF($A409="","",YEAR($A409))</f>
        <v/>
      </c>
      <c r="C409" s="11">
        <f>IF($A409="","",MONTH($A409))</f>
        <v/>
      </c>
      <c r="D409" s="6" t="n"/>
      <c r="E409" s="6" t="n"/>
      <c r="F409" s="6" t="n"/>
      <c r="G409" s="6" t="n"/>
      <c r="H409" s="6" t="n"/>
      <c r="I409" s="8" t="n"/>
      <c r="J409" s="12">
        <f>IF($I409="","",IF($H409="U$D",$I409,IFERROR($I409/VLOOKUP($B409*100+$C409,CONFIG!$I$5:$J$60,2,FALSE),"sin cotiz")))</f>
        <v/>
      </c>
      <c r="K409" s="6" t="n"/>
      <c r="L409" s="6" t="n"/>
      <c r="M409" s="6" t="n"/>
    </row>
    <row r="410">
      <c r="A410" s="10" t="n"/>
      <c r="B410" s="11">
        <f>IF($A410="","",YEAR($A410))</f>
        <v/>
      </c>
      <c r="C410" s="11">
        <f>IF($A410="","",MONTH($A410))</f>
        <v/>
      </c>
      <c r="D410" s="6" t="n"/>
      <c r="E410" s="6" t="n"/>
      <c r="F410" s="6" t="n"/>
      <c r="G410" s="6" t="n"/>
      <c r="H410" s="6" t="n"/>
      <c r="I410" s="8" t="n"/>
      <c r="J410" s="12">
        <f>IF($I410="","",IF($H410="U$D",$I410,IFERROR($I410/VLOOKUP($B410*100+$C410,CONFIG!$I$5:$J$60,2,FALSE),"sin cotiz")))</f>
        <v/>
      </c>
      <c r="K410" s="6" t="n"/>
      <c r="L410" s="6" t="n"/>
      <c r="M410" s="6" t="n"/>
    </row>
    <row r="411">
      <c r="A411" s="10" t="n"/>
      <c r="B411" s="11">
        <f>IF($A411="","",YEAR($A411))</f>
        <v/>
      </c>
      <c r="C411" s="11">
        <f>IF($A411="","",MONTH($A411))</f>
        <v/>
      </c>
      <c r="D411" s="6" t="n"/>
      <c r="E411" s="6" t="n"/>
      <c r="F411" s="6" t="n"/>
      <c r="G411" s="6" t="n"/>
      <c r="H411" s="6" t="n"/>
      <c r="I411" s="8" t="n"/>
      <c r="J411" s="12">
        <f>IF($I411="","",IF($H411="U$D",$I411,IFERROR($I411/VLOOKUP($B411*100+$C411,CONFIG!$I$5:$J$60,2,FALSE),"sin cotiz")))</f>
        <v/>
      </c>
      <c r="K411" s="6" t="n"/>
      <c r="L411" s="6" t="n"/>
      <c r="M411" s="6" t="n"/>
    </row>
    <row r="412">
      <c r="A412" s="10" t="n"/>
      <c r="B412" s="11">
        <f>IF($A412="","",YEAR($A412))</f>
        <v/>
      </c>
      <c r="C412" s="11">
        <f>IF($A412="","",MONTH($A412))</f>
        <v/>
      </c>
      <c r="D412" s="6" t="n"/>
      <c r="E412" s="6" t="n"/>
      <c r="F412" s="6" t="n"/>
      <c r="G412" s="6" t="n"/>
      <c r="H412" s="6" t="n"/>
      <c r="I412" s="8" t="n"/>
      <c r="J412" s="12">
        <f>IF($I412="","",IF($H412="U$D",$I412,IFERROR($I412/VLOOKUP($B412*100+$C412,CONFIG!$I$5:$J$60,2,FALSE),"sin cotiz")))</f>
        <v/>
      </c>
      <c r="K412" s="6" t="n"/>
      <c r="L412" s="6" t="n"/>
      <c r="M412" s="6" t="n"/>
    </row>
    <row r="413">
      <c r="A413" s="10" t="n"/>
      <c r="B413" s="11">
        <f>IF($A413="","",YEAR($A413))</f>
        <v/>
      </c>
      <c r="C413" s="11">
        <f>IF($A413="","",MONTH($A413))</f>
        <v/>
      </c>
      <c r="D413" s="6" t="n"/>
      <c r="E413" s="6" t="n"/>
      <c r="F413" s="6" t="n"/>
      <c r="G413" s="6" t="n"/>
      <c r="H413" s="6" t="n"/>
      <c r="I413" s="8" t="n"/>
      <c r="J413" s="12">
        <f>IF($I413="","",IF($H413="U$D",$I413,IFERROR($I413/VLOOKUP($B413*100+$C413,CONFIG!$I$5:$J$60,2,FALSE),"sin cotiz")))</f>
        <v/>
      </c>
      <c r="K413" s="6" t="n"/>
      <c r="L413" s="6" t="n"/>
      <c r="M413" s="6" t="n"/>
    </row>
    <row r="414">
      <c r="A414" s="10" t="n"/>
      <c r="B414" s="11">
        <f>IF($A414="","",YEAR($A414))</f>
        <v/>
      </c>
      <c r="C414" s="11">
        <f>IF($A414="","",MONTH($A414))</f>
        <v/>
      </c>
      <c r="D414" s="6" t="n"/>
      <c r="E414" s="6" t="n"/>
      <c r="F414" s="6" t="n"/>
      <c r="G414" s="6" t="n"/>
      <c r="H414" s="6" t="n"/>
      <c r="I414" s="8" t="n"/>
      <c r="J414" s="12">
        <f>IF($I414="","",IF($H414="U$D",$I414,IFERROR($I414/VLOOKUP($B414*100+$C414,CONFIG!$I$5:$J$60,2,FALSE),"sin cotiz")))</f>
        <v/>
      </c>
      <c r="K414" s="6" t="n"/>
      <c r="L414" s="6" t="n"/>
      <c r="M414" s="6" t="n"/>
    </row>
    <row r="415">
      <c r="A415" s="10" t="n"/>
      <c r="B415" s="11">
        <f>IF($A415="","",YEAR($A415))</f>
        <v/>
      </c>
      <c r="C415" s="11">
        <f>IF($A415="","",MONTH($A415))</f>
        <v/>
      </c>
      <c r="D415" s="6" t="n"/>
      <c r="E415" s="6" t="n"/>
      <c r="F415" s="6" t="n"/>
      <c r="G415" s="6" t="n"/>
      <c r="H415" s="6" t="n"/>
      <c r="I415" s="8" t="n"/>
      <c r="J415" s="12">
        <f>IF($I415="","",IF($H415="U$D",$I415,IFERROR($I415/VLOOKUP($B415*100+$C415,CONFIG!$I$5:$J$60,2,FALSE),"sin cotiz")))</f>
        <v/>
      </c>
      <c r="K415" s="6" t="n"/>
      <c r="L415" s="6" t="n"/>
      <c r="M415" s="6" t="n"/>
    </row>
    <row r="416">
      <c r="A416" s="10" t="n"/>
      <c r="B416" s="11">
        <f>IF($A416="","",YEAR($A416))</f>
        <v/>
      </c>
      <c r="C416" s="11">
        <f>IF($A416="","",MONTH($A416))</f>
        <v/>
      </c>
      <c r="D416" s="6" t="n"/>
      <c r="E416" s="6" t="n"/>
      <c r="F416" s="6" t="n"/>
      <c r="G416" s="6" t="n"/>
      <c r="H416" s="6" t="n"/>
      <c r="I416" s="8" t="n"/>
      <c r="J416" s="12">
        <f>IF($I416="","",IF($H416="U$D",$I416,IFERROR($I416/VLOOKUP($B416*100+$C416,CONFIG!$I$5:$J$60,2,FALSE),"sin cotiz")))</f>
        <v/>
      </c>
      <c r="K416" s="6" t="n"/>
      <c r="L416" s="6" t="n"/>
      <c r="M416" s="6" t="n"/>
    </row>
    <row r="417">
      <c r="A417" s="10" t="n"/>
      <c r="B417" s="11">
        <f>IF($A417="","",YEAR($A417))</f>
        <v/>
      </c>
      <c r="C417" s="11">
        <f>IF($A417="","",MONTH($A417))</f>
        <v/>
      </c>
      <c r="D417" s="6" t="n"/>
      <c r="E417" s="6" t="n"/>
      <c r="F417" s="6" t="n"/>
      <c r="G417" s="6" t="n"/>
      <c r="H417" s="6" t="n"/>
      <c r="I417" s="8" t="n"/>
      <c r="J417" s="12">
        <f>IF($I417="","",IF($H417="U$D",$I417,IFERROR($I417/VLOOKUP($B417*100+$C417,CONFIG!$I$5:$J$60,2,FALSE),"sin cotiz")))</f>
        <v/>
      </c>
      <c r="K417" s="6" t="n"/>
      <c r="L417" s="6" t="n"/>
      <c r="M417" s="6" t="n"/>
    </row>
    <row r="418">
      <c r="A418" s="10" t="n"/>
      <c r="B418" s="11">
        <f>IF($A418="","",YEAR($A418))</f>
        <v/>
      </c>
      <c r="C418" s="11">
        <f>IF($A418="","",MONTH($A418))</f>
        <v/>
      </c>
      <c r="D418" s="6" t="n"/>
      <c r="E418" s="6" t="n"/>
      <c r="F418" s="6" t="n"/>
      <c r="G418" s="6" t="n"/>
      <c r="H418" s="6" t="n"/>
      <c r="I418" s="8" t="n"/>
      <c r="J418" s="12">
        <f>IF($I418="","",IF($H418="U$D",$I418,IFERROR($I418/VLOOKUP($B418*100+$C418,CONFIG!$I$5:$J$60,2,FALSE),"sin cotiz")))</f>
        <v/>
      </c>
      <c r="K418" s="6" t="n"/>
      <c r="L418" s="6" t="n"/>
      <c r="M418" s="6" t="n"/>
    </row>
    <row r="419">
      <c r="A419" s="10" t="n"/>
      <c r="B419" s="11">
        <f>IF($A419="","",YEAR($A419))</f>
        <v/>
      </c>
      <c r="C419" s="11">
        <f>IF($A419="","",MONTH($A419))</f>
        <v/>
      </c>
      <c r="D419" s="6" t="n"/>
      <c r="E419" s="6" t="n"/>
      <c r="F419" s="6" t="n"/>
      <c r="G419" s="6" t="n"/>
      <c r="H419" s="6" t="n"/>
      <c r="I419" s="8" t="n"/>
      <c r="J419" s="12">
        <f>IF($I419="","",IF($H419="U$D",$I419,IFERROR($I419/VLOOKUP($B419*100+$C419,CONFIG!$I$5:$J$60,2,FALSE),"sin cotiz")))</f>
        <v/>
      </c>
      <c r="K419" s="6" t="n"/>
      <c r="L419" s="6" t="n"/>
      <c r="M419" s="6" t="n"/>
    </row>
    <row r="420">
      <c r="A420" s="10" t="n"/>
      <c r="B420" s="11">
        <f>IF($A420="","",YEAR($A420))</f>
        <v/>
      </c>
      <c r="C420" s="11">
        <f>IF($A420="","",MONTH($A420))</f>
        <v/>
      </c>
      <c r="D420" s="6" t="n"/>
      <c r="E420" s="6" t="n"/>
      <c r="F420" s="6" t="n"/>
      <c r="G420" s="6" t="n"/>
      <c r="H420" s="6" t="n"/>
      <c r="I420" s="8" t="n"/>
      <c r="J420" s="12">
        <f>IF($I420="","",IF($H420="U$D",$I420,IFERROR($I420/VLOOKUP($B420*100+$C420,CONFIG!$I$5:$J$60,2,FALSE),"sin cotiz")))</f>
        <v/>
      </c>
      <c r="K420" s="6" t="n"/>
      <c r="L420" s="6" t="n"/>
      <c r="M420" s="6" t="n"/>
    </row>
    <row r="421">
      <c r="A421" s="10" t="n"/>
      <c r="B421" s="11">
        <f>IF($A421="","",YEAR($A421))</f>
        <v/>
      </c>
      <c r="C421" s="11">
        <f>IF($A421="","",MONTH($A421))</f>
        <v/>
      </c>
      <c r="D421" s="6" t="n"/>
      <c r="E421" s="6" t="n"/>
      <c r="F421" s="6" t="n"/>
      <c r="G421" s="6" t="n"/>
      <c r="H421" s="6" t="n"/>
      <c r="I421" s="8" t="n"/>
      <c r="J421" s="12">
        <f>IF($I421="","",IF($H421="U$D",$I421,IFERROR($I421/VLOOKUP($B421*100+$C421,CONFIG!$I$5:$J$60,2,FALSE),"sin cotiz")))</f>
        <v/>
      </c>
      <c r="K421" s="6" t="n"/>
      <c r="L421" s="6" t="n"/>
      <c r="M421" s="6" t="n"/>
    </row>
    <row r="422">
      <c r="A422" s="10" t="n"/>
      <c r="B422" s="11">
        <f>IF($A422="","",YEAR($A422))</f>
        <v/>
      </c>
      <c r="C422" s="11">
        <f>IF($A422="","",MONTH($A422))</f>
        <v/>
      </c>
      <c r="D422" s="6" t="n"/>
      <c r="E422" s="6" t="n"/>
      <c r="F422" s="6" t="n"/>
      <c r="G422" s="6" t="n"/>
      <c r="H422" s="6" t="n"/>
      <c r="I422" s="8" t="n"/>
      <c r="J422" s="12">
        <f>IF($I422="","",IF($H422="U$D",$I422,IFERROR($I422/VLOOKUP($B422*100+$C422,CONFIG!$I$5:$J$60,2,FALSE),"sin cotiz")))</f>
        <v/>
      </c>
      <c r="K422" s="6" t="n"/>
      <c r="L422" s="6" t="n"/>
      <c r="M422" s="6" t="n"/>
    </row>
    <row r="423">
      <c r="A423" s="10" t="n"/>
      <c r="B423" s="11">
        <f>IF($A423="","",YEAR($A423))</f>
        <v/>
      </c>
      <c r="C423" s="11">
        <f>IF($A423="","",MONTH($A423))</f>
        <v/>
      </c>
      <c r="D423" s="6" t="n"/>
      <c r="E423" s="6" t="n"/>
      <c r="F423" s="6" t="n"/>
      <c r="G423" s="6" t="n"/>
      <c r="H423" s="6" t="n"/>
      <c r="I423" s="8" t="n"/>
      <c r="J423" s="12">
        <f>IF($I423="","",IF($H423="U$D",$I423,IFERROR($I423/VLOOKUP($B423*100+$C423,CONFIG!$I$5:$J$60,2,FALSE),"sin cotiz")))</f>
        <v/>
      </c>
      <c r="K423" s="6" t="n"/>
      <c r="L423" s="6" t="n"/>
      <c r="M423" s="6" t="n"/>
    </row>
    <row r="424">
      <c r="A424" s="10" t="n"/>
      <c r="B424" s="11">
        <f>IF($A424="","",YEAR($A424))</f>
        <v/>
      </c>
      <c r="C424" s="11">
        <f>IF($A424="","",MONTH($A424))</f>
        <v/>
      </c>
      <c r="D424" s="6" t="n"/>
      <c r="E424" s="6" t="n"/>
      <c r="F424" s="6" t="n"/>
      <c r="G424" s="6" t="n"/>
      <c r="H424" s="6" t="n"/>
      <c r="I424" s="8" t="n"/>
      <c r="J424" s="12">
        <f>IF($I424="","",IF($H424="U$D",$I424,IFERROR($I424/VLOOKUP($B424*100+$C424,CONFIG!$I$5:$J$60,2,FALSE),"sin cotiz")))</f>
        <v/>
      </c>
      <c r="K424" s="6" t="n"/>
      <c r="L424" s="6" t="n"/>
      <c r="M424" s="6" t="n"/>
    </row>
    <row r="425">
      <c r="A425" s="10" t="n"/>
      <c r="B425" s="11">
        <f>IF($A425="","",YEAR($A425))</f>
        <v/>
      </c>
      <c r="C425" s="11">
        <f>IF($A425="","",MONTH($A425))</f>
        <v/>
      </c>
      <c r="D425" s="6" t="n"/>
      <c r="E425" s="6" t="n"/>
      <c r="F425" s="6" t="n"/>
      <c r="G425" s="6" t="n"/>
      <c r="H425" s="6" t="n"/>
      <c r="I425" s="8" t="n"/>
      <c r="J425" s="12">
        <f>IF($I425="","",IF($H425="U$D",$I425,IFERROR($I425/VLOOKUP($B425*100+$C425,CONFIG!$I$5:$J$60,2,FALSE),"sin cotiz")))</f>
        <v/>
      </c>
      <c r="K425" s="6" t="n"/>
      <c r="L425" s="6" t="n"/>
      <c r="M425" s="6" t="n"/>
    </row>
    <row r="426">
      <c r="A426" s="10" t="n"/>
      <c r="B426" s="11">
        <f>IF($A426="","",YEAR($A426))</f>
        <v/>
      </c>
      <c r="C426" s="11">
        <f>IF($A426="","",MONTH($A426))</f>
        <v/>
      </c>
      <c r="D426" s="6" t="n"/>
      <c r="E426" s="6" t="n"/>
      <c r="F426" s="6" t="n"/>
      <c r="G426" s="6" t="n"/>
      <c r="H426" s="6" t="n"/>
      <c r="I426" s="8" t="n"/>
      <c r="J426" s="12">
        <f>IF($I426="","",IF($H426="U$D",$I426,IFERROR($I426/VLOOKUP($B426*100+$C426,CONFIG!$I$5:$J$60,2,FALSE),"sin cotiz")))</f>
        <v/>
      </c>
      <c r="K426" s="6" t="n"/>
      <c r="L426" s="6" t="n"/>
      <c r="M426" s="6" t="n"/>
    </row>
    <row r="427">
      <c r="A427" s="10" t="n"/>
      <c r="B427" s="11">
        <f>IF($A427="","",YEAR($A427))</f>
        <v/>
      </c>
      <c r="C427" s="11">
        <f>IF($A427="","",MONTH($A427))</f>
        <v/>
      </c>
      <c r="D427" s="6" t="n"/>
      <c r="E427" s="6" t="n"/>
      <c r="F427" s="6" t="n"/>
      <c r="G427" s="6" t="n"/>
      <c r="H427" s="6" t="n"/>
      <c r="I427" s="8" t="n"/>
      <c r="J427" s="12">
        <f>IF($I427="","",IF($H427="U$D",$I427,IFERROR($I427/VLOOKUP($B427*100+$C427,CONFIG!$I$5:$J$60,2,FALSE),"sin cotiz")))</f>
        <v/>
      </c>
      <c r="K427" s="6" t="n"/>
      <c r="L427" s="6" t="n"/>
      <c r="M427" s="6" t="n"/>
    </row>
    <row r="428">
      <c r="A428" s="10" t="n"/>
      <c r="B428" s="11">
        <f>IF($A428="","",YEAR($A428))</f>
        <v/>
      </c>
      <c r="C428" s="11">
        <f>IF($A428="","",MONTH($A428))</f>
        <v/>
      </c>
      <c r="D428" s="6" t="n"/>
      <c r="E428" s="6" t="n"/>
      <c r="F428" s="6" t="n"/>
      <c r="G428" s="6" t="n"/>
      <c r="H428" s="6" t="n"/>
      <c r="I428" s="8" t="n"/>
      <c r="J428" s="12">
        <f>IF($I428="","",IF($H428="U$D",$I428,IFERROR($I428/VLOOKUP($B428*100+$C428,CONFIG!$I$5:$J$60,2,FALSE),"sin cotiz")))</f>
        <v/>
      </c>
      <c r="K428" s="6" t="n"/>
      <c r="L428" s="6" t="n"/>
      <c r="M428" s="6" t="n"/>
    </row>
    <row r="429">
      <c r="A429" s="10" t="n"/>
      <c r="B429" s="11">
        <f>IF($A429="","",YEAR($A429))</f>
        <v/>
      </c>
      <c r="C429" s="11">
        <f>IF($A429="","",MONTH($A429))</f>
        <v/>
      </c>
      <c r="D429" s="6" t="n"/>
      <c r="E429" s="6" t="n"/>
      <c r="F429" s="6" t="n"/>
      <c r="G429" s="6" t="n"/>
      <c r="H429" s="6" t="n"/>
      <c r="I429" s="8" t="n"/>
      <c r="J429" s="12">
        <f>IF($I429="","",IF($H429="U$D",$I429,IFERROR($I429/VLOOKUP($B429*100+$C429,CONFIG!$I$5:$J$60,2,FALSE),"sin cotiz")))</f>
        <v/>
      </c>
      <c r="K429" s="6" t="n"/>
      <c r="L429" s="6" t="n"/>
      <c r="M429" s="6" t="n"/>
    </row>
    <row r="430">
      <c r="A430" s="10" t="n"/>
      <c r="B430" s="11">
        <f>IF($A430="","",YEAR($A430))</f>
        <v/>
      </c>
      <c r="C430" s="11">
        <f>IF($A430="","",MONTH($A430))</f>
        <v/>
      </c>
      <c r="D430" s="6" t="n"/>
      <c r="E430" s="6" t="n"/>
      <c r="F430" s="6" t="n"/>
      <c r="G430" s="6" t="n"/>
      <c r="H430" s="6" t="n"/>
      <c r="I430" s="8" t="n"/>
      <c r="J430" s="12">
        <f>IF($I430="","",IF($H430="U$D",$I430,IFERROR($I430/VLOOKUP($B430*100+$C430,CONFIG!$I$5:$J$60,2,FALSE),"sin cotiz")))</f>
        <v/>
      </c>
      <c r="K430" s="6" t="n"/>
      <c r="L430" s="6" t="n"/>
      <c r="M430" s="6" t="n"/>
    </row>
    <row r="431">
      <c r="A431" s="10" t="n"/>
      <c r="B431" s="11">
        <f>IF($A431="","",YEAR($A431))</f>
        <v/>
      </c>
      <c r="C431" s="11">
        <f>IF($A431="","",MONTH($A431))</f>
        <v/>
      </c>
      <c r="D431" s="6" t="n"/>
      <c r="E431" s="6" t="n"/>
      <c r="F431" s="6" t="n"/>
      <c r="G431" s="6" t="n"/>
      <c r="H431" s="6" t="n"/>
      <c r="I431" s="8" t="n"/>
      <c r="J431" s="12">
        <f>IF($I431="","",IF($H431="U$D",$I431,IFERROR($I431/VLOOKUP($B431*100+$C431,CONFIG!$I$5:$J$60,2,FALSE),"sin cotiz")))</f>
        <v/>
      </c>
      <c r="K431" s="6" t="n"/>
      <c r="L431" s="6" t="n"/>
      <c r="M431" s="6" t="n"/>
    </row>
    <row r="432">
      <c r="A432" s="10" t="n"/>
      <c r="B432" s="11">
        <f>IF($A432="","",YEAR($A432))</f>
        <v/>
      </c>
      <c r="C432" s="11">
        <f>IF($A432="","",MONTH($A432))</f>
        <v/>
      </c>
      <c r="D432" s="6" t="n"/>
      <c r="E432" s="6" t="n"/>
      <c r="F432" s="6" t="n"/>
      <c r="G432" s="6" t="n"/>
      <c r="H432" s="6" t="n"/>
      <c r="I432" s="8" t="n"/>
      <c r="J432" s="12">
        <f>IF($I432="","",IF($H432="U$D",$I432,IFERROR($I432/VLOOKUP($B432*100+$C432,CONFIG!$I$5:$J$60,2,FALSE),"sin cotiz")))</f>
        <v/>
      </c>
      <c r="K432" s="6" t="n"/>
      <c r="L432" s="6" t="n"/>
      <c r="M432" s="6" t="n"/>
    </row>
    <row r="433">
      <c r="A433" s="10" t="n"/>
      <c r="B433" s="11">
        <f>IF($A433="","",YEAR($A433))</f>
        <v/>
      </c>
      <c r="C433" s="11">
        <f>IF($A433="","",MONTH($A433))</f>
        <v/>
      </c>
      <c r="D433" s="6" t="n"/>
      <c r="E433" s="6" t="n"/>
      <c r="F433" s="6" t="n"/>
      <c r="G433" s="6" t="n"/>
      <c r="H433" s="6" t="n"/>
      <c r="I433" s="8" t="n"/>
      <c r="J433" s="12">
        <f>IF($I433="","",IF($H433="U$D",$I433,IFERROR($I433/VLOOKUP($B433*100+$C433,CONFIG!$I$5:$J$60,2,FALSE),"sin cotiz")))</f>
        <v/>
      </c>
      <c r="K433" s="6" t="n"/>
      <c r="L433" s="6" t="n"/>
      <c r="M433" s="6" t="n"/>
    </row>
    <row r="434">
      <c r="A434" s="10" t="n"/>
      <c r="B434" s="11">
        <f>IF($A434="","",YEAR($A434))</f>
        <v/>
      </c>
      <c r="C434" s="11">
        <f>IF($A434="","",MONTH($A434))</f>
        <v/>
      </c>
      <c r="D434" s="6" t="n"/>
      <c r="E434" s="6" t="n"/>
      <c r="F434" s="6" t="n"/>
      <c r="G434" s="6" t="n"/>
      <c r="H434" s="6" t="n"/>
      <c r="I434" s="8" t="n"/>
      <c r="J434" s="12">
        <f>IF($I434="","",IF($H434="U$D",$I434,IFERROR($I434/VLOOKUP($B434*100+$C434,CONFIG!$I$5:$J$60,2,FALSE),"sin cotiz")))</f>
        <v/>
      </c>
      <c r="K434" s="6" t="n"/>
      <c r="L434" s="6" t="n"/>
      <c r="M434" s="6" t="n"/>
    </row>
    <row r="435">
      <c r="A435" s="10" t="n"/>
      <c r="B435" s="11">
        <f>IF($A435="","",YEAR($A435))</f>
        <v/>
      </c>
      <c r="C435" s="11">
        <f>IF($A435="","",MONTH($A435))</f>
        <v/>
      </c>
      <c r="D435" s="6" t="n"/>
      <c r="E435" s="6" t="n"/>
      <c r="F435" s="6" t="n"/>
      <c r="G435" s="6" t="n"/>
      <c r="H435" s="6" t="n"/>
      <c r="I435" s="8" t="n"/>
      <c r="J435" s="12">
        <f>IF($I435="","",IF($H435="U$D",$I435,IFERROR($I435/VLOOKUP($B435*100+$C435,CONFIG!$I$5:$J$60,2,FALSE),"sin cotiz")))</f>
        <v/>
      </c>
      <c r="K435" s="6" t="n"/>
      <c r="L435" s="6" t="n"/>
      <c r="M435" s="6" t="n"/>
    </row>
    <row r="436">
      <c r="A436" s="10" t="n"/>
      <c r="B436" s="11">
        <f>IF($A436="","",YEAR($A436))</f>
        <v/>
      </c>
      <c r="C436" s="11">
        <f>IF($A436="","",MONTH($A436))</f>
        <v/>
      </c>
      <c r="D436" s="6" t="n"/>
      <c r="E436" s="6" t="n"/>
      <c r="F436" s="6" t="n"/>
      <c r="G436" s="6" t="n"/>
      <c r="H436" s="6" t="n"/>
      <c r="I436" s="8" t="n"/>
      <c r="J436" s="12">
        <f>IF($I436="","",IF($H436="U$D",$I436,IFERROR($I436/VLOOKUP($B436*100+$C436,CONFIG!$I$5:$J$60,2,FALSE),"sin cotiz")))</f>
        <v/>
      </c>
      <c r="K436" s="6" t="n"/>
      <c r="L436" s="6" t="n"/>
      <c r="M436" s="6" t="n"/>
    </row>
    <row r="437">
      <c r="A437" s="10" t="n"/>
      <c r="B437" s="11">
        <f>IF($A437="","",YEAR($A437))</f>
        <v/>
      </c>
      <c r="C437" s="11">
        <f>IF($A437="","",MONTH($A437))</f>
        <v/>
      </c>
      <c r="D437" s="6" t="n"/>
      <c r="E437" s="6" t="n"/>
      <c r="F437" s="6" t="n"/>
      <c r="G437" s="6" t="n"/>
      <c r="H437" s="6" t="n"/>
      <c r="I437" s="8" t="n"/>
      <c r="J437" s="12">
        <f>IF($I437="","",IF($H437="U$D",$I437,IFERROR($I437/VLOOKUP($B437*100+$C437,CONFIG!$I$5:$J$60,2,FALSE),"sin cotiz")))</f>
        <v/>
      </c>
      <c r="K437" s="6" t="n"/>
      <c r="L437" s="6" t="n"/>
      <c r="M437" s="6" t="n"/>
    </row>
    <row r="438">
      <c r="A438" s="10" t="n"/>
      <c r="B438" s="11">
        <f>IF($A438="","",YEAR($A438))</f>
        <v/>
      </c>
      <c r="C438" s="11">
        <f>IF($A438="","",MONTH($A438))</f>
        <v/>
      </c>
      <c r="D438" s="6" t="n"/>
      <c r="E438" s="6" t="n"/>
      <c r="F438" s="6" t="n"/>
      <c r="G438" s="6" t="n"/>
      <c r="H438" s="6" t="n"/>
      <c r="I438" s="8" t="n"/>
      <c r="J438" s="12">
        <f>IF($I438="","",IF($H438="U$D",$I438,IFERROR($I438/VLOOKUP($B438*100+$C438,CONFIG!$I$5:$J$60,2,FALSE),"sin cotiz")))</f>
        <v/>
      </c>
      <c r="K438" s="6" t="n"/>
      <c r="L438" s="6" t="n"/>
      <c r="M438" s="6" t="n"/>
    </row>
    <row r="439">
      <c r="A439" s="10" t="n"/>
      <c r="B439" s="11">
        <f>IF($A439="","",YEAR($A439))</f>
        <v/>
      </c>
      <c r="C439" s="11">
        <f>IF($A439="","",MONTH($A439))</f>
        <v/>
      </c>
      <c r="D439" s="6" t="n"/>
      <c r="E439" s="6" t="n"/>
      <c r="F439" s="6" t="n"/>
      <c r="G439" s="6" t="n"/>
      <c r="H439" s="6" t="n"/>
      <c r="I439" s="8" t="n"/>
      <c r="J439" s="12">
        <f>IF($I439="","",IF($H439="U$D",$I439,IFERROR($I439/VLOOKUP($B439*100+$C439,CONFIG!$I$5:$J$60,2,FALSE),"sin cotiz")))</f>
        <v/>
      </c>
      <c r="K439" s="6" t="n"/>
      <c r="L439" s="6" t="n"/>
      <c r="M439" s="6" t="n"/>
    </row>
    <row r="440">
      <c r="A440" s="10" t="n"/>
      <c r="B440" s="11">
        <f>IF($A440="","",YEAR($A440))</f>
        <v/>
      </c>
      <c r="C440" s="11">
        <f>IF($A440="","",MONTH($A440))</f>
        <v/>
      </c>
      <c r="D440" s="6" t="n"/>
      <c r="E440" s="6" t="n"/>
      <c r="F440" s="6" t="n"/>
      <c r="G440" s="6" t="n"/>
      <c r="H440" s="6" t="n"/>
      <c r="I440" s="8" t="n"/>
      <c r="J440" s="12">
        <f>IF($I440="","",IF($H440="U$D",$I440,IFERROR($I440/VLOOKUP($B440*100+$C440,CONFIG!$I$5:$J$60,2,FALSE),"sin cotiz")))</f>
        <v/>
      </c>
      <c r="K440" s="6" t="n"/>
      <c r="L440" s="6" t="n"/>
      <c r="M440" s="6" t="n"/>
    </row>
    <row r="441">
      <c r="A441" s="10" t="n"/>
      <c r="B441" s="11">
        <f>IF($A441="","",YEAR($A441))</f>
        <v/>
      </c>
      <c r="C441" s="11">
        <f>IF($A441="","",MONTH($A441))</f>
        <v/>
      </c>
      <c r="D441" s="6" t="n"/>
      <c r="E441" s="6" t="n"/>
      <c r="F441" s="6" t="n"/>
      <c r="G441" s="6" t="n"/>
      <c r="H441" s="6" t="n"/>
      <c r="I441" s="8" t="n"/>
      <c r="J441" s="12">
        <f>IF($I441="","",IF($H441="U$D",$I441,IFERROR($I441/VLOOKUP($B441*100+$C441,CONFIG!$I$5:$J$60,2,FALSE),"sin cotiz")))</f>
        <v/>
      </c>
      <c r="K441" s="6" t="n"/>
      <c r="L441" s="6" t="n"/>
      <c r="M441" s="6" t="n"/>
    </row>
    <row r="442">
      <c r="A442" s="10" t="n"/>
      <c r="B442" s="11">
        <f>IF($A442="","",YEAR($A442))</f>
        <v/>
      </c>
      <c r="C442" s="11">
        <f>IF($A442="","",MONTH($A442))</f>
        <v/>
      </c>
      <c r="D442" s="6" t="n"/>
      <c r="E442" s="6" t="n"/>
      <c r="F442" s="6" t="n"/>
      <c r="G442" s="6" t="n"/>
      <c r="H442" s="6" t="n"/>
      <c r="I442" s="8" t="n"/>
      <c r="J442" s="12">
        <f>IF($I442="","",IF($H442="U$D",$I442,IFERROR($I442/VLOOKUP($B442*100+$C442,CONFIG!$I$5:$J$60,2,FALSE),"sin cotiz")))</f>
        <v/>
      </c>
      <c r="K442" s="6" t="n"/>
      <c r="L442" s="6" t="n"/>
      <c r="M442" s="6" t="n"/>
    </row>
    <row r="443">
      <c r="A443" s="10" t="n"/>
      <c r="B443" s="11">
        <f>IF($A443="","",YEAR($A443))</f>
        <v/>
      </c>
      <c r="C443" s="11">
        <f>IF($A443="","",MONTH($A443))</f>
        <v/>
      </c>
      <c r="D443" s="6" t="n"/>
      <c r="E443" s="6" t="n"/>
      <c r="F443" s="6" t="n"/>
      <c r="G443" s="6" t="n"/>
      <c r="H443" s="6" t="n"/>
      <c r="I443" s="8" t="n"/>
      <c r="J443" s="12">
        <f>IF($I443="","",IF($H443="U$D",$I443,IFERROR($I443/VLOOKUP($B443*100+$C443,CONFIG!$I$5:$J$60,2,FALSE),"sin cotiz")))</f>
        <v/>
      </c>
      <c r="K443" s="6" t="n"/>
      <c r="L443" s="6" t="n"/>
      <c r="M443" s="6" t="n"/>
    </row>
    <row r="444">
      <c r="A444" s="10" t="n"/>
      <c r="B444" s="11">
        <f>IF($A444="","",YEAR($A444))</f>
        <v/>
      </c>
      <c r="C444" s="11">
        <f>IF($A444="","",MONTH($A444))</f>
        <v/>
      </c>
      <c r="D444" s="6" t="n"/>
      <c r="E444" s="6" t="n"/>
      <c r="F444" s="6" t="n"/>
      <c r="G444" s="6" t="n"/>
      <c r="H444" s="6" t="n"/>
      <c r="I444" s="8" t="n"/>
      <c r="J444" s="12">
        <f>IF($I444="","",IF($H444="U$D",$I444,IFERROR($I444/VLOOKUP($B444*100+$C444,CONFIG!$I$5:$J$60,2,FALSE),"sin cotiz")))</f>
        <v/>
      </c>
      <c r="K444" s="6" t="n"/>
      <c r="L444" s="6" t="n"/>
      <c r="M444" s="6" t="n"/>
    </row>
    <row r="445">
      <c r="A445" s="10" t="n"/>
      <c r="B445" s="11">
        <f>IF($A445="","",YEAR($A445))</f>
        <v/>
      </c>
      <c r="C445" s="11">
        <f>IF($A445="","",MONTH($A445))</f>
        <v/>
      </c>
      <c r="D445" s="6" t="n"/>
      <c r="E445" s="6" t="n"/>
      <c r="F445" s="6" t="n"/>
      <c r="G445" s="6" t="n"/>
      <c r="H445" s="6" t="n"/>
      <c r="I445" s="8" t="n"/>
      <c r="J445" s="12">
        <f>IF($I445="","",IF($H445="U$D",$I445,IFERROR($I445/VLOOKUP($B445*100+$C445,CONFIG!$I$5:$J$60,2,FALSE),"sin cotiz")))</f>
        <v/>
      </c>
      <c r="K445" s="6" t="n"/>
      <c r="L445" s="6" t="n"/>
      <c r="M445" s="6" t="n"/>
    </row>
    <row r="446">
      <c r="A446" s="10" t="n"/>
      <c r="B446" s="11">
        <f>IF($A446="","",YEAR($A446))</f>
        <v/>
      </c>
      <c r="C446" s="11">
        <f>IF($A446="","",MONTH($A446))</f>
        <v/>
      </c>
      <c r="D446" s="6" t="n"/>
      <c r="E446" s="6" t="n"/>
      <c r="F446" s="6" t="n"/>
      <c r="G446" s="6" t="n"/>
      <c r="H446" s="6" t="n"/>
      <c r="I446" s="8" t="n"/>
      <c r="J446" s="12">
        <f>IF($I446="","",IF($H446="U$D",$I446,IFERROR($I446/VLOOKUP($B446*100+$C446,CONFIG!$I$5:$J$60,2,FALSE),"sin cotiz")))</f>
        <v/>
      </c>
      <c r="K446" s="6" t="n"/>
      <c r="L446" s="6" t="n"/>
      <c r="M446" s="6" t="n"/>
    </row>
    <row r="447">
      <c r="A447" s="10" t="n"/>
      <c r="B447" s="11">
        <f>IF($A447="","",YEAR($A447))</f>
        <v/>
      </c>
      <c r="C447" s="11">
        <f>IF($A447="","",MONTH($A447))</f>
        <v/>
      </c>
      <c r="D447" s="6" t="n"/>
      <c r="E447" s="6" t="n"/>
      <c r="F447" s="6" t="n"/>
      <c r="G447" s="6" t="n"/>
      <c r="H447" s="6" t="n"/>
      <c r="I447" s="8" t="n"/>
      <c r="J447" s="12">
        <f>IF($I447="","",IF($H447="U$D",$I447,IFERROR($I447/VLOOKUP($B447*100+$C447,CONFIG!$I$5:$J$60,2,FALSE),"sin cotiz")))</f>
        <v/>
      </c>
      <c r="K447" s="6" t="n"/>
      <c r="L447" s="6" t="n"/>
      <c r="M447" s="6" t="n"/>
    </row>
    <row r="448">
      <c r="A448" s="10" t="n"/>
      <c r="B448" s="11">
        <f>IF($A448="","",YEAR($A448))</f>
        <v/>
      </c>
      <c r="C448" s="11">
        <f>IF($A448="","",MONTH($A448))</f>
        <v/>
      </c>
      <c r="D448" s="6" t="n"/>
      <c r="E448" s="6" t="n"/>
      <c r="F448" s="6" t="n"/>
      <c r="G448" s="6" t="n"/>
      <c r="H448" s="6" t="n"/>
      <c r="I448" s="8" t="n"/>
      <c r="J448" s="12">
        <f>IF($I448="","",IF($H448="U$D",$I448,IFERROR($I448/VLOOKUP($B448*100+$C448,CONFIG!$I$5:$J$60,2,FALSE),"sin cotiz")))</f>
        <v/>
      </c>
      <c r="K448" s="6" t="n"/>
      <c r="L448" s="6" t="n"/>
      <c r="M448" s="6" t="n"/>
    </row>
    <row r="449">
      <c r="A449" s="10" t="n"/>
      <c r="B449" s="11">
        <f>IF($A449="","",YEAR($A449))</f>
        <v/>
      </c>
      <c r="C449" s="11">
        <f>IF($A449="","",MONTH($A449))</f>
        <v/>
      </c>
      <c r="D449" s="6" t="n"/>
      <c r="E449" s="6" t="n"/>
      <c r="F449" s="6" t="n"/>
      <c r="G449" s="6" t="n"/>
      <c r="H449" s="6" t="n"/>
      <c r="I449" s="8" t="n"/>
      <c r="J449" s="12">
        <f>IF($I449="","",IF($H449="U$D",$I449,IFERROR($I449/VLOOKUP($B449*100+$C449,CONFIG!$I$5:$J$60,2,FALSE),"sin cotiz")))</f>
        <v/>
      </c>
      <c r="K449" s="6" t="n"/>
      <c r="L449" s="6" t="n"/>
      <c r="M449" s="6" t="n"/>
    </row>
    <row r="450">
      <c r="A450" s="10" t="n"/>
      <c r="B450" s="11">
        <f>IF($A450="","",YEAR($A450))</f>
        <v/>
      </c>
      <c r="C450" s="11">
        <f>IF($A450="","",MONTH($A450))</f>
        <v/>
      </c>
      <c r="D450" s="6" t="n"/>
      <c r="E450" s="6" t="n"/>
      <c r="F450" s="6" t="n"/>
      <c r="G450" s="6" t="n"/>
      <c r="H450" s="6" t="n"/>
      <c r="I450" s="8" t="n"/>
      <c r="J450" s="12">
        <f>IF($I450="","",IF($H450="U$D",$I450,IFERROR($I450/VLOOKUP($B450*100+$C450,CONFIG!$I$5:$J$60,2,FALSE),"sin cotiz")))</f>
        <v/>
      </c>
      <c r="K450" s="6" t="n"/>
      <c r="L450" s="6" t="n"/>
      <c r="M450" s="6" t="n"/>
    </row>
    <row r="451">
      <c r="A451" s="10" t="n"/>
      <c r="B451" s="11">
        <f>IF($A451="","",YEAR($A451))</f>
        <v/>
      </c>
      <c r="C451" s="11">
        <f>IF($A451="","",MONTH($A451))</f>
        <v/>
      </c>
      <c r="D451" s="6" t="n"/>
      <c r="E451" s="6" t="n"/>
      <c r="F451" s="6" t="n"/>
      <c r="G451" s="6" t="n"/>
      <c r="H451" s="6" t="n"/>
      <c r="I451" s="8" t="n"/>
      <c r="J451" s="12">
        <f>IF($I451="","",IF($H451="U$D",$I451,IFERROR($I451/VLOOKUP($B451*100+$C451,CONFIG!$I$5:$J$60,2,FALSE),"sin cotiz")))</f>
        <v/>
      </c>
      <c r="K451" s="6" t="n"/>
      <c r="L451" s="6" t="n"/>
      <c r="M451" s="6" t="n"/>
    </row>
    <row r="452">
      <c r="A452" s="10" t="n"/>
      <c r="B452" s="11">
        <f>IF($A452="","",YEAR($A452))</f>
        <v/>
      </c>
      <c r="C452" s="11">
        <f>IF($A452="","",MONTH($A452))</f>
        <v/>
      </c>
      <c r="D452" s="6" t="n"/>
      <c r="E452" s="6" t="n"/>
      <c r="F452" s="6" t="n"/>
      <c r="G452" s="6" t="n"/>
      <c r="H452" s="6" t="n"/>
      <c r="I452" s="8" t="n"/>
      <c r="J452" s="12">
        <f>IF($I452="","",IF($H452="U$D",$I452,IFERROR($I452/VLOOKUP($B452*100+$C452,CONFIG!$I$5:$J$60,2,FALSE),"sin cotiz")))</f>
        <v/>
      </c>
      <c r="K452" s="6" t="n"/>
      <c r="L452" s="6" t="n"/>
      <c r="M452" s="6" t="n"/>
    </row>
    <row r="453">
      <c r="A453" s="10" t="n"/>
      <c r="B453" s="11">
        <f>IF($A453="","",YEAR($A453))</f>
        <v/>
      </c>
      <c r="C453" s="11">
        <f>IF($A453="","",MONTH($A453))</f>
        <v/>
      </c>
      <c r="D453" s="6" t="n"/>
      <c r="E453" s="6" t="n"/>
      <c r="F453" s="6" t="n"/>
      <c r="G453" s="6" t="n"/>
      <c r="H453" s="6" t="n"/>
      <c r="I453" s="8" t="n"/>
      <c r="J453" s="12">
        <f>IF($I453="","",IF($H453="U$D",$I453,IFERROR($I453/VLOOKUP($B453*100+$C453,CONFIG!$I$5:$J$60,2,FALSE),"sin cotiz")))</f>
        <v/>
      </c>
      <c r="K453" s="6" t="n"/>
      <c r="L453" s="6" t="n"/>
      <c r="M453" s="6" t="n"/>
    </row>
    <row r="454">
      <c r="A454" s="10" t="n"/>
      <c r="B454" s="11">
        <f>IF($A454="","",YEAR($A454))</f>
        <v/>
      </c>
      <c r="C454" s="11">
        <f>IF($A454="","",MONTH($A454))</f>
        <v/>
      </c>
      <c r="D454" s="6" t="n"/>
      <c r="E454" s="6" t="n"/>
      <c r="F454" s="6" t="n"/>
      <c r="G454" s="6" t="n"/>
      <c r="H454" s="6" t="n"/>
      <c r="I454" s="8" t="n"/>
      <c r="J454" s="12">
        <f>IF($I454="","",IF($H454="U$D",$I454,IFERROR($I454/VLOOKUP($B454*100+$C454,CONFIG!$I$5:$J$60,2,FALSE),"sin cotiz")))</f>
        <v/>
      </c>
      <c r="K454" s="6" t="n"/>
      <c r="L454" s="6" t="n"/>
      <c r="M454" s="6" t="n"/>
    </row>
    <row r="455">
      <c r="A455" s="10" t="n"/>
      <c r="B455" s="11">
        <f>IF($A455="","",YEAR($A455))</f>
        <v/>
      </c>
      <c r="C455" s="11">
        <f>IF($A455="","",MONTH($A455))</f>
        <v/>
      </c>
      <c r="D455" s="6" t="n"/>
      <c r="E455" s="6" t="n"/>
      <c r="F455" s="6" t="n"/>
      <c r="G455" s="6" t="n"/>
      <c r="H455" s="6" t="n"/>
      <c r="I455" s="8" t="n"/>
      <c r="J455" s="12">
        <f>IF($I455="","",IF($H455="U$D",$I455,IFERROR($I455/VLOOKUP($B455*100+$C455,CONFIG!$I$5:$J$60,2,FALSE),"sin cotiz")))</f>
        <v/>
      </c>
      <c r="K455" s="6" t="n"/>
      <c r="L455" s="6" t="n"/>
      <c r="M455" s="6" t="n"/>
    </row>
    <row r="456">
      <c r="A456" s="10" t="n"/>
      <c r="B456" s="11">
        <f>IF($A456="","",YEAR($A456))</f>
        <v/>
      </c>
      <c r="C456" s="11">
        <f>IF($A456="","",MONTH($A456))</f>
        <v/>
      </c>
      <c r="D456" s="6" t="n"/>
      <c r="E456" s="6" t="n"/>
      <c r="F456" s="6" t="n"/>
      <c r="G456" s="6" t="n"/>
      <c r="H456" s="6" t="n"/>
      <c r="I456" s="8" t="n"/>
      <c r="J456" s="12">
        <f>IF($I456="","",IF($H456="U$D",$I456,IFERROR($I456/VLOOKUP($B456*100+$C456,CONFIG!$I$5:$J$60,2,FALSE),"sin cotiz")))</f>
        <v/>
      </c>
      <c r="K456" s="6" t="n"/>
      <c r="L456" s="6" t="n"/>
      <c r="M456" s="6" t="n"/>
    </row>
    <row r="457">
      <c r="A457" s="10" t="n"/>
      <c r="B457" s="11">
        <f>IF($A457="","",YEAR($A457))</f>
        <v/>
      </c>
      <c r="C457" s="11">
        <f>IF($A457="","",MONTH($A457))</f>
        <v/>
      </c>
      <c r="D457" s="6" t="n"/>
      <c r="E457" s="6" t="n"/>
      <c r="F457" s="6" t="n"/>
      <c r="G457" s="6" t="n"/>
      <c r="H457" s="6" t="n"/>
      <c r="I457" s="8" t="n"/>
      <c r="J457" s="12">
        <f>IF($I457="","",IF($H457="U$D",$I457,IFERROR($I457/VLOOKUP($B457*100+$C457,CONFIG!$I$5:$J$60,2,FALSE),"sin cotiz")))</f>
        <v/>
      </c>
      <c r="K457" s="6" t="n"/>
      <c r="L457" s="6" t="n"/>
      <c r="M457" s="6" t="n"/>
    </row>
    <row r="458">
      <c r="A458" s="10" t="n"/>
      <c r="B458" s="11">
        <f>IF($A458="","",YEAR($A458))</f>
        <v/>
      </c>
      <c r="C458" s="11">
        <f>IF($A458="","",MONTH($A458))</f>
        <v/>
      </c>
      <c r="D458" s="6" t="n"/>
      <c r="E458" s="6" t="n"/>
      <c r="F458" s="6" t="n"/>
      <c r="G458" s="6" t="n"/>
      <c r="H458" s="6" t="n"/>
      <c r="I458" s="8" t="n"/>
      <c r="J458" s="12">
        <f>IF($I458="","",IF($H458="U$D",$I458,IFERROR($I458/VLOOKUP($B458*100+$C458,CONFIG!$I$5:$J$60,2,FALSE),"sin cotiz")))</f>
        <v/>
      </c>
      <c r="K458" s="6" t="n"/>
      <c r="L458" s="6" t="n"/>
      <c r="M458" s="6" t="n"/>
    </row>
    <row r="459">
      <c r="A459" s="10" t="n"/>
      <c r="B459" s="11">
        <f>IF($A459="","",YEAR($A459))</f>
        <v/>
      </c>
      <c r="C459" s="11">
        <f>IF($A459="","",MONTH($A459))</f>
        <v/>
      </c>
      <c r="D459" s="6" t="n"/>
      <c r="E459" s="6" t="n"/>
      <c r="F459" s="6" t="n"/>
      <c r="G459" s="6" t="n"/>
      <c r="H459" s="6" t="n"/>
      <c r="I459" s="8" t="n"/>
      <c r="J459" s="12">
        <f>IF($I459="","",IF($H459="U$D",$I459,IFERROR($I459/VLOOKUP($B459*100+$C459,CONFIG!$I$5:$J$60,2,FALSE),"sin cotiz")))</f>
        <v/>
      </c>
      <c r="K459" s="6" t="n"/>
      <c r="L459" s="6" t="n"/>
      <c r="M459" s="6" t="n"/>
    </row>
    <row r="460">
      <c r="A460" s="10" t="n"/>
      <c r="B460" s="11">
        <f>IF($A460="","",YEAR($A460))</f>
        <v/>
      </c>
      <c r="C460" s="11">
        <f>IF($A460="","",MONTH($A460))</f>
        <v/>
      </c>
      <c r="D460" s="6" t="n"/>
      <c r="E460" s="6" t="n"/>
      <c r="F460" s="6" t="n"/>
      <c r="G460" s="6" t="n"/>
      <c r="H460" s="6" t="n"/>
      <c r="I460" s="8" t="n"/>
      <c r="J460" s="12">
        <f>IF($I460="","",IF($H460="U$D",$I460,IFERROR($I460/VLOOKUP($B460*100+$C460,CONFIG!$I$5:$J$60,2,FALSE),"sin cotiz")))</f>
        <v/>
      </c>
      <c r="K460" s="6" t="n"/>
      <c r="L460" s="6" t="n"/>
      <c r="M460" s="6" t="n"/>
    </row>
    <row r="461">
      <c r="A461" s="10" t="n"/>
      <c r="B461" s="11">
        <f>IF($A461="","",YEAR($A461))</f>
        <v/>
      </c>
      <c r="C461" s="11">
        <f>IF($A461="","",MONTH($A461))</f>
        <v/>
      </c>
      <c r="D461" s="6" t="n"/>
      <c r="E461" s="6" t="n"/>
      <c r="F461" s="6" t="n"/>
      <c r="G461" s="6" t="n"/>
      <c r="H461" s="6" t="n"/>
      <c r="I461" s="8" t="n"/>
      <c r="J461" s="12">
        <f>IF($I461="","",IF($H461="U$D",$I461,IFERROR($I461/VLOOKUP($B461*100+$C461,CONFIG!$I$5:$J$60,2,FALSE),"sin cotiz")))</f>
        <v/>
      </c>
      <c r="K461" s="6" t="n"/>
      <c r="L461" s="6" t="n"/>
      <c r="M461" s="6" t="n"/>
    </row>
    <row r="462">
      <c r="A462" s="10" t="n"/>
      <c r="B462" s="11">
        <f>IF($A462="","",YEAR($A462))</f>
        <v/>
      </c>
      <c r="C462" s="11">
        <f>IF($A462="","",MONTH($A462))</f>
        <v/>
      </c>
      <c r="D462" s="6" t="n"/>
      <c r="E462" s="6" t="n"/>
      <c r="F462" s="6" t="n"/>
      <c r="G462" s="6" t="n"/>
      <c r="H462" s="6" t="n"/>
      <c r="I462" s="8" t="n"/>
      <c r="J462" s="12">
        <f>IF($I462="","",IF($H462="U$D",$I462,IFERROR($I462/VLOOKUP($B462*100+$C462,CONFIG!$I$5:$J$60,2,FALSE),"sin cotiz")))</f>
        <v/>
      </c>
      <c r="K462" s="6" t="n"/>
      <c r="L462" s="6" t="n"/>
      <c r="M462" s="6" t="n"/>
    </row>
    <row r="463">
      <c r="A463" s="10" t="n"/>
      <c r="B463" s="11">
        <f>IF($A463="","",YEAR($A463))</f>
        <v/>
      </c>
      <c r="C463" s="11">
        <f>IF($A463="","",MONTH($A463))</f>
        <v/>
      </c>
      <c r="D463" s="6" t="n"/>
      <c r="E463" s="6" t="n"/>
      <c r="F463" s="6" t="n"/>
      <c r="G463" s="6" t="n"/>
      <c r="H463" s="6" t="n"/>
      <c r="I463" s="8" t="n"/>
      <c r="J463" s="12">
        <f>IF($I463="","",IF($H463="U$D",$I463,IFERROR($I463/VLOOKUP($B463*100+$C463,CONFIG!$I$5:$J$60,2,FALSE),"sin cotiz")))</f>
        <v/>
      </c>
      <c r="K463" s="6" t="n"/>
      <c r="L463" s="6" t="n"/>
      <c r="M463" s="6" t="n"/>
    </row>
    <row r="464">
      <c r="A464" s="10" t="n"/>
      <c r="B464" s="11">
        <f>IF($A464="","",YEAR($A464))</f>
        <v/>
      </c>
      <c r="C464" s="11">
        <f>IF($A464="","",MONTH($A464))</f>
        <v/>
      </c>
      <c r="D464" s="6" t="n"/>
      <c r="E464" s="6" t="n"/>
      <c r="F464" s="6" t="n"/>
      <c r="G464" s="6" t="n"/>
      <c r="H464" s="6" t="n"/>
      <c r="I464" s="8" t="n"/>
      <c r="J464" s="12">
        <f>IF($I464="","",IF($H464="U$D",$I464,IFERROR($I464/VLOOKUP($B464*100+$C464,CONFIG!$I$5:$J$60,2,FALSE),"sin cotiz")))</f>
        <v/>
      </c>
      <c r="K464" s="6" t="n"/>
      <c r="L464" s="6" t="n"/>
      <c r="M464" s="6" t="n"/>
    </row>
    <row r="465">
      <c r="A465" s="10" t="n"/>
      <c r="B465" s="11">
        <f>IF($A465="","",YEAR($A465))</f>
        <v/>
      </c>
      <c r="C465" s="11">
        <f>IF($A465="","",MONTH($A465))</f>
        <v/>
      </c>
      <c r="D465" s="6" t="n"/>
      <c r="E465" s="6" t="n"/>
      <c r="F465" s="6" t="n"/>
      <c r="G465" s="6" t="n"/>
      <c r="H465" s="6" t="n"/>
      <c r="I465" s="8" t="n"/>
      <c r="J465" s="12">
        <f>IF($I465="","",IF($H465="U$D",$I465,IFERROR($I465/VLOOKUP($B465*100+$C465,CONFIG!$I$5:$J$60,2,FALSE),"sin cotiz")))</f>
        <v/>
      </c>
      <c r="K465" s="6" t="n"/>
      <c r="L465" s="6" t="n"/>
      <c r="M465" s="6" t="n"/>
    </row>
    <row r="466">
      <c r="A466" s="10" t="n"/>
      <c r="B466" s="11">
        <f>IF($A466="","",YEAR($A466))</f>
        <v/>
      </c>
      <c r="C466" s="11">
        <f>IF($A466="","",MONTH($A466))</f>
        <v/>
      </c>
      <c r="D466" s="6" t="n"/>
      <c r="E466" s="6" t="n"/>
      <c r="F466" s="6" t="n"/>
      <c r="G466" s="6" t="n"/>
      <c r="H466" s="6" t="n"/>
      <c r="I466" s="8" t="n"/>
      <c r="J466" s="12">
        <f>IF($I466="","",IF($H466="U$D",$I466,IFERROR($I466/VLOOKUP($B466*100+$C466,CONFIG!$I$5:$J$60,2,FALSE),"sin cotiz")))</f>
        <v/>
      </c>
      <c r="K466" s="6" t="n"/>
      <c r="L466" s="6" t="n"/>
      <c r="M466" s="6" t="n"/>
    </row>
    <row r="467">
      <c r="A467" s="10" t="n"/>
      <c r="B467" s="11">
        <f>IF($A467="","",YEAR($A467))</f>
        <v/>
      </c>
      <c r="C467" s="11">
        <f>IF($A467="","",MONTH($A467))</f>
        <v/>
      </c>
      <c r="D467" s="6" t="n"/>
      <c r="E467" s="6" t="n"/>
      <c r="F467" s="6" t="n"/>
      <c r="G467" s="6" t="n"/>
      <c r="H467" s="6" t="n"/>
      <c r="I467" s="8" t="n"/>
      <c r="J467" s="12">
        <f>IF($I467="","",IF($H467="U$D",$I467,IFERROR($I467/VLOOKUP($B467*100+$C467,CONFIG!$I$5:$J$60,2,FALSE),"sin cotiz")))</f>
        <v/>
      </c>
      <c r="K467" s="6" t="n"/>
      <c r="L467" s="6" t="n"/>
      <c r="M467" s="6" t="n"/>
    </row>
    <row r="468">
      <c r="A468" s="10" t="n"/>
      <c r="B468" s="11">
        <f>IF($A468="","",YEAR($A468))</f>
        <v/>
      </c>
      <c r="C468" s="11">
        <f>IF($A468="","",MONTH($A468))</f>
        <v/>
      </c>
      <c r="D468" s="6" t="n"/>
      <c r="E468" s="6" t="n"/>
      <c r="F468" s="6" t="n"/>
      <c r="G468" s="6" t="n"/>
      <c r="H468" s="6" t="n"/>
      <c r="I468" s="8" t="n"/>
      <c r="J468" s="12">
        <f>IF($I468="","",IF($H468="U$D",$I468,IFERROR($I468/VLOOKUP($B468*100+$C468,CONFIG!$I$5:$J$60,2,FALSE),"sin cotiz")))</f>
        <v/>
      </c>
      <c r="K468" s="6" t="n"/>
      <c r="L468" s="6" t="n"/>
      <c r="M468" s="6" t="n"/>
    </row>
    <row r="469">
      <c r="A469" s="10" t="n"/>
      <c r="B469" s="11">
        <f>IF($A469="","",YEAR($A469))</f>
        <v/>
      </c>
      <c r="C469" s="11">
        <f>IF($A469="","",MONTH($A469))</f>
        <v/>
      </c>
      <c r="D469" s="6" t="n"/>
      <c r="E469" s="6" t="n"/>
      <c r="F469" s="6" t="n"/>
      <c r="G469" s="6" t="n"/>
      <c r="H469" s="6" t="n"/>
      <c r="I469" s="8" t="n"/>
      <c r="J469" s="12">
        <f>IF($I469="","",IF($H469="U$D",$I469,IFERROR($I469/VLOOKUP($B469*100+$C469,CONFIG!$I$5:$J$60,2,FALSE),"sin cotiz")))</f>
        <v/>
      </c>
      <c r="K469" s="6" t="n"/>
      <c r="L469" s="6" t="n"/>
      <c r="M469" s="6" t="n"/>
    </row>
    <row r="470">
      <c r="A470" s="10" t="n"/>
      <c r="B470" s="11">
        <f>IF($A470="","",YEAR($A470))</f>
        <v/>
      </c>
      <c r="C470" s="11">
        <f>IF($A470="","",MONTH($A470))</f>
        <v/>
      </c>
      <c r="D470" s="6" t="n"/>
      <c r="E470" s="6" t="n"/>
      <c r="F470" s="6" t="n"/>
      <c r="G470" s="6" t="n"/>
      <c r="H470" s="6" t="n"/>
      <c r="I470" s="8" t="n"/>
      <c r="J470" s="12">
        <f>IF($I470="","",IF($H470="U$D",$I470,IFERROR($I470/VLOOKUP($B470*100+$C470,CONFIG!$I$5:$J$60,2,FALSE),"sin cotiz")))</f>
        <v/>
      </c>
      <c r="K470" s="6" t="n"/>
      <c r="L470" s="6" t="n"/>
      <c r="M470" s="6" t="n"/>
    </row>
    <row r="471">
      <c r="A471" s="10" t="n"/>
      <c r="B471" s="11">
        <f>IF($A471="","",YEAR($A471))</f>
        <v/>
      </c>
      <c r="C471" s="11">
        <f>IF($A471="","",MONTH($A471))</f>
        <v/>
      </c>
      <c r="D471" s="6" t="n"/>
      <c r="E471" s="6" t="n"/>
      <c r="F471" s="6" t="n"/>
      <c r="G471" s="6" t="n"/>
      <c r="H471" s="6" t="n"/>
      <c r="I471" s="8" t="n"/>
      <c r="J471" s="12">
        <f>IF($I471="","",IF($H471="U$D",$I471,IFERROR($I471/VLOOKUP($B471*100+$C471,CONFIG!$I$5:$J$60,2,FALSE),"sin cotiz")))</f>
        <v/>
      </c>
      <c r="K471" s="6" t="n"/>
      <c r="L471" s="6" t="n"/>
      <c r="M471" s="6" t="n"/>
    </row>
    <row r="472">
      <c r="A472" s="10" t="n"/>
      <c r="B472" s="11">
        <f>IF($A472="","",YEAR($A472))</f>
        <v/>
      </c>
      <c r="C472" s="11">
        <f>IF($A472="","",MONTH($A472))</f>
        <v/>
      </c>
      <c r="D472" s="6" t="n"/>
      <c r="E472" s="6" t="n"/>
      <c r="F472" s="6" t="n"/>
      <c r="G472" s="6" t="n"/>
      <c r="H472" s="6" t="n"/>
      <c r="I472" s="8" t="n"/>
      <c r="J472" s="12">
        <f>IF($I472="","",IF($H472="U$D",$I472,IFERROR($I472/VLOOKUP($B472*100+$C472,CONFIG!$I$5:$J$60,2,FALSE),"sin cotiz")))</f>
        <v/>
      </c>
      <c r="K472" s="6" t="n"/>
      <c r="L472" s="6" t="n"/>
      <c r="M472" s="6" t="n"/>
    </row>
    <row r="473">
      <c r="A473" s="10" t="n"/>
      <c r="B473" s="11">
        <f>IF($A473="","",YEAR($A473))</f>
        <v/>
      </c>
      <c r="C473" s="11">
        <f>IF($A473="","",MONTH($A473))</f>
        <v/>
      </c>
      <c r="D473" s="6" t="n"/>
      <c r="E473" s="6" t="n"/>
      <c r="F473" s="6" t="n"/>
      <c r="G473" s="6" t="n"/>
      <c r="H473" s="6" t="n"/>
      <c r="I473" s="8" t="n"/>
      <c r="J473" s="12">
        <f>IF($I473="","",IF($H473="U$D",$I473,IFERROR($I473/VLOOKUP($B473*100+$C473,CONFIG!$I$5:$J$60,2,FALSE),"sin cotiz")))</f>
        <v/>
      </c>
      <c r="K473" s="6" t="n"/>
      <c r="L473" s="6" t="n"/>
      <c r="M473" s="6" t="n"/>
    </row>
    <row r="474">
      <c r="A474" s="10" t="n"/>
      <c r="B474" s="11">
        <f>IF($A474="","",YEAR($A474))</f>
        <v/>
      </c>
      <c r="C474" s="11">
        <f>IF($A474="","",MONTH($A474))</f>
        <v/>
      </c>
      <c r="D474" s="6" t="n"/>
      <c r="E474" s="6" t="n"/>
      <c r="F474" s="6" t="n"/>
      <c r="G474" s="6" t="n"/>
      <c r="H474" s="6" t="n"/>
      <c r="I474" s="8" t="n"/>
      <c r="J474" s="12">
        <f>IF($I474="","",IF($H474="U$D",$I474,IFERROR($I474/VLOOKUP($B474*100+$C474,CONFIG!$I$5:$J$60,2,FALSE),"sin cotiz")))</f>
        <v/>
      </c>
      <c r="K474" s="6" t="n"/>
      <c r="L474" s="6" t="n"/>
      <c r="M474" s="6" t="n"/>
    </row>
    <row r="475">
      <c r="A475" s="10" t="n"/>
      <c r="B475" s="11">
        <f>IF($A475="","",YEAR($A475))</f>
        <v/>
      </c>
      <c r="C475" s="11">
        <f>IF($A475="","",MONTH($A475))</f>
        <v/>
      </c>
      <c r="D475" s="6" t="n"/>
      <c r="E475" s="6" t="n"/>
      <c r="F475" s="6" t="n"/>
      <c r="G475" s="6" t="n"/>
      <c r="H475" s="6" t="n"/>
      <c r="I475" s="8" t="n"/>
      <c r="J475" s="12">
        <f>IF($I475="","",IF($H475="U$D",$I475,IFERROR($I475/VLOOKUP($B475*100+$C475,CONFIG!$I$5:$J$60,2,FALSE),"sin cotiz")))</f>
        <v/>
      </c>
      <c r="K475" s="6" t="n"/>
      <c r="L475" s="6" t="n"/>
      <c r="M475" s="6" t="n"/>
    </row>
    <row r="476">
      <c r="A476" s="10" t="n"/>
      <c r="B476" s="11">
        <f>IF($A476="","",YEAR($A476))</f>
        <v/>
      </c>
      <c r="C476" s="11">
        <f>IF($A476="","",MONTH($A476))</f>
        <v/>
      </c>
      <c r="D476" s="6" t="n"/>
      <c r="E476" s="6" t="n"/>
      <c r="F476" s="6" t="n"/>
      <c r="G476" s="6" t="n"/>
      <c r="H476" s="6" t="n"/>
      <c r="I476" s="8" t="n"/>
      <c r="J476" s="12">
        <f>IF($I476="","",IF($H476="U$D",$I476,IFERROR($I476/VLOOKUP($B476*100+$C476,CONFIG!$I$5:$J$60,2,FALSE),"sin cotiz")))</f>
        <v/>
      </c>
      <c r="K476" s="6" t="n"/>
      <c r="L476" s="6" t="n"/>
      <c r="M476" s="6" t="n"/>
    </row>
    <row r="477">
      <c r="A477" s="10" t="n"/>
      <c r="B477" s="11">
        <f>IF($A477="","",YEAR($A477))</f>
        <v/>
      </c>
      <c r="C477" s="11">
        <f>IF($A477="","",MONTH($A477))</f>
        <v/>
      </c>
      <c r="D477" s="6" t="n"/>
      <c r="E477" s="6" t="n"/>
      <c r="F477" s="6" t="n"/>
      <c r="G477" s="6" t="n"/>
      <c r="H477" s="6" t="n"/>
      <c r="I477" s="8" t="n"/>
      <c r="J477" s="12">
        <f>IF($I477="","",IF($H477="U$D",$I477,IFERROR($I477/VLOOKUP($B477*100+$C477,CONFIG!$I$5:$J$60,2,FALSE),"sin cotiz")))</f>
        <v/>
      </c>
      <c r="K477" s="6" t="n"/>
      <c r="L477" s="6" t="n"/>
      <c r="M477" s="6" t="n"/>
    </row>
    <row r="478">
      <c r="A478" s="10" t="n"/>
      <c r="B478" s="11">
        <f>IF($A478="","",YEAR($A478))</f>
        <v/>
      </c>
      <c r="C478" s="11">
        <f>IF($A478="","",MONTH($A478))</f>
        <v/>
      </c>
      <c r="D478" s="6" t="n"/>
      <c r="E478" s="6" t="n"/>
      <c r="F478" s="6" t="n"/>
      <c r="G478" s="6" t="n"/>
      <c r="H478" s="6" t="n"/>
      <c r="I478" s="8" t="n"/>
      <c r="J478" s="12">
        <f>IF($I478="","",IF($H478="U$D",$I478,IFERROR($I478/VLOOKUP($B478*100+$C478,CONFIG!$I$5:$J$60,2,FALSE),"sin cotiz")))</f>
        <v/>
      </c>
      <c r="K478" s="6" t="n"/>
      <c r="L478" s="6" t="n"/>
      <c r="M478" s="6" t="n"/>
    </row>
    <row r="479">
      <c r="A479" s="10" t="n"/>
      <c r="B479" s="11">
        <f>IF($A479="","",YEAR($A479))</f>
        <v/>
      </c>
      <c r="C479" s="11">
        <f>IF($A479="","",MONTH($A479))</f>
        <v/>
      </c>
      <c r="D479" s="6" t="n"/>
      <c r="E479" s="6" t="n"/>
      <c r="F479" s="6" t="n"/>
      <c r="G479" s="6" t="n"/>
      <c r="H479" s="6" t="n"/>
      <c r="I479" s="8" t="n"/>
      <c r="J479" s="12">
        <f>IF($I479="","",IF($H479="U$D",$I479,IFERROR($I479/VLOOKUP($B479*100+$C479,CONFIG!$I$5:$J$60,2,FALSE),"sin cotiz")))</f>
        <v/>
      </c>
      <c r="K479" s="6" t="n"/>
      <c r="L479" s="6" t="n"/>
      <c r="M479" s="6" t="n"/>
    </row>
    <row r="480">
      <c r="A480" s="10" t="n"/>
      <c r="B480" s="11">
        <f>IF($A480="","",YEAR($A480))</f>
        <v/>
      </c>
      <c r="C480" s="11">
        <f>IF($A480="","",MONTH($A480))</f>
        <v/>
      </c>
      <c r="D480" s="6" t="n"/>
      <c r="E480" s="6" t="n"/>
      <c r="F480" s="6" t="n"/>
      <c r="G480" s="6" t="n"/>
      <c r="H480" s="6" t="n"/>
      <c r="I480" s="8" t="n"/>
      <c r="J480" s="12">
        <f>IF($I480="","",IF($H480="U$D",$I480,IFERROR($I480/VLOOKUP($B480*100+$C480,CONFIG!$I$5:$J$60,2,FALSE),"sin cotiz")))</f>
        <v/>
      </c>
      <c r="K480" s="6" t="n"/>
      <c r="L480" s="6" t="n"/>
      <c r="M480" s="6" t="n"/>
    </row>
    <row r="481">
      <c r="A481" s="10" t="n"/>
      <c r="B481" s="11">
        <f>IF($A481="","",YEAR($A481))</f>
        <v/>
      </c>
      <c r="C481" s="11">
        <f>IF($A481="","",MONTH($A481))</f>
        <v/>
      </c>
      <c r="D481" s="6" t="n"/>
      <c r="E481" s="6" t="n"/>
      <c r="F481" s="6" t="n"/>
      <c r="G481" s="6" t="n"/>
      <c r="H481" s="6" t="n"/>
      <c r="I481" s="8" t="n"/>
      <c r="J481" s="12">
        <f>IF($I481="","",IF($H481="U$D",$I481,IFERROR($I481/VLOOKUP($B481*100+$C481,CONFIG!$I$5:$J$60,2,FALSE),"sin cotiz")))</f>
        <v/>
      </c>
      <c r="K481" s="6" t="n"/>
      <c r="L481" s="6" t="n"/>
      <c r="M481" s="6" t="n"/>
    </row>
    <row r="482">
      <c r="A482" s="10" t="n"/>
      <c r="B482" s="11">
        <f>IF($A482="","",YEAR($A482))</f>
        <v/>
      </c>
      <c r="C482" s="11">
        <f>IF($A482="","",MONTH($A482))</f>
        <v/>
      </c>
      <c r="D482" s="6" t="n"/>
      <c r="E482" s="6" t="n"/>
      <c r="F482" s="6" t="n"/>
      <c r="G482" s="6" t="n"/>
      <c r="H482" s="6" t="n"/>
      <c r="I482" s="8" t="n"/>
      <c r="J482" s="12">
        <f>IF($I482="","",IF($H482="U$D",$I482,IFERROR($I482/VLOOKUP($B482*100+$C482,CONFIG!$I$5:$J$60,2,FALSE),"sin cotiz")))</f>
        <v/>
      </c>
      <c r="K482" s="6" t="n"/>
      <c r="L482" s="6" t="n"/>
      <c r="M482" s="6" t="n"/>
    </row>
    <row r="483">
      <c r="A483" s="10" t="n"/>
      <c r="B483" s="11">
        <f>IF($A483="","",YEAR($A483))</f>
        <v/>
      </c>
      <c r="C483" s="11">
        <f>IF($A483="","",MONTH($A483))</f>
        <v/>
      </c>
      <c r="D483" s="6" t="n"/>
      <c r="E483" s="6" t="n"/>
      <c r="F483" s="6" t="n"/>
      <c r="G483" s="6" t="n"/>
      <c r="H483" s="6" t="n"/>
      <c r="I483" s="8" t="n"/>
      <c r="J483" s="12">
        <f>IF($I483="","",IF($H483="U$D",$I483,IFERROR($I483/VLOOKUP($B483*100+$C483,CONFIG!$I$5:$J$60,2,FALSE),"sin cotiz")))</f>
        <v/>
      </c>
      <c r="K483" s="6" t="n"/>
      <c r="L483" s="6" t="n"/>
      <c r="M483" s="6" t="n"/>
    </row>
    <row r="484">
      <c r="A484" s="10" t="n"/>
      <c r="B484" s="11">
        <f>IF($A484="","",YEAR($A484))</f>
        <v/>
      </c>
      <c r="C484" s="11">
        <f>IF($A484="","",MONTH($A484))</f>
        <v/>
      </c>
      <c r="D484" s="6" t="n"/>
      <c r="E484" s="6" t="n"/>
      <c r="F484" s="6" t="n"/>
      <c r="G484" s="6" t="n"/>
      <c r="H484" s="6" t="n"/>
      <c r="I484" s="8" t="n"/>
      <c r="J484" s="12">
        <f>IF($I484="","",IF($H484="U$D",$I484,IFERROR($I484/VLOOKUP($B484*100+$C484,CONFIG!$I$5:$J$60,2,FALSE),"sin cotiz")))</f>
        <v/>
      </c>
      <c r="K484" s="6" t="n"/>
      <c r="L484" s="6" t="n"/>
      <c r="M484" s="6" t="n"/>
    </row>
    <row r="485">
      <c r="A485" s="10" t="n"/>
      <c r="B485" s="11">
        <f>IF($A485="","",YEAR($A485))</f>
        <v/>
      </c>
      <c r="C485" s="11">
        <f>IF($A485="","",MONTH($A485))</f>
        <v/>
      </c>
      <c r="D485" s="6" t="n"/>
      <c r="E485" s="6" t="n"/>
      <c r="F485" s="6" t="n"/>
      <c r="G485" s="6" t="n"/>
      <c r="H485" s="6" t="n"/>
      <c r="I485" s="8" t="n"/>
      <c r="J485" s="12">
        <f>IF($I485="","",IF($H485="U$D",$I485,IFERROR($I485/VLOOKUP($B485*100+$C485,CONFIG!$I$5:$J$60,2,FALSE),"sin cotiz")))</f>
        <v/>
      </c>
      <c r="K485" s="6" t="n"/>
      <c r="L485" s="6" t="n"/>
      <c r="M485" s="6" t="n"/>
    </row>
    <row r="486">
      <c r="A486" s="10" t="n"/>
      <c r="B486" s="11">
        <f>IF($A486="","",YEAR($A486))</f>
        <v/>
      </c>
      <c r="C486" s="11">
        <f>IF($A486="","",MONTH($A486))</f>
        <v/>
      </c>
      <c r="D486" s="6" t="n"/>
      <c r="E486" s="6" t="n"/>
      <c r="F486" s="6" t="n"/>
      <c r="G486" s="6" t="n"/>
      <c r="H486" s="6" t="n"/>
      <c r="I486" s="8" t="n"/>
      <c r="J486" s="12">
        <f>IF($I486="","",IF($H486="U$D",$I486,IFERROR($I486/VLOOKUP($B486*100+$C486,CONFIG!$I$5:$J$60,2,FALSE),"sin cotiz")))</f>
        <v/>
      </c>
      <c r="K486" s="6" t="n"/>
      <c r="L486" s="6" t="n"/>
      <c r="M486" s="6" t="n"/>
    </row>
    <row r="487">
      <c r="A487" s="10" t="n"/>
      <c r="B487" s="11">
        <f>IF($A487="","",YEAR($A487))</f>
        <v/>
      </c>
      <c r="C487" s="11">
        <f>IF($A487="","",MONTH($A487))</f>
        <v/>
      </c>
      <c r="D487" s="6" t="n"/>
      <c r="E487" s="6" t="n"/>
      <c r="F487" s="6" t="n"/>
      <c r="G487" s="6" t="n"/>
      <c r="H487" s="6" t="n"/>
      <c r="I487" s="8" t="n"/>
      <c r="J487" s="12">
        <f>IF($I487="","",IF($H487="U$D",$I487,IFERROR($I487/VLOOKUP($B487*100+$C487,CONFIG!$I$5:$J$60,2,FALSE),"sin cotiz")))</f>
        <v/>
      </c>
      <c r="K487" s="6" t="n"/>
      <c r="L487" s="6" t="n"/>
      <c r="M487" s="6" t="n"/>
    </row>
    <row r="488">
      <c r="A488" s="10" t="n"/>
      <c r="B488" s="11">
        <f>IF($A488="","",YEAR($A488))</f>
        <v/>
      </c>
      <c r="C488" s="11">
        <f>IF($A488="","",MONTH($A488))</f>
        <v/>
      </c>
      <c r="D488" s="6" t="n"/>
      <c r="E488" s="6" t="n"/>
      <c r="F488" s="6" t="n"/>
      <c r="G488" s="6" t="n"/>
      <c r="H488" s="6" t="n"/>
      <c r="I488" s="8" t="n"/>
      <c r="J488" s="12">
        <f>IF($I488="","",IF($H488="U$D",$I488,IFERROR($I488/VLOOKUP($B488*100+$C488,CONFIG!$I$5:$J$60,2,FALSE),"sin cotiz")))</f>
        <v/>
      </c>
      <c r="K488" s="6" t="n"/>
      <c r="L488" s="6" t="n"/>
      <c r="M488" s="6" t="n"/>
    </row>
    <row r="489">
      <c r="A489" s="10" t="n"/>
      <c r="B489" s="11">
        <f>IF($A489="","",YEAR($A489))</f>
        <v/>
      </c>
      <c r="C489" s="11">
        <f>IF($A489="","",MONTH($A489))</f>
        <v/>
      </c>
      <c r="D489" s="6" t="n"/>
      <c r="E489" s="6" t="n"/>
      <c r="F489" s="6" t="n"/>
      <c r="G489" s="6" t="n"/>
      <c r="H489" s="6" t="n"/>
      <c r="I489" s="8" t="n"/>
      <c r="J489" s="12">
        <f>IF($I489="","",IF($H489="U$D",$I489,IFERROR($I489/VLOOKUP($B489*100+$C489,CONFIG!$I$5:$J$60,2,FALSE),"sin cotiz")))</f>
        <v/>
      </c>
      <c r="K489" s="6" t="n"/>
      <c r="L489" s="6" t="n"/>
      <c r="M489" s="6" t="n"/>
    </row>
    <row r="490">
      <c r="A490" s="10" t="n"/>
      <c r="B490" s="11">
        <f>IF($A490="","",YEAR($A490))</f>
        <v/>
      </c>
      <c r="C490" s="11">
        <f>IF($A490="","",MONTH($A490))</f>
        <v/>
      </c>
      <c r="D490" s="6" t="n"/>
      <c r="E490" s="6" t="n"/>
      <c r="F490" s="6" t="n"/>
      <c r="G490" s="6" t="n"/>
      <c r="H490" s="6" t="n"/>
      <c r="I490" s="8" t="n"/>
      <c r="J490" s="12">
        <f>IF($I490="","",IF($H490="U$D",$I490,IFERROR($I490/VLOOKUP($B490*100+$C490,CONFIG!$I$5:$J$60,2,FALSE),"sin cotiz")))</f>
        <v/>
      </c>
      <c r="K490" s="6" t="n"/>
      <c r="L490" s="6" t="n"/>
      <c r="M490" s="6" t="n"/>
    </row>
    <row r="491">
      <c r="A491" s="10" t="n"/>
      <c r="B491" s="11">
        <f>IF($A491="","",YEAR($A491))</f>
        <v/>
      </c>
      <c r="C491" s="11">
        <f>IF($A491="","",MONTH($A491))</f>
        <v/>
      </c>
      <c r="D491" s="6" t="n"/>
      <c r="E491" s="6" t="n"/>
      <c r="F491" s="6" t="n"/>
      <c r="G491" s="6" t="n"/>
      <c r="H491" s="6" t="n"/>
      <c r="I491" s="8" t="n"/>
      <c r="J491" s="12">
        <f>IF($I491="","",IF($H491="U$D",$I491,IFERROR($I491/VLOOKUP($B491*100+$C491,CONFIG!$I$5:$J$60,2,FALSE),"sin cotiz")))</f>
        <v/>
      </c>
      <c r="K491" s="6" t="n"/>
      <c r="L491" s="6" t="n"/>
      <c r="M491" s="6" t="n"/>
    </row>
    <row r="492">
      <c r="A492" s="10" t="n"/>
      <c r="B492" s="11">
        <f>IF($A492="","",YEAR($A492))</f>
        <v/>
      </c>
      <c r="C492" s="11">
        <f>IF($A492="","",MONTH($A492))</f>
        <v/>
      </c>
      <c r="D492" s="6" t="n"/>
      <c r="E492" s="6" t="n"/>
      <c r="F492" s="6" t="n"/>
      <c r="G492" s="6" t="n"/>
      <c r="H492" s="6" t="n"/>
      <c r="I492" s="8" t="n"/>
      <c r="J492" s="12">
        <f>IF($I492="","",IF($H492="U$D",$I492,IFERROR($I492/VLOOKUP($B492*100+$C492,CONFIG!$I$5:$J$60,2,FALSE),"sin cotiz")))</f>
        <v/>
      </c>
      <c r="K492" s="6" t="n"/>
      <c r="L492" s="6" t="n"/>
      <c r="M492" s="6" t="n"/>
    </row>
    <row r="493">
      <c r="A493" s="10" t="n"/>
      <c r="B493" s="11">
        <f>IF($A493="","",YEAR($A493))</f>
        <v/>
      </c>
      <c r="C493" s="11">
        <f>IF($A493="","",MONTH($A493))</f>
        <v/>
      </c>
      <c r="D493" s="6" t="n"/>
      <c r="E493" s="6" t="n"/>
      <c r="F493" s="6" t="n"/>
      <c r="G493" s="6" t="n"/>
      <c r="H493" s="6" t="n"/>
      <c r="I493" s="8" t="n"/>
      <c r="J493" s="12">
        <f>IF($I493="","",IF($H493="U$D",$I493,IFERROR($I493/VLOOKUP($B493*100+$C493,CONFIG!$I$5:$J$60,2,FALSE),"sin cotiz")))</f>
        <v/>
      </c>
      <c r="K493" s="6" t="n"/>
      <c r="L493" s="6" t="n"/>
      <c r="M493" s="6" t="n"/>
    </row>
    <row r="494">
      <c r="A494" s="10" t="n"/>
      <c r="B494" s="11">
        <f>IF($A494="","",YEAR($A494))</f>
        <v/>
      </c>
      <c r="C494" s="11">
        <f>IF($A494="","",MONTH($A494))</f>
        <v/>
      </c>
      <c r="D494" s="6" t="n"/>
      <c r="E494" s="6" t="n"/>
      <c r="F494" s="6" t="n"/>
      <c r="G494" s="6" t="n"/>
      <c r="H494" s="6" t="n"/>
      <c r="I494" s="8" t="n"/>
      <c r="J494" s="12">
        <f>IF($I494="","",IF($H494="U$D",$I494,IFERROR($I494/VLOOKUP($B494*100+$C494,CONFIG!$I$5:$J$60,2,FALSE),"sin cotiz")))</f>
        <v/>
      </c>
      <c r="K494" s="6" t="n"/>
      <c r="L494" s="6" t="n"/>
      <c r="M494" s="6" t="n"/>
    </row>
    <row r="495">
      <c r="A495" s="10" t="n"/>
      <c r="B495" s="11">
        <f>IF($A495="","",YEAR($A495))</f>
        <v/>
      </c>
      <c r="C495" s="11">
        <f>IF($A495="","",MONTH($A495))</f>
        <v/>
      </c>
      <c r="D495" s="6" t="n"/>
      <c r="E495" s="6" t="n"/>
      <c r="F495" s="6" t="n"/>
      <c r="G495" s="6" t="n"/>
      <c r="H495" s="6" t="n"/>
      <c r="I495" s="8" t="n"/>
      <c r="J495" s="12">
        <f>IF($I495="","",IF($H495="U$D",$I495,IFERROR($I495/VLOOKUP($B495*100+$C495,CONFIG!$I$5:$J$60,2,FALSE),"sin cotiz")))</f>
        <v/>
      </c>
      <c r="K495" s="6" t="n"/>
      <c r="L495" s="6" t="n"/>
      <c r="M495" s="6" t="n"/>
    </row>
    <row r="496">
      <c r="A496" s="10" t="n"/>
      <c r="B496" s="11">
        <f>IF($A496="","",YEAR($A496))</f>
        <v/>
      </c>
      <c r="C496" s="11">
        <f>IF($A496="","",MONTH($A496))</f>
        <v/>
      </c>
      <c r="D496" s="6" t="n"/>
      <c r="E496" s="6" t="n"/>
      <c r="F496" s="6" t="n"/>
      <c r="G496" s="6" t="n"/>
      <c r="H496" s="6" t="n"/>
      <c r="I496" s="8" t="n"/>
      <c r="J496" s="12">
        <f>IF($I496="","",IF($H496="U$D",$I496,IFERROR($I496/VLOOKUP($B496*100+$C496,CONFIG!$I$5:$J$60,2,FALSE),"sin cotiz")))</f>
        <v/>
      </c>
      <c r="K496" s="6" t="n"/>
      <c r="L496" s="6" t="n"/>
      <c r="M496" s="6" t="n"/>
    </row>
    <row r="497">
      <c r="A497" s="10" t="n"/>
      <c r="B497" s="11">
        <f>IF($A497="","",YEAR($A497))</f>
        <v/>
      </c>
      <c r="C497" s="11">
        <f>IF($A497="","",MONTH($A497))</f>
        <v/>
      </c>
      <c r="D497" s="6" t="n"/>
      <c r="E497" s="6" t="n"/>
      <c r="F497" s="6" t="n"/>
      <c r="G497" s="6" t="n"/>
      <c r="H497" s="6" t="n"/>
      <c r="I497" s="8" t="n"/>
      <c r="J497" s="12">
        <f>IF($I497="","",IF($H497="U$D",$I497,IFERROR($I497/VLOOKUP($B497*100+$C497,CONFIG!$I$5:$J$60,2,FALSE),"sin cotiz")))</f>
        <v/>
      </c>
      <c r="K497" s="6" t="n"/>
      <c r="L497" s="6" t="n"/>
      <c r="M497" s="6" t="n"/>
    </row>
    <row r="498">
      <c r="A498" s="10" t="n"/>
      <c r="B498" s="11">
        <f>IF($A498="","",YEAR($A498))</f>
        <v/>
      </c>
      <c r="C498" s="11">
        <f>IF($A498="","",MONTH($A498))</f>
        <v/>
      </c>
      <c r="D498" s="6" t="n"/>
      <c r="E498" s="6" t="n"/>
      <c r="F498" s="6" t="n"/>
      <c r="G498" s="6" t="n"/>
      <c r="H498" s="6" t="n"/>
      <c r="I498" s="8" t="n"/>
      <c r="J498" s="12">
        <f>IF($I498="","",IF($H498="U$D",$I498,IFERROR($I498/VLOOKUP($B498*100+$C498,CONFIG!$I$5:$J$60,2,FALSE),"sin cotiz")))</f>
        <v/>
      </c>
      <c r="K498" s="6" t="n"/>
      <c r="L498" s="6" t="n"/>
      <c r="M498" s="6" t="n"/>
    </row>
    <row r="499">
      <c r="A499" s="10" t="n"/>
      <c r="B499" s="11">
        <f>IF($A499="","",YEAR($A499))</f>
        <v/>
      </c>
      <c r="C499" s="11">
        <f>IF($A499="","",MONTH($A499))</f>
        <v/>
      </c>
      <c r="D499" s="6" t="n"/>
      <c r="E499" s="6" t="n"/>
      <c r="F499" s="6" t="n"/>
      <c r="G499" s="6" t="n"/>
      <c r="H499" s="6" t="n"/>
      <c r="I499" s="8" t="n"/>
      <c r="J499" s="12">
        <f>IF($I499="","",IF($H499="U$D",$I499,IFERROR($I499/VLOOKUP($B499*100+$C499,CONFIG!$I$5:$J$60,2,FALSE),"sin cotiz")))</f>
        <v/>
      </c>
      <c r="K499" s="6" t="n"/>
      <c r="L499" s="6" t="n"/>
      <c r="M499" s="6" t="n"/>
    </row>
    <row r="500">
      <c r="A500" s="10" t="n"/>
      <c r="B500" s="11">
        <f>IF($A500="","",YEAR($A500))</f>
        <v/>
      </c>
      <c r="C500" s="11">
        <f>IF($A500="","",MONTH($A500))</f>
        <v/>
      </c>
      <c r="D500" s="6" t="n"/>
      <c r="E500" s="6" t="n"/>
      <c r="F500" s="6" t="n"/>
      <c r="G500" s="6" t="n"/>
      <c r="H500" s="6" t="n"/>
      <c r="I500" s="8" t="n"/>
      <c r="J500" s="12">
        <f>IF($I500="","",IF($H500="U$D",$I500,IFERROR($I500/VLOOKUP($B500*100+$C500,CONFIG!$I$5:$J$60,2,FALSE),"sin cotiz")))</f>
        <v/>
      </c>
      <c r="K500" s="6" t="n"/>
      <c r="L500" s="6" t="n"/>
      <c r="M500" s="6" t="n"/>
    </row>
    <row r="501">
      <c r="A501" s="10" t="n"/>
      <c r="B501" s="11">
        <f>IF($A501="","",YEAR($A501))</f>
        <v/>
      </c>
      <c r="C501" s="11">
        <f>IF($A501="","",MONTH($A501))</f>
        <v/>
      </c>
      <c r="D501" s="6" t="n"/>
      <c r="E501" s="6" t="n"/>
      <c r="F501" s="6" t="n"/>
      <c r="G501" s="6" t="n"/>
      <c r="H501" s="6" t="n"/>
      <c r="I501" s="8" t="n"/>
      <c r="J501" s="12">
        <f>IF($I501="","",IF($H501="U$D",$I501,IFERROR($I501/VLOOKUP($B501*100+$C501,CONFIG!$I$5:$J$60,2,FALSE),"sin cotiz")))</f>
        <v/>
      </c>
      <c r="K501" s="6" t="n"/>
      <c r="L501" s="6" t="n"/>
      <c r="M501" s="6" t="n"/>
    </row>
    <row r="502">
      <c r="A502" s="10" t="n"/>
      <c r="B502" s="11">
        <f>IF($A502="","",YEAR($A502))</f>
        <v/>
      </c>
      <c r="C502" s="11">
        <f>IF($A502="","",MONTH($A502))</f>
        <v/>
      </c>
      <c r="D502" s="6" t="n"/>
      <c r="E502" s="6" t="n"/>
      <c r="F502" s="6" t="n"/>
      <c r="G502" s="6" t="n"/>
      <c r="H502" s="6" t="n"/>
      <c r="I502" s="8" t="n"/>
      <c r="J502" s="12">
        <f>IF($I502="","",IF($H502="U$D",$I502,IFERROR($I502/VLOOKUP($B502*100+$C502,CONFIG!$I$5:$J$60,2,FALSE),"sin cotiz")))</f>
        <v/>
      </c>
      <c r="K502" s="6" t="n"/>
      <c r="L502" s="6" t="n"/>
      <c r="M502" s="6" t="n"/>
    </row>
    <row r="503">
      <c r="A503" s="10" t="n"/>
      <c r="B503" s="11">
        <f>IF($A503="","",YEAR($A503))</f>
        <v/>
      </c>
      <c r="C503" s="11">
        <f>IF($A503="","",MONTH($A503))</f>
        <v/>
      </c>
      <c r="D503" s="6" t="n"/>
      <c r="E503" s="6" t="n"/>
      <c r="F503" s="6" t="n"/>
      <c r="G503" s="6" t="n"/>
      <c r="H503" s="6" t="n"/>
      <c r="I503" s="8" t="n"/>
      <c r="J503" s="12">
        <f>IF($I503="","",IF($H503="U$D",$I503,IFERROR($I503/VLOOKUP($B503*100+$C503,CONFIG!$I$5:$J$60,2,FALSE),"sin cotiz")))</f>
        <v/>
      </c>
      <c r="K503" s="6" t="n"/>
      <c r="L503" s="6" t="n"/>
      <c r="M503" s="6" t="n"/>
    </row>
    <row r="504">
      <c r="A504" s="10" t="n"/>
      <c r="B504" s="11">
        <f>IF($A504="","",YEAR($A504))</f>
        <v/>
      </c>
      <c r="C504" s="11">
        <f>IF($A504="","",MONTH($A504))</f>
        <v/>
      </c>
      <c r="D504" s="6" t="n"/>
      <c r="E504" s="6" t="n"/>
      <c r="F504" s="6" t="n"/>
      <c r="G504" s="6" t="n"/>
      <c r="H504" s="6" t="n"/>
      <c r="I504" s="8" t="n"/>
      <c r="J504" s="12">
        <f>IF($I504="","",IF($H504="U$D",$I504,IFERROR($I504/VLOOKUP($B504*100+$C504,CONFIG!$I$5:$J$60,2,FALSE),"sin cotiz")))</f>
        <v/>
      </c>
      <c r="K504" s="6" t="n"/>
      <c r="L504" s="6" t="n"/>
      <c r="M504" s="6" t="n"/>
    </row>
    <row r="505">
      <c r="A505" s="10" t="n"/>
      <c r="B505" s="11">
        <f>IF($A505="","",YEAR($A505))</f>
        <v/>
      </c>
      <c r="C505" s="11">
        <f>IF($A505="","",MONTH($A505))</f>
        <v/>
      </c>
      <c r="D505" s="6" t="n"/>
      <c r="E505" s="6" t="n"/>
      <c r="F505" s="6" t="n"/>
      <c r="G505" s="6" t="n"/>
      <c r="H505" s="6" t="n"/>
      <c r="I505" s="8" t="n"/>
      <c r="J505" s="12">
        <f>IF($I505="","",IF($H505="U$D",$I505,IFERROR($I505/VLOOKUP($B505*100+$C505,CONFIG!$I$5:$J$60,2,FALSE),"sin cotiz")))</f>
        <v/>
      </c>
      <c r="K505" s="6" t="n"/>
      <c r="L505" s="6" t="n"/>
      <c r="M505" s="6" t="n"/>
    </row>
    <row r="506">
      <c r="A506" s="10" t="n"/>
      <c r="B506" s="11">
        <f>IF($A506="","",YEAR($A506))</f>
        <v/>
      </c>
      <c r="C506" s="11">
        <f>IF($A506="","",MONTH($A506))</f>
        <v/>
      </c>
      <c r="D506" s="6" t="n"/>
      <c r="E506" s="6" t="n"/>
      <c r="F506" s="6" t="n"/>
      <c r="G506" s="6" t="n"/>
      <c r="H506" s="6" t="n"/>
      <c r="I506" s="8" t="n"/>
      <c r="J506" s="12">
        <f>IF($I506="","",IF($H506="U$D",$I506,IFERROR($I506/VLOOKUP($B506*100+$C506,CONFIG!$I$5:$J$60,2,FALSE),"sin cotiz")))</f>
        <v/>
      </c>
      <c r="K506" s="6" t="n"/>
      <c r="L506" s="6" t="n"/>
      <c r="M506" s="6" t="n"/>
    </row>
    <row r="507">
      <c r="A507" s="10" t="n"/>
      <c r="B507" s="11">
        <f>IF($A507="","",YEAR($A507))</f>
        <v/>
      </c>
      <c r="C507" s="11">
        <f>IF($A507="","",MONTH($A507))</f>
        <v/>
      </c>
      <c r="D507" s="6" t="n"/>
      <c r="E507" s="6" t="n"/>
      <c r="F507" s="6" t="n"/>
      <c r="G507" s="6" t="n"/>
      <c r="H507" s="6" t="n"/>
      <c r="I507" s="8" t="n"/>
      <c r="J507" s="12">
        <f>IF($I507="","",IF($H507="U$D",$I507,IFERROR($I507/VLOOKUP($B507*100+$C507,CONFIG!$I$5:$J$60,2,FALSE),"sin cotiz")))</f>
        <v/>
      </c>
      <c r="K507" s="6" t="n"/>
      <c r="L507" s="6" t="n"/>
      <c r="M507" s="6" t="n"/>
    </row>
    <row r="508">
      <c r="A508" s="10" t="n"/>
      <c r="B508" s="11">
        <f>IF($A508="","",YEAR($A508))</f>
        <v/>
      </c>
      <c r="C508" s="11">
        <f>IF($A508="","",MONTH($A508))</f>
        <v/>
      </c>
      <c r="D508" s="6" t="n"/>
      <c r="E508" s="6" t="n"/>
      <c r="F508" s="6" t="n"/>
      <c r="G508" s="6" t="n"/>
      <c r="H508" s="6" t="n"/>
      <c r="I508" s="8" t="n"/>
      <c r="J508" s="12">
        <f>IF($I508="","",IF($H508="U$D",$I508,IFERROR($I508/VLOOKUP($B508*100+$C508,CONFIG!$I$5:$J$60,2,FALSE),"sin cotiz")))</f>
        <v/>
      </c>
      <c r="K508" s="6" t="n"/>
      <c r="L508" s="6" t="n"/>
      <c r="M508" s="6" t="n"/>
    </row>
    <row r="509">
      <c r="A509" s="10" t="n"/>
      <c r="B509" s="11">
        <f>IF($A509="","",YEAR($A509))</f>
        <v/>
      </c>
      <c r="C509" s="11">
        <f>IF($A509="","",MONTH($A509))</f>
        <v/>
      </c>
      <c r="D509" s="6" t="n"/>
      <c r="E509" s="6" t="n"/>
      <c r="F509" s="6" t="n"/>
      <c r="G509" s="6" t="n"/>
      <c r="H509" s="6" t="n"/>
      <c r="I509" s="8" t="n"/>
      <c r="J509" s="12">
        <f>IF($I509="","",IF($H509="U$D",$I509,IFERROR($I509/VLOOKUP($B509*100+$C509,CONFIG!$I$5:$J$60,2,FALSE),"sin cotiz")))</f>
        <v/>
      </c>
      <c r="K509" s="6" t="n"/>
      <c r="L509" s="6" t="n"/>
      <c r="M509" s="6" t="n"/>
    </row>
    <row r="510">
      <c r="A510" s="10" t="n"/>
      <c r="B510" s="11">
        <f>IF($A510="","",YEAR($A510))</f>
        <v/>
      </c>
      <c r="C510" s="11">
        <f>IF($A510="","",MONTH($A510))</f>
        <v/>
      </c>
      <c r="D510" s="6" t="n"/>
      <c r="E510" s="6" t="n"/>
      <c r="F510" s="6" t="n"/>
      <c r="G510" s="6" t="n"/>
      <c r="H510" s="6" t="n"/>
      <c r="I510" s="8" t="n"/>
      <c r="J510" s="12">
        <f>IF($I510="","",IF($H510="U$D",$I510,IFERROR($I510/VLOOKUP($B510*100+$C510,CONFIG!$I$5:$J$60,2,FALSE),"sin cotiz")))</f>
        <v/>
      </c>
      <c r="K510" s="6" t="n"/>
      <c r="L510" s="6" t="n"/>
      <c r="M510" s="6" t="n"/>
    </row>
    <row r="511">
      <c r="A511" s="10" t="n"/>
      <c r="B511" s="11">
        <f>IF($A511="","",YEAR($A511))</f>
        <v/>
      </c>
      <c r="C511" s="11">
        <f>IF($A511="","",MONTH($A511))</f>
        <v/>
      </c>
      <c r="D511" s="6" t="n"/>
      <c r="E511" s="6" t="n"/>
      <c r="F511" s="6" t="n"/>
      <c r="G511" s="6" t="n"/>
      <c r="H511" s="6" t="n"/>
      <c r="I511" s="8" t="n"/>
      <c r="J511" s="12">
        <f>IF($I511="","",IF($H511="U$D",$I511,IFERROR($I511/VLOOKUP($B511*100+$C511,CONFIG!$I$5:$J$60,2,FALSE),"sin cotiz")))</f>
        <v/>
      </c>
      <c r="K511" s="6" t="n"/>
      <c r="L511" s="6" t="n"/>
      <c r="M511" s="6" t="n"/>
    </row>
    <row r="512">
      <c r="A512" s="10" t="n"/>
      <c r="B512" s="11">
        <f>IF($A512="","",YEAR($A512))</f>
        <v/>
      </c>
      <c r="C512" s="11">
        <f>IF($A512="","",MONTH($A512))</f>
        <v/>
      </c>
      <c r="D512" s="6" t="n"/>
      <c r="E512" s="6" t="n"/>
      <c r="F512" s="6" t="n"/>
      <c r="G512" s="6" t="n"/>
      <c r="H512" s="6" t="n"/>
      <c r="I512" s="8" t="n"/>
      <c r="J512" s="12">
        <f>IF($I512="","",IF($H512="U$D",$I512,IFERROR($I512/VLOOKUP($B512*100+$C512,CONFIG!$I$5:$J$60,2,FALSE),"sin cotiz")))</f>
        <v/>
      </c>
      <c r="K512" s="6" t="n"/>
      <c r="L512" s="6" t="n"/>
      <c r="M512" s="6" t="n"/>
    </row>
    <row r="513">
      <c r="A513" s="10" t="n"/>
      <c r="B513" s="11">
        <f>IF($A513="","",YEAR($A513))</f>
        <v/>
      </c>
      <c r="C513" s="11">
        <f>IF($A513="","",MONTH($A513))</f>
        <v/>
      </c>
      <c r="D513" s="6" t="n"/>
      <c r="E513" s="6" t="n"/>
      <c r="F513" s="6" t="n"/>
      <c r="G513" s="6" t="n"/>
      <c r="H513" s="6" t="n"/>
      <c r="I513" s="8" t="n"/>
      <c r="J513" s="12">
        <f>IF($I513="","",IF($H513="U$D",$I513,IFERROR($I513/VLOOKUP($B513*100+$C513,CONFIG!$I$5:$J$60,2,FALSE),"sin cotiz")))</f>
        <v/>
      </c>
      <c r="K513" s="6" t="n"/>
      <c r="L513" s="6" t="n"/>
      <c r="M513" s="6" t="n"/>
    </row>
    <row r="514">
      <c r="A514" s="10" t="n"/>
      <c r="B514" s="11">
        <f>IF($A514="","",YEAR($A514))</f>
        <v/>
      </c>
      <c r="C514" s="11">
        <f>IF($A514="","",MONTH($A514))</f>
        <v/>
      </c>
      <c r="D514" s="6" t="n"/>
      <c r="E514" s="6" t="n"/>
      <c r="F514" s="6" t="n"/>
      <c r="G514" s="6" t="n"/>
      <c r="H514" s="6" t="n"/>
      <c r="I514" s="8" t="n"/>
      <c r="J514" s="12">
        <f>IF($I514="","",IF($H514="U$D",$I514,IFERROR($I514/VLOOKUP($B514*100+$C514,CONFIG!$I$5:$J$60,2,FALSE),"sin cotiz")))</f>
        <v/>
      </c>
      <c r="K514" s="6" t="n"/>
      <c r="L514" s="6" t="n"/>
      <c r="M514" s="6" t="n"/>
    </row>
    <row r="515">
      <c r="A515" s="10" t="n"/>
      <c r="B515" s="11">
        <f>IF($A515="","",YEAR($A515))</f>
        <v/>
      </c>
      <c r="C515" s="11">
        <f>IF($A515="","",MONTH($A515))</f>
        <v/>
      </c>
      <c r="D515" s="6" t="n"/>
      <c r="E515" s="6" t="n"/>
      <c r="F515" s="6" t="n"/>
      <c r="G515" s="6" t="n"/>
      <c r="H515" s="6" t="n"/>
      <c r="I515" s="8" t="n"/>
      <c r="J515" s="12">
        <f>IF($I515="","",IF($H515="U$D",$I515,IFERROR($I515/VLOOKUP($B515*100+$C515,CONFIG!$I$5:$J$60,2,FALSE),"sin cotiz")))</f>
        <v/>
      </c>
      <c r="K515" s="6" t="n"/>
      <c r="L515" s="6" t="n"/>
      <c r="M515" s="6" t="n"/>
    </row>
    <row r="516">
      <c r="A516" s="10" t="n"/>
      <c r="B516" s="11">
        <f>IF($A516="","",YEAR($A516))</f>
        <v/>
      </c>
      <c r="C516" s="11">
        <f>IF($A516="","",MONTH($A516))</f>
        <v/>
      </c>
      <c r="D516" s="6" t="n"/>
      <c r="E516" s="6" t="n"/>
      <c r="F516" s="6" t="n"/>
      <c r="G516" s="6" t="n"/>
      <c r="H516" s="6" t="n"/>
      <c r="I516" s="8" t="n"/>
      <c r="J516" s="12">
        <f>IF($I516="","",IF($H516="U$D",$I516,IFERROR($I516/VLOOKUP($B516*100+$C516,CONFIG!$I$5:$J$60,2,FALSE),"sin cotiz")))</f>
        <v/>
      </c>
      <c r="K516" s="6" t="n"/>
      <c r="L516" s="6" t="n"/>
      <c r="M516" s="6" t="n"/>
    </row>
    <row r="517">
      <c r="A517" s="10" t="n"/>
      <c r="B517" s="11">
        <f>IF($A517="","",YEAR($A517))</f>
        <v/>
      </c>
      <c r="C517" s="11">
        <f>IF($A517="","",MONTH($A517))</f>
        <v/>
      </c>
      <c r="D517" s="6" t="n"/>
      <c r="E517" s="6" t="n"/>
      <c r="F517" s="6" t="n"/>
      <c r="G517" s="6" t="n"/>
      <c r="H517" s="6" t="n"/>
      <c r="I517" s="8" t="n"/>
      <c r="J517" s="12">
        <f>IF($I517="","",IF($H517="U$D",$I517,IFERROR($I517/VLOOKUP($B517*100+$C517,CONFIG!$I$5:$J$60,2,FALSE),"sin cotiz")))</f>
        <v/>
      </c>
      <c r="K517" s="6" t="n"/>
      <c r="L517" s="6" t="n"/>
      <c r="M517" s="6" t="n"/>
    </row>
    <row r="518">
      <c r="A518" s="10" t="n"/>
      <c r="B518" s="11">
        <f>IF($A518="","",YEAR($A518))</f>
        <v/>
      </c>
      <c r="C518" s="11">
        <f>IF($A518="","",MONTH($A518))</f>
        <v/>
      </c>
      <c r="D518" s="6" t="n"/>
      <c r="E518" s="6" t="n"/>
      <c r="F518" s="6" t="n"/>
      <c r="G518" s="6" t="n"/>
      <c r="H518" s="6" t="n"/>
      <c r="I518" s="8" t="n"/>
      <c r="J518" s="12">
        <f>IF($I518="","",IF($H518="U$D",$I518,IFERROR($I518/VLOOKUP($B518*100+$C518,CONFIG!$I$5:$J$60,2,FALSE),"sin cotiz")))</f>
        <v/>
      </c>
      <c r="K518" s="6" t="n"/>
      <c r="L518" s="6" t="n"/>
      <c r="M518" s="6" t="n"/>
    </row>
    <row r="519">
      <c r="A519" s="10" t="n"/>
      <c r="B519" s="11">
        <f>IF($A519="","",YEAR($A519))</f>
        <v/>
      </c>
      <c r="C519" s="11">
        <f>IF($A519="","",MONTH($A519))</f>
        <v/>
      </c>
      <c r="D519" s="6" t="n"/>
      <c r="E519" s="6" t="n"/>
      <c r="F519" s="6" t="n"/>
      <c r="G519" s="6" t="n"/>
      <c r="H519" s="6" t="n"/>
      <c r="I519" s="8" t="n"/>
      <c r="J519" s="12">
        <f>IF($I519="","",IF($H519="U$D",$I519,IFERROR($I519/VLOOKUP($B519*100+$C519,CONFIG!$I$5:$J$60,2,FALSE),"sin cotiz")))</f>
        <v/>
      </c>
      <c r="K519" s="6" t="n"/>
      <c r="L519" s="6" t="n"/>
      <c r="M519" s="6" t="n"/>
    </row>
    <row r="520">
      <c r="A520" s="10" t="n"/>
      <c r="B520" s="11">
        <f>IF($A520="","",YEAR($A520))</f>
        <v/>
      </c>
      <c r="C520" s="11">
        <f>IF($A520="","",MONTH($A520))</f>
        <v/>
      </c>
      <c r="D520" s="6" t="n"/>
      <c r="E520" s="6" t="n"/>
      <c r="F520" s="6" t="n"/>
      <c r="G520" s="6" t="n"/>
      <c r="H520" s="6" t="n"/>
      <c r="I520" s="8" t="n"/>
      <c r="J520" s="12">
        <f>IF($I520="","",IF($H520="U$D",$I520,IFERROR($I520/VLOOKUP($B520*100+$C520,CONFIG!$I$5:$J$60,2,FALSE),"sin cotiz")))</f>
        <v/>
      </c>
      <c r="K520" s="6" t="n"/>
      <c r="L520" s="6" t="n"/>
      <c r="M520" s="6" t="n"/>
    </row>
    <row r="521">
      <c r="A521" s="10" t="n"/>
      <c r="B521" s="11">
        <f>IF($A521="","",YEAR($A521))</f>
        <v/>
      </c>
      <c r="C521" s="11">
        <f>IF($A521="","",MONTH($A521))</f>
        <v/>
      </c>
      <c r="D521" s="6" t="n"/>
      <c r="E521" s="6" t="n"/>
      <c r="F521" s="6" t="n"/>
      <c r="G521" s="6" t="n"/>
      <c r="H521" s="6" t="n"/>
      <c r="I521" s="8" t="n"/>
      <c r="J521" s="12">
        <f>IF($I521="","",IF($H521="U$D",$I521,IFERROR($I521/VLOOKUP($B521*100+$C521,CONFIG!$I$5:$J$60,2,FALSE),"sin cotiz")))</f>
        <v/>
      </c>
      <c r="K521" s="6" t="n"/>
      <c r="L521" s="6" t="n"/>
      <c r="M521" s="6" t="n"/>
    </row>
    <row r="522">
      <c r="A522" s="10" t="n"/>
      <c r="B522" s="11">
        <f>IF($A522="","",YEAR($A522))</f>
        <v/>
      </c>
      <c r="C522" s="11">
        <f>IF($A522="","",MONTH($A522))</f>
        <v/>
      </c>
      <c r="D522" s="6" t="n"/>
      <c r="E522" s="6" t="n"/>
      <c r="F522" s="6" t="n"/>
      <c r="G522" s="6" t="n"/>
      <c r="H522" s="6" t="n"/>
      <c r="I522" s="8" t="n"/>
      <c r="J522" s="12">
        <f>IF($I522="","",IF($H522="U$D",$I522,IFERROR($I522/VLOOKUP($B522*100+$C522,CONFIG!$I$5:$J$60,2,FALSE),"sin cotiz")))</f>
        <v/>
      </c>
      <c r="K522" s="6" t="n"/>
      <c r="L522" s="6" t="n"/>
      <c r="M522" s="6" t="n"/>
    </row>
    <row r="523">
      <c r="A523" s="10" t="n"/>
      <c r="B523" s="11">
        <f>IF($A523="","",YEAR($A523))</f>
        <v/>
      </c>
      <c r="C523" s="11">
        <f>IF($A523="","",MONTH($A523))</f>
        <v/>
      </c>
      <c r="D523" s="6" t="n"/>
      <c r="E523" s="6" t="n"/>
      <c r="F523" s="6" t="n"/>
      <c r="G523" s="6" t="n"/>
      <c r="H523" s="6" t="n"/>
      <c r="I523" s="8" t="n"/>
      <c r="J523" s="12">
        <f>IF($I523="","",IF($H523="U$D",$I523,IFERROR($I523/VLOOKUP($B523*100+$C523,CONFIG!$I$5:$J$60,2,FALSE),"sin cotiz")))</f>
        <v/>
      </c>
      <c r="K523" s="6" t="n"/>
      <c r="L523" s="6" t="n"/>
      <c r="M523" s="6" t="n"/>
    </row>
    <row r="524">
      <c r="A524" s="10" t="n"/>
      <c r="B524" s="11">
        <f>IF($A524="","",YEAR($A524))</f>
        <v/>
      </c>
      <c r="C524" s="11">
        <f>IF($A524="","",MONTH($A524))</f>
        <v/>
      </c>
      <c r="D524" s="6" t="n"/>
      <c r="E524" s="6" t="n"/>
      <c r="F524" s="6" t="n"/>
      <c r="G524" s="6" t="n"/>
      <c r="H524" s="6" t="n"/>
      <c r="I524" s="8" t="n"/>
      <c r="J524" s="12">
        <f>IF($I524="","",IF($H524="U$D",$I524,IFERROR($I524/VLOOKUP($B524*100+$C524,CONFIG!$I$5:$J$60,2,FALSE),"sin cotiz")))</f>
        <v/>
      </c>
      <c r="K524" s="6" t="n"/>
      <c r="L524" s="6" t="n"/>
      <c r="M524" s="6" t="n"/>
    </row>
    <row r="525">
      <c r="A525" s="10" t="n"/>
      <c r="B525" s="11">
        <f>IF($A525="","",YEAR($A525))</f>
        <v/>
      </c>
      <c r="C525" s="11">
        <f>IF($A525="","",MONTH($A525))</f>
        <v/>
      </c>
      <c r="D525" s="6" t="n"/>
      <c r="E525" s="6" t="n"/>
      <c r="F525" s="6" t="n"/>
      <c r="G525" s="6" t="n"/>
      <c r="H525" s="6" t="n"/>
      <c r="I525" s="8" t="n"/>
      <c r="J525" s="12">
        <f>IF($I525="","",IF($H525="U$D",$I525,IFERROR($I525/VLOOKUP($B525*100+$C525,CONFIG!$I$5:$J$60,2,FALSE),"sin cotiz")))</f>
        <v/>
      </c>
      <c r="K525" s="6" t="n"/>
      <c r="L525" s="6" t="n"/>
      <c r="M525" s="6" t="n"/>
    </row>
    <row r="526">
      <c r="A526" s="10" t="n"/>
      <c r="B526" s="11">
        <f>IF($A526="","",YEAR($A526))</f>
        <v/>
      </c>
      <c r="C526" s="11">
        <f>IF($A526="","",MONTH($A526))</f>
        <v/>
      </c>
      <c r="D526" s="6" t="n"/>
      <c r="E526" s="6" t="n"/>
      <c r="F526" s="6" t="n"/>
      <c r="G526" s="6" t="n"/>
      <c r="H526" s="6" t="n"/>
      <c r="I526" s="8" t="n"/>
      <c r="J526" s="12">
        <f>IF($I526="","",IF($H526="U$D",$I526,IFERROR($I526/VLOOKUP($B526*100+$C526,CONFIG!$I$5:$J$60,2,FALSE),"sin cotiz")))</f>
        <v/>
      </c>
      <c r="K526" s="6" t="n"/>
      <c r="L526" s="6" t="n"/>
      <c r="M526" s="6" t="n"/>
    </row>
    <row r="527">
      <c r="A527" s="10" t="n"/>
      <c r="B527" s="11">
        <f>IF($A527="","",YEAR($A527))</f>
        <v/>
      </c>
      <c r="C527" s="11">
        <f>IF($A527="","",MONTH($A527))</f>
        <v/>
      </c>
      <c r="D527" s="6" t="n"/>
      <c r="E527" s="6" t="n"/>
      <c r="F527" s="6" t="n"/>
      <c r="G527" s="6" t="n"/>
      <c r="H527" s="6" t="n"/>
      <c r="I527" s="8" t="n"/>
      <c r="J527" s="12">
        <f>IF($I527="","",IF($H527="U$D",$I527,IFERROR($I527/VLOOKUP($B527*100+$C527,CONFIG!$I$5:$J$60,2,FALSE),"sin cotiz")))</f>
        <v/>
      </c>
      <c r="K527" s="6" t="n"/>
      <c r="L527" s="6" t="n"/>
      <c r="M527" s="6" t="n"/>
    </row>
    <row r="528">
      <c r="A528" s="10" t="n"/>
      <c r="B528" s="11">
        <f>IF($A528="","",YEAR($A528))</f>
        <v/>
      </c>
      <c r="C528" s="11">
        <f>IF($A528="","",MONTH($A528))</f>
        <v/>
      </c>
      <c r="D528" s="6" t="n"/>
      <c r="E528" s="6" t="n"/>
      <c r="F528" s="6" t="n"/>
      <c r="G528" s="6" t="n"/>
      <c r="H528" s="6" t="n"/>
      <c r="I528" s="8" t="n"/>
      <c r="J528" s="12">
        <f>IF($I528="","",IF($H528="U$D",$I528,IFERROR($I528/VLOOKUP($B528*100+$C528,CONFIG!$I$5:$J$60,2,FALSE),"sin cotiz")))</f>
        <v/>
      </c>
      <c r="K528" s="6" t="n"/>
      <c r="L528" s="6" t="n"/>
      <c r="M528" s="6" t="n"/>
    </row>
    <row r="529">
      <c r="A529" s="10" t="n"/>
      <c r="B529" s="11">
        <f>IF($A529="","",YEAR($A529))</f>
        <v/>
      </c>
      <c r="C529" s="11">
        <f>IF($A529="","",MONTH($A529))</f>
        <v/>
      </c>
      <c r="D529" s="6" t="n"/>
      <c r="E529" s="6" t="n"/>
      <c r="F529" s="6" t="n"/>
      <c r="G529" s="6" t="n"/>
      <c r="H529" s="6" t="n"/>
      <c r="I529" s="8" t="n"/>
      <c r="J529" s="12">
        <f>IF($I529="","",IF($H529="U$D",$I529,IFERROR($I529/VLOOKUP($B529*100+$C529,CONFIG!$I$5:$J$60,2,FALSE),"sin cotiz")))</f>
        <v/>
      </c>
      <c r="K529" s="6" t="n"/>
      <c r="L529" s="6" t="n"/>
      <c r="M529" s="6" t="n"/>
    </row>
    <row r="530">
      <c r="A530" s="10" t="n"/>
      <c r="B530" s="11">
        <f>IF($A530="","",YEAR($A530))</f>
        <v/>
      </c>
      <c r="C530" s="11">
        <f>IF($A530="","",MONTH($A530))</f>
        <v/>
      </c>
      <c r="D530" s="6" t="n"/>
      <c r="E530" s="6" t="n"/>
      <c r="F530" s="6" t="n"/>
      <c r="G530" s="6" t="n"/>
      <c r="H530" s="6" t="n"/>
      <c r="I530" s="8" t="n"/>
      <c r="J530" s="12">
        <f>IF($I530="","",IF($H530="U$D",$I530,IFERROR($I530/VLOOKUP($B530*100+$C530,CONFIG!$I$5:$J$60,2,FALSE),"sin cotiz")))</f>
        <v/>
      </c>
      <c r="K530" s="6" t="n"/>
      <c r="L530" s="6" t="n"/>
      <c r="M530" s="6" t="n"/>
    </row>
    <row r="531">
      <c r="A531" s="10" t="n"/>
      <c r="B531" s="11">
        <f>IF($A531="","",YEAR($A531))</f>
        <v/>
      </c>
      <c r="C531" s="11">
        <f>IF($A531="","",MONTH($A531))</f>
        <v/>
      </c>
      <c r="D531" s="6" t="n"/>
      <c r="E531" s="6" t="n"/>
      <c r="F531" s="6" t="n"/>
      <c r="G531" s="6" t="n"/>
      <c r="H531" s="6" t="n"/>
      <c r="I531" s="8" t="n"/>
      <c r="J531" s="12">
        <f>IF($I531="","",IF($H531="U$D",$I531,IFERROR($I531/VLOOKUP($B531*100+$C531,CONFIG!$I$5:$J$60,2,FALSE),"sin cotiz")))</f>
        <v/>
      </c>
      <c r="K531" s="6" t="n"/>
      <c r="L531" s="6" t="n"/>
      <c r="M531" s="6" t="n"/>
    </row>
    <row r="532">
      <c r="A532" s="10" t="n"/>
      <c r="B532" s="11">
        <f>IF($A532="","",YEAR($A532))</f>
        <v/>
      </c>
      <c r="C532" s="11">
        <f>IF($A532="","",MONTH($A532))</f>
        <v/>
      </c>
      <c r="D532" s="6" t="n"/>
      <c r="E532" s="6" t="n"/>
      <c r="F532" s="6" t="n"/>
      <c r="G532" s="6" t="n"/>
      <c r="H532" s="6" t="n"/>
      <c r="I532" s="8" t="n"/>
      <c r="J532" s="12">
        <f>IF($I532="","",IF($H532="U$D",$I532,IFERROR($I532/VLOOKUP($B532*100+$C532,CONFIG!$I$5:$J$60,2,FALSE),"sin cotiz")))</f>
        <v/>
      </c>
      <c r="K532" s="6" t="n"/>
      <c r="L532" s="6" t="n"/>
      <c r="M532" s="6" t="n"/>
    </row>
    <row r="533">
      <c r="A533" s="10" t="n"/>
      <c r="B533" s="11">
        <f>IF($A533="","",YEAR($A533))</f>
        <v/>
      </c>
      <c r="C533" s="11">
        <f>IF($A533="","",MONTH($A533))</f>
        <v/>
      </c>
      <c r="D533" s="6" t="n"/>
      <c r="E533" s="6" t="n"/>
      <c r="F533" s="6" t="n"/>
      <c r="G533" s="6" t="n"/>
      <c r="H533" s="6" t="n"/>
      <c r="I533" s="8" t="n"/>
      <c r="J533" s="12">
        <f>IF($I533="","",IF($H533="U$D",$I533,IFERROR($I533/VLOOKUP($B533*100+$C533,CONFIG!$I$5:$J$60,2,FALSE),"sin cotiz")))</f>
        <v/>
      </c>
      <c r="K533" s="6" t="n"/>
      <c r="L533" s="6" t="n"/>
      <c r="M533" s="6" t="n"/>
    </row>
    <row r="534">
      <c r="A534" s="10" t="n"/>
      <c r="B534" s="11">
        <f>IF($A534="","",YEAR($A534))</f>
        <v/>
      </c>
      <c r="C534" s="11">
        <f>IF($A534="","",MONTH($A534))</f>
        <v/>
      </c>
      <c r="D534" s="6" t="n"/>
      <c r="E534" s="6" t="n"/>
      <c r="F534" s="6" t="n"/>
      <c r="G534" s="6" t="n"/>
      <c r="H534" s="6" t="n"/>
      <c r="I534" s="8" t="n"/>
      <c r="J534" s="12">
        <f>IF($I534="","",IF($H534="U$D",$I534,IFERROR($I534/VLOOKUP($B534*100+$C534,CONFIG!$I$5:$J$60,2,FALSE),"sin cotiz")))</f>
        <v/>
      </c>
      <c r="K534" s="6" t="n"/>
      <c r="L534" s="6" t="n"/>
      <c r="M534" s="6" t="n"/>
    </row>
    <row r="535">
      <c r="A535" s="10" t="n"/>
      <c r="B535" s="11">
        <f>IF($A535="","",YEAR($A535))</f>
        <v/>
      </c>
      <c r="C535" s="11">
        <f>IF($A535="","",MONTH($A535))</f>
        <v/>
      </c>
      <c r="D535" s="6" t="n"/>
      <c r="E535" s="6" t="n"/>
      <c r="F535" s="6" t="n"/>
      <c r="G535" s="6" t="n"/>
      <c r="H535" s="6" t="n"/>
      <c r="I535" s="8" t="n"/>
      <c r="J535" s="12">
        <f>IF($I535="","",IF($H535="U$D",$I535,IFERROR($I535/VLOOKUP($B535*100+$C535,CONFIG!$I$5:$J$60,2,FALSE),"sin cotiz")))</f>
        <v/>
      </c>
      <c r="K535" s="6" t="n"/>
      <c r="L535" s="6" t="n"/>
      <c r="M535" s="6" t="n"/>
    </row>
    <row r="536">
      <c r="A536" s="10" t="n"/>
      <c r="B536" s="11">
        <f>IF($A536="","",YEAR($A536))</f>
        <v/>
      </c>
      <c r="C536" s="11">
        <f>IF($A536="","",MONTH($A536))</f>
        <v/>
      </c>
      <c r="D536" s="6" t="n"/>
      <c r="E536" s="6" t="n"/>
      <c r="F536" s="6" t="n"/>
      <c r="G536" s="6" t="n"/>
      <c r="H536" s="6" t="n"/>
      <c r="I536" s="8" t="n"/>
      <c r="J536" s="12">
        <f>IF($I536="","",IF($H536="U$D",$I536,IFERROR($I536/VLOOKUP($B536*100+$C536,CONFIG!$I$5:$J$60,2,FALSE),"sin cotiz")))</f>
        <v/>
      </c>
      <c r="K536" s="6" t="n"/>
      <c r="L536" s="6" t="n"/>
      <c r="M536" s="6" t="n"/>
    </row>
    <row r="537">
      <c r="A537" s="10" t="n"/>
      <c r="B537" s="11">
        <f>IF($A537="","",YEAR($A537))</f>
        <v/>
      </c>
      <c r="C537" s="11">
        <f>IF($A537="","",MONTH($A537))</f>
        <v/>
      </c>
      <c r="D537" s="6" t="n"/>
      <c r="E537" s="6" t="n"/>
      <c r="F537" s="6" t="n"/>
      <c r="G537" s="6" t="n"/>
      <c r="H537" s="6" t="n"/>
      <c r="I537" s="8" t="n"/>
      <c r="J537" s="12">
        <f>IF($I537="","",IF($H537="U$D",$I537,IFERROR($I537/VLOOKUP($B537*100+$C537,CONFIG!$I$5:$J$60,2,FALSE),"sin cotiz")))</f>
        <v/>
      </c>
      <c r="K537" s="6" t="n"/>
      <c r="L537" s="6" t="n"/>
      <c r="M537" s="6" t="n"/>
    </row>
    <row r="538">
      <c r="A538" s="10" t="n"/>
      <c r="B538" s="11">
        <f>IF($A538="","",YEAR($A538))</f>
        <v/>
      </c>
      <c r="C538" s="11">
        <f>IF($A538="","",MONTH($A538))</f>
        <v/>
      </c>
      <c r="D538" s="6" t="n"/>
      <c r="E538" s="6" t="n"/>
      <c r="F538" s="6" t="n"/>
      <c r="G538" s="6" t="n"/>
      <c r="H538" s="6" t="n"/>
      <c r="I538" s="8" t="n"/>
      <c r="J538" s="12">
        <f>IF($I538="","",IF($H538="U$D",$I538,IFERROR($I538/VLOOKUP($B538*100+$C538,CONFIG!$I$5:$J$60,2,FALSE),"sin cotiz")))</f>
        <v/>
      </c>
      <c r="K538" s="6" t="n"/>
      <c r="L538" s="6" t="n"/>
      <c r="M538" s="6" t="n"/>
    </row>
    <row r="539">
      <c r="A539" s="10" t="n"/>
      <c r="B539" s="11">
        <f>IF($A539="","",YEAR($A539))</f>
        <v/>
      </c>
      <c r="C539" s="11">
        <f>IF($A539="","",MONTH($A539))</f>
        <v/>
      </c>
      <c r="D539" s="6" t="n"/>
      <c r="E539" s="6" t="n"/>
      <c r="F539" s="6" t="n"/>
      <c r="G539" s="6" t="n"/>
      <c r="H539" s="6" t="n"/>
      <c r="I539" s="8" t="n"/>
      <c r="J539" s="12">
        <f>IF($I539="","",IF($H539="U$D",$I539,IFERROR($I539/VLOOKUP($B539*100+$C539,CONFIG!$I$5:$J$60,2,FALSE),"sin cotiz")))</f>
        <v/>
      </c>
      <c r="K539" s="6" t="n"/>
      <c r="L539" s="6" t="n"/>
      <c r="M539" s="6" t="n"/>
    </row>
    <row r="540">
      <c r="A540" s="10" t="n"/>
      <c r="B540" s="11">
        <f>IF($A540="","",YEAR($A540))</f>
        <v/>
      </c>
      <c r="C540" s="11">
        <f>IF($A540="","",MONTH($A540))</f>
        <v/>
      </c>
      <c r="D540" s="6" t="n"/>
      <c r="E540" s="6" t="n"/>
      <c r="F540" s="6" t="n"/>
      <c r="G540" s="6" t="n"/>
      <c r="H540" s="6" t="n"/>
      <c r="I540" s="8" t="n"/>
      <c r="J540" s="12">
        <f>IF($I540="","",IF($H540="U$D",$I540,IFERROR($I540/VLOOKUP($B540*100+$C540,CONFIG!$I$5:$J$60,2,FALSE),"sin cotiz")))</f>
        <v/>
      </c>
      <c r="K540" s="6" t="n"/>
      <c r="L540" s="6" t="n"/>
      <c r="M540" s="6" t="n"/>
    </row>
    <row r="541">
      <c r="A541" s="10" t="n"/>
      <c r="B541" s="11">
        <f>IF($A541="","",YEAR($A541))</f>
        <v/>
      </c>
      <c r="C541" s="11">
        <f>IF($A541="","",MONTH($A541))</f>
        <v/>
      </c>
      <c r="D541" s="6" t="n"/>
      <c r="E541" s="6" t="n"/>
      <c r="F541" s="6" t="n"/>
      <c r="G541" s="6" t="n"/>
      <c r="H541" s="6" t="n"/>
      <c r="I541" s="8" t="n"/>
      <c r="J541" s="12">
        <f>IF($I541="","",IF($H541="U$D",$I541,IFERROR($I541/VLOOKUP($B541*100+$C541,CONFIG!$I$5:$J$60,2,FALSE),"sin cotiz")))</f>
        <v/>
      </c>
      <c r="K541" s="6" t="n"/>
      <c r="L541" s="6" t="n"/>
      <c r="M541" s="6" t="n"/>
    </row>
    <row r="542">
      <c r="A542" s="10" t="n"/>
      <c r="B542" s="11">
        <f>IF($A542="","",YEAR($A542))</f>
        <v/>
      </c>
      <c r="C542" s="11">
        <f>IF($A542="","",MONTH($A542))</f>
        <v/>
      </c>
      <c r="D542" s="6" t="n"/>
      <c r="E542" s="6" t="n"/>
      <c r="F542" s="6" t="n"/>
      <c r="G542" s="6" t="n"/>
      <c r="H542" s="6" t="n"/>
      <c r="I542" s="8" t="n"/>
      <c r="J542" s="12">
        <f>IF($I542="","",IF($H542="U$D",$I542,IFERROR($I542/VLOOKUP($B542*100+$C542,CONFIG!$I$5:$J$60,2,FALSE),"sin cotiz")))</f>
        <v/>
      </c>
      <c r="K542" s="6" t="n"/>
      <c r="L542" s="6" t="n"/>
      <c r="M542" s="6" t="n"/>
    </row>
    <row r="543">
      <c r="A543" s="10" t="n"/>
      <c r="B543" s="11">
        <f>IF($A543="","",YEAR($A543))</f>
        <v/>
      </c>
      <c r="C543" s="11">
        <f>IF($A543="","",MONTH($A543))</f>
        <v/>
      </c>
      <c r="D543" s="6" t="n"/>
      <c r="E543" s="6" t="n"/>
      <c r="F543" s="6" t="n"/>
      <c r="G543" s="6" t="n"/>
      <c r="H543" s="6" t="n"/>
      <c r="I543" s="8" t="n"/>
      <c r="J543" s="12">
        <f>IF($I543="","",IF($H543="U$D",$I543,IFERROR($I543/VLOOKUP($B543*100+$C543,CONFIG!$I$5:$J$60,2,FALSE),"sin cotiz")))</f>
        <v/>
      </c>
      <c r="K543" s="6" t="n"/>
      <c r="L543" s="6" t="n"/>
      <c r="M543" s="6" t="n"/>
    </row>
    <row r="544">
      <c r="A544" s="10" t="n"/>
      <c r="B544" s="11">
        <f>IF($A544="","",YEAR($A544))</f>
        <v/>
      </c>
      <c r="C544" s="11">
        <f>IF($A544="","",MONTH($A544))</f>
        <v/>
      </c>
      <c r="D544" s="6" t="n"/>
      <c r="E544" s="6" t="n"/>
      <c r="F544" s="6" t="n"/>
      <c r="G544" s="6" t="n"/>
      <c r="H544" s="6" t="n"/>
      <c r="I544" s="8" t="n"/>
      <c r="J544" s="12">
        <f>IF($I544="","",IF($H544="U$D",$I544,IFERROR($I544/VLOOKUP($B544*100+$C544,CONFIG!$I$5:$J$60,2,FALSE),"sin cotiz")))</f>
        <v/>
      </c>
      <c r="K544" s="6" t="n"/>
      <c r="L544" s="6" t="n"/>
      <c r="M544" s="6" t="n"/>
    </row>
    <row r="545">
      <c r="A545" s="10" t="n"/>
      <c r="B545" s="11">
        <f>IF($A545="","",YEAR($A545))</f>
        <v/>
      </c>
      <c r="C545" s="11">
        <f>IF($A545="","",MONTH($A545))</f>
        <v/>
      </c>
      <c r="D545" s="6" t="n"/>
      <c r="E545" s="6" t="n"/>
      <c r="F545" s="6" t="n"/>
      <c r="G545" s="6" t="n"/>
      <c r="H545" s="6" t="n"/>
      <c r="I545" s="8" t="n"/>
      <c r="J545" s="12">
        <f>IF($I545="","",IF($H545="U$D",$I545,IFERROR($I545/VLOOKUP($B545*100+$C545,CONFIG!$I$5:$J$60,2,FALSE),"sin cotiz")))</f>
        <v/>
      </c>
      <c r="K545" s="6" t="n"/>
      <c r="L545" s="6" t="n"/>
      <c r="M545" s="6" t="n"/>
    </row>
    <row r="546">
      <c r="A546" s="10" t="n"/>
      <c r="B546" s="11">
        <f>IF($A546="","",YEAR($A546))</f>
        <v/>
      </c>
      <c r="C546" s="11">
        <f>IF($A546="","",MONTH($A546))</f>
        <v/>
      </c>
      <c r="D546" s="6" t="n"/>
      <c r="E546" s="6" t="n"/>
      <c r="F546" s="6" t="n"/>
      <c r="G546" s="6" t="n"/>
      <c r="H546" s="6" t="n"/>
      <c r="I546" s="8" t="n"/>
      <c r="J546" s="12">
        <f>IF($I546="","",IF($H546="U$D",$I546,IFERROR($I546/VLOOKUP($B546*100+$C546,CONFIG!$I$5:$J$60,2,FALSE),"sin cotiz")))</f>
        <v/>
      </c>
      <c r="K546" s="6" t="n"/>
      <c r="L546" s="6" t="n"/>
      <c r="M546" s="6" t="n"/>
    </row>
    <row r="547">
      <c r="A547" s="10" t="n"/>
      <c r="B547" s="11">
        <f>IF($A547="","",YEAR($A547))</f>
        <v/>
      </c>
      <c r="C547" s="11">
        <f>IF($A547="","",MONTH($A547))</f>
        <v/>
      </c>
      <c r="D547" s="6" t="n"/>
      <c r="E547" s="6" t="n"/>
      <c r="F547" s="6" t="n"/>
      <c r="G547" s="6" t="n"/>
      <c r="H547" s="6" t="n"/>
      <c r="I547" s="8" t="n"/>
      <c r="J547" s="12">
        <f>IF($I547="","",IF($H547="U$D",$I547,IFERROR($I547/VLOOKUP($B547*100+$C547,CONFIG!$I$5:$J$60,2,FALSE),"sin cotiz")))</f>
        <v/>
      </c>
      <c r="K547" s="6" t="n"/>
      <c r="L547" s="6" t="n"/>
      <c r="M547" s="6" t="n"/>
    </row>
    <row r="548">
      <c r="A548" s="10" t="n"/>
      <c r="B548" s="11">
        <f>IF($A548="","",YEAR($A548))</f>
        <v/>
      </c>
      <c r="C548" s="11">
        <f>IF($A548="","",MONTH($A548))</f>
        <v/>
      </c>
      <c r="D548" s="6" t="n"/>
      <c r="E548" s="6" t="n"/>
      <c r="F548" s="6" t="n"/>
      <c r="G548" s="6" t="n"/>
      <c r="H548" s="6" t="n"/>
      <c r="I548" s="8" t="n"/>
      <c r="J548" s="12">
        <f>IF($I548="","",IF($H548="U$D",$I548,IFERROR($I548/VLOOKUP($B548*100+$C548,CONFIG!$I$5:$J$60,2,FALSE),"sin cotiz")))</f>
        <v/>
      </c>
      <c r="K548" s="6" t="n"/>
      <c r="L548" s="6" t="n"/>
      <c r="M548" s="6" t="n"/>
    </row>
    <row r="549">
      <c r="A549" s="10" t="n"/>
      <c r="B549" s="11">
        <f>IF($A549="","",YEAR($A549))</f>
        <v/>
      </c>
      <c r="C549" s="11">
        <f>IF($A549="","",MONTH($A549))</f>
        <v/>
      </c>
      <c r="D549" s="6" t="n"/>
      <c r="E549" s="6" t="n"/>
      <c r="F549" s="6" t="n"/>
      <c r="G549" s="6" t="n"/>
      <c r="H549" s="6" t="n"/>
      <c r="I549" s="8" t="n"/>
      <c r="J549" s="12">
        <f>IF($I549="","",IF($H549="U$D",$I549,IFERROR($I549/VLOOKUP($B549*100+$C549,CONFIG!$I$5:$J$60,2,FALSE),"sin cotiz")))</f>
        <v/>
      </c>
      <c r="K549" s="6" t="n"/>
      <c r="L549" s="6" t="n"/>
      <c r="M549" s="6" t="n"/>
    </row>
    <row r="550">
      <c r="A550" s="10" t="n"/>
      <c r="B550" s="11">
        <f>IF($A550="","",YEAR($A550))</f>
        <v/>
      </c>
      <c r="C550" s="11">
        <f>IF($A550="","",MONTH($A550))</f>
        <v/>
      </c>
      <c r="D550" s="6" t="n"/>
      <c r="E550" s="6" t="n"/>
      <c r="F550" s="6" t="n"/>
      <c r="G550" s="6" t="n"/>
      <c r="H550" s="6" t="n"/>
      <c r="I550" s="8" t="n"/>
      <c r="J550" s="12">
        <f>IF($I550="","",IF($H550="U$D",$I550,IFERROR($I550/VLOOKUP($B550*100+$C550,CONFIG!$I$5:$J$60,2,FALSE),"sin cotiz")))</f>
        <v/>
      </c>
      <c r="K550" s="6" t="n"/>
      <c r="L550" s="6" t="n"/>
      <c r="M550" s="6" t="n"/>
    </row>
    <row r="551">
      <c r="A551" s="10" t="n"/>
      <c r="B551" s="11">
        <f>IF($A551="","",YEAR($A551))</f>
        <v/>
      </c>
      <c r="C551" s="11">
        <f>IF($A551="","",MONTH($A551))</f>
        <v/>
      </c>
      <c r="D551" s="6" t="n"/>
      <c r="E551" s="6" t="n"/>
      <c r="F551" s="6" t="n"/>
      <c r="G551" s="6" t="n"/>
      <c r="H551" s="6" t="n"/>
      <c r="I551" s="8" t="n"/>
      <c r="J551" s="12">
        <f>IF($I551="","",IF($H551="U$D",$I551,IFERROR($I551/VLOOKUP($B551*100+$C551,CONFIG!$I$5:$J$60,2,FALSE),"sin cotiz")))</f>
        <v/>
      </c>
      <c r="K551" s="6" t="n"/>
      <c r="L551" s="6" t="n"/>
      <c r="M551" s="6" t="n"/>
    </row>
    <row r="552">
      <c r="A552" s="10" t="n"/>
      <c r="B552" s="11">
        <f>IF($A552="","",YEAR($A552))</f>
        <v/>
      </c>
      <c r="C552" s="11">
        <f>IF($A552="","",MONTH($A552))</f>
        <v/>
      </c>
      <c r="D552" s="6" t="n"/>
      <c r="E552" s="6" t="n"/>
      <c r="F552" s="6" t="n"/>
      <c r="G552" s="6" t="n"/>
      <c r="H552" s="6" t="n"/>
      <c r="I552" s="8" t="n"/>
      <c r="J552" s="12">
        <f>IF($I552="","",IF($H552="U$D",$I552,IFERROR($I552/VLOOKUP($B552*100+$C552,CONFIG!$I$5:$J$60,2,FALSE),"sin cotiz")))</f>
        <v/>
      </c>
      <c r="K552" s="6" t="n"/>
      <c r="L552" s="6" t="n"/>
      <c r="M552" s="6" t="n"/>
    </row>
    <row r="553">
      <c r="A553" s="10" t="n"/>
      <c r="B553" s="11">
        <f>IF($A553="","",YEAR($A553))</f>
        <v/>
      </c>
      <c r="C553" s="11">
        <f>IF($A553="","",MONTH($A553))</f>
        <v/>
      </c>
      <c r="D553" s="6" t="n"/>
      <c r="E553" s="6" t="n"/>
      <c r="F553" s="6" t="n"/>
      <c r="G553" s="6" t="n"/>
      <c r="H553" s="6" t="n"/>
      <c r="I553" s="8" t="n"/>
      <c r="J553" s="12">
        <f>IF($I553="","",IF($H553="U$D",$I553,IFERROR($I553/VLOOKUP($B553*100+$C553,CONFIG!$I$5:$J$60,2,FALSE),"sin cotiz")))</f>
        <v/>
      </c>
      <c r="K553" s="6" t="n"/>
      <c r="L553" s="6" t="n"/>
      <c r="M553" s="6" t="n"/>
    </row>
    <row r="554">
      <c r="A554" s="10" t="n"/>
      <c r="B554" s="11">
        <f>IF($A554="","",YEAR($A554))</f>
        <v/>
      </c>
      <c r="C554" s="11">
        <f>IF($A554="","",MONTH($A554))</f>
        <v/>
      </c>
      <c r="D554" s="6" t="n"/>
      <c r="E554" s="6" t="n"/>
      <c r="F554" s="6" t="n"/>
      <c r="G554" s="6" t="n"/>
      <c r="H554" s="6" t="n"/>
      <c r="I554" s="8" t="n"/>
      <c r="J554" s="12">
        <f>IF($I554="","",IF($H554="U$D",$I554,IFERROR($I554/VLOOKUP($B554*100+$C554,CONFIG!$I$5:$J$60,2,FALSE),"sin cotiz")))</f>
        <v/>
      </c>
      <c r="K554" s="6" t="n"/>
      <c r="L554" s="6" t="n"/>
      <c r="M554" s="6" t="n"/>
    </row>
    <row r="555">
      <c r="A555" s="10" t="n"/>
      <c r="B555" s="11">
        <f>IF($A555="","",YEAR($A555))</f>
        <v/>
      </c>
      <c r="C555" s="11">
        <f>IF($A555="","",MONTH($A555))</f>
        <v/>
      </c>
      <c r="D555" s="6" t="n"/>
      <c r="E555" s="6" t="n"/>
      <c r="F555" s="6" t="n"/>
      <c r="G555" s="6" t="n"/>
      <c r="H555" s="6" t="n"/>
      <c r="I555" s="8" t="n"/>
      <c r="J555" s="12">
        <f>IF($I555="","",IF($H555="U$D",$I555,IFERROR($I555/VLOOKUP($B555*100+$C555,CONFIG!$I$5:$J$60,2,FALSE),"sin cotiz")))</f>
        <v/>
      </c>
      <c r="K555" s="6" t="n"/>
      <c r="L555" s="6" t="n"/>
      <c r="M555" s="6" t="n"/>
    </row>
    <row r="556">
      <c r="A556" s="10" t="n"/>
      <c r="B556" s="11">
        <f>IF($A556="","",YEAR($A556))</f>
        <v/>
      </c>
      <c r="C556" s="11">
        <f>IF($A556="","",MONTH($A556))</f>
        <v/>
      </c>
      <c r="D556" s="6" t="n"/>
      <c r="E556" s="6" t="n"/>
      <c r="F556" s="6" t="n"/>
      <c r="G556" s="6" t="n"/>
      <c r="H556" s="6" t="n"/>
      <c r="I556" s="8" t="n"/>
      <c r="J556" s="12">
        <f>IF($I556="","",IF($H556="U$D",$I556,IFERROR($I556/VLOOKUP($B556*100+$C556,CONFIG!$I$5:$J$60,2,FALSE),"sin cotiz")))</f>
        <v/>
      </c>
      <c r="K556" s="6" t="n"/>
      <c r="L556" s="6" t="n"/>
      <c r="M556" s="6" t="n"/>
    </row>
    <row r="557">
      <c r="A557" s="10" t="n"/>
      <c r="B557" s="11">
        <f>IF($A557="","",YEAR($A557))</f>
        <v/>
      </c>
      <c r="C557" s="11">
        <f>IF($A557="","",MONTH($A557))</f>
        <v/>
      </c>
      <c r="D557" s="6" t="n"/>
      <c r="E557" s="6" t="n"/>
      <c r="F557" s="6" t="n"/>
      <c r="G557" s="6" t="n"/>
      <c r="H557" s="6" t="n"/>
      <c r="I557" s="8" t="n"/>
      <c r="J557" s="12">
        <f>IF($I557="","",IF($H557="U$D",$I557,IFERROR($I557/VLOOKUP($B557*100+$C557,CONFIG!$I$5:$J$60,2,FALSE),"sin cotiz")))</f>
        <v/>
      </c>
      <c r="K557" s="6" t="n"/>
      <c r="L557" s="6" t="n"/>
      <c r="M557" s="6" t="n"/>
    </row>
    <row r="558">
      <c r="A558" s="10" t="n"/>
      <c r="B558" s="11">
        <f>IF($A558="","",YEAR($A558))</f>
        <v/>
      </c>
      <c r="C558" s="11">
        <f>IF($A558="","",MONTH($A558))</f>
        <v/>
      </c>
      <c r="D558" s="6" t="n"/>
      <c r="E558" s="6" t="n"/>
      <c r="F558" s="6" t="n"/>
      <c r="G558" s="6" t="n"/>
      <c r="H558" s="6" t="n"/>
      <c r="I558" s="8" t="n"/>
      <c r="J558" s="12">
        <f>IF($I558="","",IF($H558="U$D",$I558,IFERROR($I558/VLOOKUP($B558*100+$C558,CONFIG!$I$5:$J$60,2,FALSE),"sin cotiz")))</f>
        <v/>
      </c>
      <c r="K558" s="6" t="n"/>
      <c r="L558" s="6" t="n"/>
      <c r="M558" s="6" t="n"/>
    </row>
    <row r="559">
      <c r="A559" s="10" t="n"/>
      <c r="B559" s="11">
        <f>IF($A559="","",YEAR($A559))</f>
        <v/>
      </c>
      <c r="C559" s="11">
        <f>IF($A559="","",MONTH($A559))</f>
        <v/>
      </c>
      <c r="D559" s="6" t="n"/>
      <c r="E559" s="6" t="n"/>
      <c r="F559" s="6" t="n"/>
      <c r="G559" s="6" t="n"/>
      <c r="H559" s="6" t="n"/>
      <c r="I559" s="8" t="n"/>
      <c r="J559" s="12">
        <f>IF($I559="","",IF($H559="U$D",$I559,IFERROR($I559/VLOOKUP($B559*100+$C559,CONFIG!$I$5:$J$60,2,FALSE),"sin cotiz")))</f>
        <v/>
      </c>
      <c r="K559" s="6" t="n"/>
      <c r="L559" s="6" t="n"/>
      <c r="M559" s="6" t="n"/>
    </row>
    <row r="560">
      <c r="A560" s="10" t="n"/>
      <c r="B560" s="11">
        <f>IF($A560="","",YEAR($A560))</f>
        <v/>
      </c>
      <c r="C560" s="11">
        <f>IF($A560="","",MONTH($A560))</f>
        <v/>
      </c>
      <c r="D560" s="6" t="n"/>
      <c r="E560" s="6" t="n"/>
      <c r="F560" s="6" t="n"/>
      <c r="G560" s="6" t="n"/>
      <c r="H560" s="6" t="n"/>
      <c r="I560" s="8" t="n"/>
      <c r="J560" s="12">
        <f>IF($I560="","",IF($H560="U$D",$I560,IFERROR($I560/VLOOKUP($B560*100+$C560,CONFIG!$I$5:$J$60,2,FALSE),"sin cotiz")))</f>
        <v/>
      </c>
      <c r="K560" s="6" t="n"/>
      <c r="L560" s="6" t="n"/>
      <c r="M560" s="6" t="n"/>
    </row>
    <row r="561">
      <c r="A561" s="10" t="n"/>
      <c r="B561" s="11">
        <f>IF($A561="","",YEAR($A561))</f>
        <v/>
      </c>
      <c r="C561" s="11">
        <f>IF($A561="","",MONTH($A561))</f>
        <v/>
      </c>
      <c r="D561" s="6" t="n"/>
      <c r="E561" s="6" t="n"/>
      <c r="F561" s="6" t="n"/>
      <c r="G561" s="6" t="n"/>
      <c r="H561" s="6" t="n"/>
      <c r="I561" s="8" t="n"/>
      <c r="J561" s="12">
        <f>IF($I561="","",IF($H561="U$D",$I561,IFERROR($I561/VLOOKUP($B561*100+$C561,CONFIG!$I$5:$J$60,2,FALSE),"sin cotiz")))</f>
        <v/>
      </c>
      <c r="K561" s="6" t="n"/>
      <c r="L561" s="6" t="n"/>
      <c r="M561" s="6" t="n"/>
    </row>
    <row r="562">
      <c r="A562" s="10" t="n"/>
      <c r="B562" s="11">
        <f>IF($A562="","",YEAR($A562))</f>
        <v/>
      </c>
      <c r="C562" s="11">
        <f>IF($A562="","",MONTH($A562))</f>
        <v/>
      </c>
      <c r="D562" s="6" t="n"/>
      <c r="E562" s="6" t="n"/>
      <c r="F562" s="6" t="n"/>
      <c r="G562" s="6" t="n"/>
      <c r="H562" s="6" t="n"/>
      <c r="I562" s="8" t="n"/>
      <c r="J562" s="12">
        <f>IF($I562="","",IF($H562="U$D",$I562,IFERROR($I562/VLOOKUP($B562*100+$C562,CONFIG!$I$5:$J$60,2,FALSE),"sin cotiz")))</f>
        <v/>
      </c>
      <c r="K562" s="6" t="n"/>
      <c r="L562" s="6" t="n"/>
      <c r="M562" s="6" t="n"/>
    </row>
    <row r="563">
      <c r="A563" s="10" t="n"/>
      <c r="B563" s="11">
        <f>IF($A563="","",YEAR($A563))</f>
        <v/>
      </c>
      <c r="C563" s="11">
        <f>IF($A563="","",MONTH($A563))</f>
        <v/>
      </c>
      <c r="D563" s="6" t="n"/>
      <c r="E563" s="6" t="n"/>
      <c r="F563" s="6" t="n"/>
      <c r="G563" s="6" t="n"/>
      <c r="H563" s="6" t="n"/>
      <c r="I563" s="8" t="n"/>
      <c r="J563" s="12">
        <f>IF($I563="","",IF($H563="U$D",$I563,IFERROR($I563/VLOOKUP($B563*100+$C563,CONFIG!$I$5:$J$60,2,FALSE),"sin cotiz")))</f>
        <v/>
      </c>
      <c r="K563" s="6" t="n"/>
      <c r="L563" s="6" t="n"/>
      <c r="M563" s="6" t="n"/>
    </row>
    <row r="564">
      <c r="A564" s="10" t="n"/>
      <c r="B564" s="11">
        <f>IF($A564="","",YEAR($A564))</f>
        <v/>
      </c>
      <c r="C564" s="11">
        <f>IF($A564="","",MONTH($A564))</f>
        <v/>
      </c>
      <c r="D564" s="6" t="n"/>
      <c r="E564" s="6" t="n"/>
      <c r="F564" s="6" t="n"/>
      <c r="G564" s="6" t="n"/>
      <c r="H564" s="6" t="n"/>
      <c r="I564" s="8" t="n"/>
      <c r="J564" s="12">
        <f>IF($I564="","",IF($H564="U$D",$I564,IFERROR($I564/VLOOKUP($B564*100+$C564,CONFIG!$I$5:$J$60,2,FALSE),"sin cotiz")))</f>
        <v/>
      </c>
      <c r="K564" s="6" t="n"/>
      <c r="L564" s="6" t="n"/>
      <c r="M564" s="6" t="n"/>
    </row>
    <row r="565">
      <c r="A565" s="10" t="n"/>
      <c r="B565" s="11">
        <f>IF($A565="","",YEAR($A565))</f>
        <v/>
      </c>
      <c r="C565" s="11">
        <f>IF($A565="","",MONTH($A565))</f>
        <v/>
      </c>
      <c r="D565" s="6" t="n"/>
      <c r="E565" s="6" t="n"/>
      <c r="F565" s="6" t="n"/>
      <c r="G565" s="6" t="n"/>
      <c r="H565" s="6" t="n"/>
      <c r="I565" s="8" t="n"/>
      <c r="J565" s="12">
        <f>IF($I565="","",IF($H565="U$D",$I565,IFERROR($I565/VLOOKUP($B565*100+$C565,CONFIG!$I$5:$J$60,2,FALSE),"sin cotiz")))</f>
        <v/>
      </c>
      <c r="K565" s="6" t="n"/>
      <c r="L565" s="6" t="n"/>
      <c r="M565" s="6" t="n"/>
    </row>
    <row r="566">
      <c r="A566" s="10" t="n"/>
      <c r="B566" s="11">
        <f>IF($A566="","",YEAR($A566))</f>
        <v/>
      </c>
      <c r="C566" s="11">
        <f>IF($A566="","",MONTH($A566))</f>
        <v/>
      </c>
      <c r="D566" s="6" t="n"/>
      <c r="E566" s="6" t="n"/>
      <c r="F566" s="6" t="n"/>
      <c r="G566" s="6" t="n"/>
      <c r="H566" s="6" t="n"/>
      <c r="I566" s="8" t="n"/>
      <c r="J566" s="12">
        <f>IF($I566="","",IF($H566="U$D",$I566,IFERROR($I566/VLOOKUP($B566*100+$C566,CONFIG!$I$5:$J$60,2,FALSE),"sin cotiz")))</f>
        <v/>
      </c>
      <c r="K566" s="6" t="n"/>
      <c r="L566" s="6" t="n"/>
      <c r="M566" s="6" t="n"/>
    </row>
    <row r="567">
      <c r="A567" s="10" t="n"/>
      <c r="B567" s="11">
        <f>IF($A567="","",YEAR($A567))</f>
        <v/>
      </c>
      <c r="C567" s="11">
        <f>IF($A567="","",MONTH($A567))</f>
        <v/>
      </c>
      <c r="D567" s="6" t="n"/>
      <c r="E567" s="6" t="n"/>
      <c r="F567" s="6" t="n"/>
      <c r="G567" s="6" t="n"/>
      <c r="H567" s="6" t="n"/>
      <c r="I567" s="8" t="n"/>
      <c r="J567" s="12">
        <f>IF($I567="","",IF($H567="U$D",$I567,IFERROR($I567/VLOOKUP($B567*100+$C567,CONFIG!$I$5:$J$60,2,FALSE),"sin cotiz")))</f>
        <v/>
      </c>
      <c r="K567" s="6" t="n"/>
      <c r="L567" s="6" t="n"/>
      <c r="M567" s="6" t="n"/>
    </row>
    <row r="568">
      <c r="A568" s="10" t="n"/>
      <c r="B568" s="11">
        <f>IF($A568="","",YEAR($A568))</f>
        <v/>
      </c>
      <c r="C568" s="11">
        <f>IF($A568="","",MONTH($A568))</f>
        <v/>
      </c>
      <c r="D568" s="6" t="n"/>
      <c r="E568" s="6" t="n"/>
      <c r="F568" s="6" t="n"/>
      <c r="G568" s="6" t="n"/>
      <c r="H568" s="6" t="n"/>
      <c r="I568" s="8" t="n"/>
      <c r="J568" s="12">
        <f>IF($I568="","",IF($H568="U$D",$I568,IFERROR($I568/VLOOKUP($B568*100+$C568,CONFIG!$I$5:$J$60,2,FALSE),"sin cotiz")))</f>
        <v/>
      </c>
      <c r="K568" s="6" t="n"/>
      <c r="L568" s="6" t="n"/>
      <c r="M568" s="6" t="n"/>
    </row>
    <row r="569">
      <c r="A569" s="10" t="n"/>
      <c r="B569" s="11">
        <f>IF($A569="","",YEAR($A569))</f>
        <v/>
      </c>
      <c r="C569" s="11">
        <f>IF($A569="","",MONTH($A569))</f>
        <v/>
      </c>
      <c r="D569" s="6" t="n"/>
      <c r="E569" s="6" t="n"/>
      <c r="F569" s="6" t="n"/>
      <c r="G569" s="6" t="n"/>
      <c r="H569" s="6" t="n"/>
      <c r="I569" s="8" t="n"/>
      <c r="J569" s="12">
        <f>IF($I569="","",IF($H569="U$D",$I569,IFERROR($I569/VLOOKUP($B569*100+$C569,CONFIG!$I$5:$J$60,2,FALSE),"sin cotiz")))</f>
        <v/>
      </c>
      <c r="K569" s="6" t="n"/>
      <c r="L569" s="6" t="n"/>
      <c r="M569" s="6" t="n"/>
    </row>
    <row r="570">
      <c r="A570" s="10" t="n"/>
      <c r="B570" s="11">
        <f>IF($A570="","",YEAR($A570))</f>
        <v/>
      </c>
      <c r="C570" s="11">
        <f>IF($A570="","",MONTH($A570))</f>
        <v/>
      </c>
      <c r="D570" s="6" t="n"/>
      <c r="E570" s="6" t="n"/>
      <c r="F570" s="6" t="n"/>
      <c r="G570" s="6" t="n"/>
      <c r="H570" s="6" t="n"/>
      <c r="I570" s="8" t="n"/>
      <c r="J570" s="12">
        <f>IF($I570="","",IF($H570="U$D",$I570,IFERROR($I570/VLOOKUP($B570*100+$C570,CONFIG!$I$5:$J$60,2,FALSE),"sin cotiz")))</f>
        <v/>
      </c>
      <c r="K570" s="6" t="n"/>
      <c r="L570" s="6" t="n"/>
      <c r="M570" s="6" t="n"/>
    </row>
    <row r="571">
      <c r="A571" s="10" t="n"/>
      <c r="B571" s="11">
        <f>IF($A571="","",YEAR($A571))</f>
        <v/>
      </c>
      <c r="C571" s="11">
        <f>IF($A571="","",MONTH($A571))</f>
        <v/>
      </c>
      <c r="D571" s="6" t="n"/>
      <c r="E571" s="6" t="n"/>
      <c r="F571" s="6" t="n"/>
      <c r="G571" s="6" t="n"/>
      <c r="H571" s="6" t="n"/>
      <c r="I571" s="8" t="n"/>
      <c r="J571" s="12">
        <f>IF($I571="","",IF($H571="U$D",$I571,IFERROR($I571/VLOOKUP($B571*100+$C571,CONFIG!$I$5:$J$60,2,FALSE),"sin cotiz")))</f>
        <v/>
      </c>
      <c r="K571" s="6" t="n"/>
      <c r="L571" s="6" t="n"/>
      <c r="M571" s="6" t="n"/>
    </row>
    <row r="572">
      <c r="A572" s="10" t="n"/>
      <c r="B572" s="11">
        <f>IF($A572="","",YEAR($A572))</f>
        <v/>
      </c>
      <c r="C572" s="11">
        <f>IF($A572="","",MONTH($A572))</f>
        <v/>
      </c>
      <c r="D572" s="6" t="n"/>
      <c r="E572" s="6" t="n"/>
      <c r="F572" s="6" t="n"/>
      <c r="G572" s="6" t="n"/>
      <c r="H572" s="6" t="n"/>
      <c r="I572" s="8" t="n"/>
      <c r="J572" s="12">
        <f>IF($I572="","",IF($H572="U$D",$I572,IFERROR($I572/VLOOKUP($B572*100+$C572,CONFIG!$I$5:$J$60,2,FALSE),"sin cotiz")))</f>
        <v/>
      </c>
      <c r="K572" s="6" t="n"/>
      <c r="L572" s="6" t="n"/>
      <c r="M572" s="6" t="n"/>
    </row>
    <row r="573">
      <c r="A573" s="10" t="n"/>
      <c r="B573" s="11">
        <f>IF($A573="","",YEAR($A573))</f>
        <v/>
      </c>
      <c r="C573" s="11">
        <f>IF($A573="","",MONTH($A573))</f>
        <v/>
      </c>
      <c r="D573" s="6" t="n"/>
      <c r="E573" s="6" t="n"/>
      <c r="F573" s="6" t="n"/>
      <c r="G573" s="6" t="n"/>
      <c r="H573" s="6" t="n"/>
      <c r="I573" s="8" t="n"/>
      <c r="J573" s="12">
        <f>IF($I573="","",IF($H573="U$D",$I573,IFERROR($I573/VLOOKUP($B573*100+$C573,CONFIG!$I$5:$J$60,2,FALSE),"sin cotiz")))</f>
        <v/>
      </c>
      <c r="K573" s="6" t="n"/>
      <c r="L573" s="6" t="n"/>
      <c r="M573" s="6" t="n"/>
    </row>
    <row r="574">
      <c r="A574" s="10" t="n"/>
      <c r="B574" s="11">
        <f>IF($A574="","",YEAR($A574))</f>
        <v/>
      </c>
      <c r="C574" s="11">
        <f>IF($A574="","",MONTH($A574))</f>
        <v/>
      </c>
      <c r="D574" s="6" t="n"/>
      <c r="E574" s="6" t="n"/>
      <c r="F574" s="6" t="n"/>
      <c r="G574" s="6" t="n"/>
      <c r="H574" s="6" t="n"/>
      <c r="I574" s="8" t="n"/>
      <c r="J574" s="12">
        <f>IF($I574="","",IF($H574="U$D",$I574,IFERROR($I574/VLOOKUP($B574*100+$C574,CONFIG!$I$5:$J$60,2,FALSE),"sin cotiz")))</f>
        <v/>
      </c>
      <c r="K574" s="6" t="n"/>
      <c r="L574" s="6" t="n"/>
      <c r="M574" s="6" t="n"/>
    </row>
    <row r="575">
      <c r="A575" s="10" t="n"/>
      <c r="B575" s="11">
        <f>IF($A575="","",YEAR($A575))</f>
        <v/>
      </c>
      <c r="C575" s="11">
        <f>IF($A575="","",MONTH($A575))</f>
        <v/>
      </c>
      <c r="D575" s="6" t="n"/>
      <c r="E575" s="6" t="n"/>
      <c r="F575" s="6" t="n"/>
      <c r="G575" s="6" t="n"/>
      <c r="H575" s="6" t="n"/>
      <c r="I575" s="8" t="n"/>
      <c r="J575" s="12">
        <f>IF($I575="","",IF($H575="U$D",$I575,IFERROR($I575/VLOOKUP($B575*100+$C575,CONFIG!$I$5:$J$60,2,FALSE),"sin cotiz")))</f>
        <v/>
      </c>
      <c r="K575" s="6" t="n"/>
      <c r="L575" s="6" t="n"/>
      <c r="M575" s="6" t="n"/>
    </row>
    <row r="576">
      <c r="A576" s="10" t="n"/>
      <c r="B576" s="11">
        <f>IF($A576="","",YEAR($A576))</f>
        <v/>
      </c>
      <c r="C576" s="11">
        <f>IF($A576="","",MONTH($A576))</f>
        <v/>
      </c>
      <c r="D576" s="6" t="n"/>
      <c r="E576" s="6" t="n"/>
      <c r="F576" s="6" t="n"/>
      <c r="G576" s="6" t="n"/>
      <c r="H576" s="6" t="n"/>
      <c r="I576" s="8" t="n"/>
      <c r="J576" s="12">
        <f>IF($I576="","",IF($H576="U$D",$I576,IFERROR($I576/VLOOKUP($B576*100+$C576,CONFIG!$I$5:$J$60,2,FALSE),"sin cotiz")))</f>
        <v/>
      </c>
      <c r="K576" s="6" t="n"/>
      <c r="L576" s="6" t="n"/>
      <c r="M576" s="6" t="n"/>
    </row>
    <row r="577">
      <c r="A577" s="10" t="n"/>
      <c r="B577" s="11">
        <f>IF($A577="","",YEAR($A577))</f>
        <v/>
      </c>
      <c r="C577" s="11">
        <f>IF($A577="","",MONTH($A577))</f>
        <v/>
      </c>
      <c r="D577" s="6" t="n"/>
      <c r="E577" s="6" t="n"/>
      <c r="F577" s="6" t="n"/>
      <c r="G577" s="6" t="n"/>
      <c r="H577" s="6" t="n"/>
      <c r="I577" s="8" t="n"/>
      <c r="J577" s="12">
        <f>IF($I577="","",IF($H577="U$D",$I577,IFERROR($I577/VLOOKUP($B577*100+$C577,CONFIG!$I$5:$J$60,2,FALSE),"sin cotiz")))</f>
        <v/>
      </c>
      <c r="K577" s="6" t="n"/>
      <c r="L577" s="6" t="n"/>
      <c r="M577" s="6" t="n"/>
    </row>
    <row r="578">
      <c r="A578" s="10" t="n"/>
      <c r="B578" s="11">
        <f>IF($A578="","",YEAR($A578))</f>
        <v/>
      </c>
      <c r="C578" s="11">
        <f>IF($A578="","",MONTH($A578))</f>
        <v/>
      </c>
      <c r="D578" s="6" t="n"/>
      <c r="E578" s="6" t="n"/>
      <c r="F578" s="6" t="n"/>
      <c r="G578" s="6" t="n"/>
      <c r="H578" s="6" t="n"/>
      <c r="I578" s="8" t="n"/>
      <c r="J578" s="12">
        <f>IF($I578="","",IF($H578="U$D",$I578,IFERROR($I578/VLOOKUP($B578*100+$C578,CONFIG!$I$5:$J$60,2,FALSE),"sin cotiz")))</f>
        <v/>
      </c>
      <c r="K578" s="6" t="n"/>
      <c r="L578" s="6" t="n"/>
      <c r="M578" s="6" t="n"/>
    </row>
    <row r="579">
      <c r="A579" s="10" t="n"/>
      <c r="B579" s="11">
        <f>IF($A579="","",YEAR($A579))</f>
        <v/>
      </c>
      <c r="C579" s="11">
        <f>IF($A579="","",MONTH($A579))</f>
        <v/>
      </c>
      <c r="D579" s="6" t="n"/>
      <c r="E579" s="6" t="n"/>
      <c r="F579" s="6" t="n"/>
      <c r="G579" s="6" t="n"/>
      <c r="H579" s="6" t="n"/>
      <c r="I579" s="8" t="n"/>
      <c r="J579" s="12">
        <f>IF($I579="","",IF($H579="U$D",$I579,IFERROR($I579/VLOOKUP($B579*100+$C579,CONFIG!$I$5:$J$60,2,FALSE),"sin cotiz")))</f>
        <v/>
      </c>
      <c r="K579" s="6" t="n"/>
      <c r="L579" s="6" t="n"/>
      <c r="M579" s="6" t="n"/>
    </row>
    <row r="580">
      <c r="A580" s="10" t="n"/>
      <c r="B580" s="11">
        <f>IF($A580="","",YEAR($A580))</f>
        <v/>
      </c>
      <c r="C580" s="11">
        <f>IF($A580="","",MONTH($A580))</f>
        <v/>
      </c>
      <c r="D580" s="6" t="n"/>
      <c r="E580" s="6" t="n"/>
      <c r="F580" s="6" t="n"/>
      <c r="G580" s="6" t="n"/>
      <c r="H580" s="6" t="n"/>
      <c r="I580" s="8" t="n"/>
      <c r="J580" s="12">
        <f>IF($I580="","",IF($H580="U$D",$I580,IFERROR($I580/VLOOKUP($B580*100+$C580,CONFIG!$I$5:$J$60,2,FALSE),"sin cotiz")))</f>
        <v/>
      </c>
      <c r="K580" s="6" t="n"/>
      <c r="L580" s="6" t="n"/>
      <c r="M580" s="6" t="n"/>
    </row>
    <row r="581">
      <c r="A581" s="10" t="n"/>
      <c r="B581" s="11">
        <f>IF($A581="","",YEAR($A581))</f>
        <v/>
      </c>
      <c r="C581" s="11">
        <f>IF($A581="","",MONTH($A581))</f>
        <v/>
      </c>
      <c r="D581" s="6" t="n"/>
      <c r="E581" s="6" t="n"/>
      <c r="F581" s="6" t="n"/>
      <c r="G581" s="6" t="n"/>
      <c r="H581" s="6" t="n"/>
      <c r="I581" s="8" t="n"/>
      <c r="J581" s="12">
        <f>IF($I581="","",IF($H581="U$D",$I581,IFERROR($I581/VLOOKUP($B581*100+$C581,CONFIG!$I$5:$J$60,2,FALSE),"sin cotiz")))</f>
        <v/>
      </c>
      <c r="K581" s="6" t="n"/>
      <c r="L581" s="6" t="n"/>
      <c r="M581" s="6" t="n"/>
    </row>
    <row r="582">
      <c r="A582" s="10" t="n"/>
      <c r="B582" s="11">
        <f>IF($A582="","",YEAR($A582))</f>
        <v/>
      </c>
      <c r="C582" s="11">
        <f>IF($A582="","",MONTH($A582))</f>
        <v/>
      </c>
      <c r="D582" s="6" t="n"/>
      <c r="E582" s="6" t="n"/>
      <c r="F582" s="6" t="n"/>
      <c r="G582" s="6" t="n"/>
      <c r="H582" s="6" t="n"/>
      <c r="I582" s="8" t="n"/>
      <c r="J582" s="12">
        <f>IF($I582="","",IF($H582="U$D",$I582,IFERROR($I582/VLOOKUP($B582*100+$C582,CONFIG!$I$5:$J$60,2,FALSE),"sin cotiz")))</f>
        <v/>
      </c>
      <c r="K582" s="6" t="n"/>
      <c r="L582" s="6" t="n"/>
      <c r="M582" s="6" t="n"/>
    </row>
    <row r="583">
      <c r="A583" s="10" t="n"/>
      <c r="B583" s="11">
        <f>IF($A583="","",YEAR($A583))</f>
        <v/>
      </c>
      <c r="C583" s="11">
        <f>IF($A583="","",MONTH($A583))</f>
        <v/>
      </c>
      <c r="D583" s="6" t="n"/>
      <c r="E583" s="6" t="n"/>
      <c r="F583" s="6" t="n"/>
      <c r="G583" s="6" t="n"/>
      <c r="H583" s="6" t="n"/>
      <c r="I583" s="8" t="n"/>
      <c r="J583" s="12">
        <f>IF($I583="","",IF($H583="U$D",$I583,IFERROR($I583/VLOOKUP($B583*100+$C583,CONFIG!$I$5:$J$60,2,FALSE),"sin cotiz")))</f>
        <v/>
      </c>
      <c r="K583" s="6" t="n"/>
      <c r="L583" s="6" t="n"/>
      <c r="M583" s="6" t="n"/>
    </row>
    <row r="584">
      <c r="A584" s="10" t="n"/>
      <c r="B584" s="11">
        <f>IF($A584="","",YEAR($A584))</f>
        <v/>
      </c>
      <c r="C584" s="11">
        <f>IF($A584="","",MONTH($A584))</f>
        <v/>
      </c>
      <c r="D584" s="6" t="n"/>
      <c r="E584" s="6" t="n"/>
      <c r="F584" s="6" t="n"/>
      <c r="G584" s="6" t="n"/>
      <c r="H584" s="6" t="n"/>
      <c r="I584" s="8" t="n"/>
      <c r="J584" s="12">
        <f>IF($I584="","",IF($H584="U$D",$I584,IFERROR($I584/VLOOKUP($B584*100+$C584,CONFIG!$I$5:$J$60,2,FALSE),"sin cotiz")))</f>
        <v/>
      </c>
      <c r="K584" s="6" t="n"/>
      <c r="L584" s="6" t="n"/>
      <c r="M584" s="6" t="n"/>
    </row>
    <row r="585">
      <c r="A585" s="10" t="n"/>
      <c r="B585" s="11">
        <f>IF($A585="","",YEAR($A585))</f>
        <v/>
      </c>
      <c r="C585" s="11">
        <f>IF($A585="","",MONTH($A585))</f>
        <v/>
      </c>
      <c r="D585" s="6" t="n"/>
      <c r="E585" s="6" t="n"/>
      <c r="F585" s="6" t="n"/>
      <c r="G585" s="6" t="n"/>
      <c r="H585" s="6" t="n"/>
      <c r="I585" s="8" t="n"/>
      <c r="J585" s="12">
        <f>IF($I585="","",IF($H585="U$D",$I585,IFERROR($I585/VLOOKUP($B585*100+$C585,CONFIG!$I$5:$J$60,2,FALSE),"sin cotiz")))</f>
        <v/>
      </c>
      <c r="K585" s="6" t="n"/>
      <c r="L585" s="6" t="n"/>
      <c r="M585" s="6" t="n"/>
    </row>
    <row r="586">
      <c r="A586" s="10" t="n"/>
      <c r="B586" s="11">
        <f>IF($A586="","",YEAR($A586))</f>
        <v/>
      </c>
      <c r="C586" s="11">
        <f>IF($A586="","",MONTH($A586))</f>
        <v/>
      </c>
      <c r="D586" s="6" t="n"/>
      <c r="E586" s="6" t="n"/>
      <c r="F586" s="6" t="n"/>
      <c r="G586" s="6" t="n"/>
      <c r="H586" s="6" t="n"/>
      <c r="I586" s="8" t="n"/>
      <c r="J586" s="12">
        <f>IF($I586="","",IF($H586="U$D",$I586,IFERROR($I586/VLOOKUP($B586*100+$C586,CONFIG!$I$5:$J$60,2,FALSE),"sin cotiz")))</f>
        <v/>
      </c>
      <c r="K586" s="6" t="n"/>
      <c r="L586" s="6" t="n"/>
      <c r="M586" s="6" t="n"/>
    </row>
    <row r="587">
      <c r="A587" s="10" t="n"/>
      <c r="B587" s="11">
        <f>IF($A587="","",YEAR($A587))</f>
        <v/>
      </c>
      <c r="C587" s="11">
        <f>IF($A587="","",MONTH($A587))</f>
        <v/>
      </c>
      <c r="D587" s="6" t="n"/>
      <c r="E587" s="6" t="n"/>
      <c r="F587" s="6" t="n"/>
      <c r="G587" s="6" t="n"/>
      <c r="H587" s="6" t="n"/>
      <c r="I587" s="8" t="n"/>
      <c r="J587" s="12">
        <f>IF($I587="","",IF($H587="U$D",$I587,IFERROR($I587/VLOOKUP($B587*100+$C587,CONFIG!$I$5:$J$60,2,FALSE),"sin cotiz")))</f>
        <v/>
      </c>
      <c r="K587" s="6" t="n"/>
      <c r="L587" s="6" t="n"/>
      <c r="M587" s="6" t="n"/>
    </row>
    <row r="588">
      <c r="A588" s="10" t="n"/>
      <c r="B588" s="11">
        <f>IF($A588="","",YEAR($A588))</f>
        <v/>
      </c>
      <c r="C588" s="11">
        <f>IF($A588="","",MONTH($A588))</f>
        <v/>
      </c>
      <c r="D588" s="6" t="n"/>
      <c r="E588" s="6" t="n"/>
      <c r="F588" s="6" t="n"/>
      <c r="G588" s="6" t="n"/>
      <c r="H588" s="6" t="n"/>
      <c r="I588" s="8" t="n"/>
      <c r="J588" s="12">
        <f>IF($I588="","",IF($H588="U$D",$I588,IFERROR($I588/VLOOKUP($B588*100+$C588,CONFIG!$I$5:$J$60,2,FALSE),"sin cotiz")))</f>
        <v/>
      </c>
      <c r="K588" s="6" t="n"/>
      <c r="L588" s="6" t="n"/>
      <c r="M588" s="6" t="n"/>
    </row>
    <row r="589">
      <c r="A589" s="10" t="n"/>
      <c r="B589" s="11">
        <f>IF($A589="","",YEAR($A589))</f>
        <v/>
      </c>
      <c r="C589" s="11">
        <f>IF($A589="","",MONTH($A589))</f>
        <v/>
      </c>
      <c r="D589" s="6" t="n"/>
      <c r="E589" s="6" t="n"/>
      <c r="F589" s="6" t="n"/>
      <c r="G589" s="6" t="n"/>
      <c r="H589" s="6" t="n"/>
      <c r="I589" s="8" t="n"/>
      <c r="J589" s="12">
        <f>IF($I589="","",IF($H589="U$D",$I589,IFERROR($I589/VLOOKUP($B589*100+$C589,CONFIG!$I$5:$J$60,2,FALSE),"sin cotiz")))</f>
        <v/>
      </c>
      <c r="K589" s="6" t="n"/>
      <c r="L589" s="6" t="n"/>
      <c r="M589" s="6" t="n"/>
    </row>
    <row r="590">
      <c r="A590" s="10" t="n"/>
      <c r="B590" s="11">
        <f>IF($A590="","",YEAR($A590))</f>
        <v/>
      </c>
      <c r="C590" s="11">
        <f>IF($A590="","",MONTH($A590))</f>
        <v/>
      </c>
      <c r="D590" s="6" t="n"/>
      <c r="E590" s="6" t="n"/>
      <c r="F590" s="6" t="n"/>
      <c r="G590" s="6" t="n"/>
      <c r="H590" s="6" t="n"/>
      <c r="I590" s="8" t="n"/>
      <c r="J590" s="12">
        <f>IF($I590="","",IF($H590="U$D",$I590,IFERROR($I590/VLOOKUP($B590*100+$C590,CONFIG!$I$5:$J$60,2,FALSE),"sin cotiz")))</f>
        <v/>
      </c>
      <c r="K590" s="6" t="n"/>
      <c r="L590" s="6" t="n"/>
      <c r="M590" s="6" t="n"/>
    </row>
    <row r="591">
      <c r="A591" s="10" t="n"/>
      <c r="B591" s="11">
        <f>IF($A591="","",YEAR($A591))</f>
        <v/>
      </c>
      <c r="C591" s="11">
        <f>IF($A591="","",MONTH($A591))</f>
        <v/>
      </c>
      <c r="D591" s="6" t="n"/>
      <c r="E591" s="6" t="n"/>
      <c r="F591" s="6" t="n"/>
      <c r="G591" s="6" t="n"/>
      <c r="H591" s="6" t="n"/>
      <c r="I591" s="8" t="n"/>
      <c r="J591" s="12">
        <f>IF($I591="","",IF($H591="U$D",$I591,IFERROR($I591/VLOOKUP($B591*100+$C591,CONFIG!$I$5:$J$60,2,FALSE),"sin cotiz")))</f>
        <v/>
      </c>
      <c r="K591" s="6" t="n"/>
      <c r="L591" s="6" t="n"/>
      <c r="M591" s="6" t="n"/>
    </row>
    <row r="592">
      <c r="A592" s="10" t="n"/>
      <c r="B592" s="11">
        <f>IF($A592="","",YEAR($A592))</f>
        <v/>
      </c>
      <c r="C592" s="11">
        <f>IF($A592="","",MONTH($A592))</f>
        <v/>
      </c>
      <c r="D592" s="6" t="n"/>
      <c r="E592" s="6" t="n"/>
      <c r="F592" s="6" t="n"/>
      <c r="G592" s="6" t="n"/>
      <c r="H592" s="6" t="n"/>
      <c r="I592" s="8" t="n"/>
      <c r="J592" s="12">
        <f>IF($I592="","",IF($H592="U$D",$I592,IFERROR($I592/VLOOKUP($B592*100+$C592,CONFIG!$I$5:$J$60,2,FALSE),"sin cotiz")))</f>
        <v/>
      </c>
      <c r="K592" s="6" t="n"/>
      <c r="L592" s="6" t="n"/>
      <c r="M592" s="6" t="n"/>
    </row>
    <row r="593">
      <c r="A593" s="10" t="n"/>
      <c r="B593" s="11">
        <f>IF($A593="","",YEAR($A593))</f>
        <v/>
      </c>
      <c r="C593" s="11">
        <f>IF($A593="","",MONTH($A593))</f>
        <v/>
      </c>
      <c r="D593" s="6" t="n"/>
      <c r="E593" s="6" t="n"/>
      <c r="F593" s="6" t="n"/>
      <c r="G593" s="6" t="n"/>
      <c r="H593" s="6" t="n"/>
      <c r="I593" s="8" t="n"/>
      <c r="J593" s="12">
        <f>IF($I593="","",IF($H593="U$D",$I593,IFERROR($I593/VLOOKUP($B593*100+$C593,CONFIG!$I$5:$J$60,2,FALSE),"sin cotiz")))</f>
        <v/>
      </c>
      <c r="K593" s="6" t="n"/>
      <c r="L593" s="6" t="n"/>
      <c r="M593" s="6" t="n"/>
    </row>
    <row r="594">
      <c r="A594" s="10" t="n"/>
      <c r="B594" s="11">
        <f>IF($A594="","",YEAR($A594))</f>
        <v/>
      </c>
      <c r="C594" s="11">
        <f>IF($A594="","",MONTH($A594))</f>
        <v/>
      </c>
      <c r="D594" s="6" t="n"/>
      <c r="E594" s="6" t="n"/>
      <c r="F594" s="6" t="n"/>
      <c r="G594" s="6" t="n"/>
      <c r="H594" s="6" t="n"/>
      <c r="I594" s="8" t="n"/>
      <c r="J594" s="12">
        <f>IF($I594="","",IF($H594="U$D",$I594,IFERROR($I594/VLOOKUP($B594*100+$C594,CONFIG!$I$5:$J$60,2,FALSE),"sin cotiz")))</f>
        <v/>
      </c>
      <c r="K594" s="6" t="n"/>
      <c r="L594" s="6" t="n"/>
      <c r="M594" s="6" t="n"/>
    </row>
    <row r="595">
      <c r="A595" s="10" t="n"/>
      <c r="B595" s="11">
        <f>IF($A595="","",YEAR($A595))</f>
        <v/>
      </c>
      <c r="C595" s="11">
        <f>IF($A595="","",MONTH($A595))</f>
        <v/>
      </c>
      <c r="D595" s="6" t="n"/>
      <c r="E595" s="6" t="n"/>
      <c r="F595" s="6" t="n"/>
      <c r="G595" s="6" t="n"/>
      <c r="H595" s="6" t="n"/>
      <c r="I595" s="8" t="n"/>
      <c r="J595" s="12">
        <f>IF($I595="","",IF($H595="U$D",$I595,IFERROR($I595/VLOOKUP($B595*100+$C595,CONFIG!$I$5:$J$60,2,FALSE),"sin cotiz")))</f>
        <v/>
      </c>
      <c r="K595" s="6" t="n"/>
      <c r="L595" s="6" t="n"/>
      <c r="M595" s="6" t="n"/>
    </row>
    <row r="596">
      <c r="A596" s="10" t="n"/>
      <c r="B596" s="11">
        <f>IF($A596="","",YEAR($A596))</f>
        <v/>
      </c>
      <c r="C596" s="11">
        <f>IF($A596="","",MONTH($A596))</f>
        <v/>
      </c>
      <c r="D596" s="6" t="n"/>
      <c r="E596" s="6" t="n"/>
      <c r="F596" s="6" t="n"/>
      <c r="G596" s="6" t="n"/>
      <c r="H596" s="6" t="n"/>
      <c r="I596" s="8" t="n"/>
      <c r="J596" s="12">
        <f>IF($I596="","",IF($H596="U$D",$I596,IFERROR($I596/VLOOKUP($B596*100+$C596,CONFIG!$I$5:$J$60,2,FALSE),"sin cotiz")))</f>
        <v/>
      </c>
      <c r="K596" s="6" t="n"/>
      <c r="L596" s="6" t="n"/>
      <c r="M596" s="6" t="n"/>
    </row>
    <row r="597">
      <c r="A597" s="10" t="n"/>
      <c r="B597" s="11">
        <f>IF($A597="","",YEAR($A597))</f>
        <v/>
      </c>
      <c r="C597" s="11">
        <f>IF($A597="","",MONTH($A597))</f>
        <v/>
      </c>
      <c r="D597" s="6" t="n"/>
      <c r="E597" s="6" t="n"/>
      <c r="F597" s="6" t="n"/>
      <c r="G597" s="6" t="n"/>
      <c r="H597" s="6" t="n"/>
      <c r="I597" s="8" t="n"/>
      <c r="J597" s="12">
        <f>IF($I597="","",IF($H597="U$D",$I597,IFERROR($I597/VLOOKUP($B597*100+$C597,CONFIG!$I$5:$J$60,2,FALSE),"sin cotiz")))</f>
        <v/>
      </c>
      <c r="K597" s="6" t="n"/>
      <c r="L597" s="6" t="n"/>
      <c r="M597" s="6" t="n"/>
    </row>
    <row r="598">
      <c r="A598" s="10" t="n"/>
      <c r="B598" s="11">
        <f>IF($A598="","",YEAR($A598))</f>
        <v/>
      </c>
      <c r="C598" s="11">
        <f>IF($A598="","",MONTH($A598))</f>
        <v/>
      </c>
      <c r="D598" s="6" t="n"/>
      <c r="E598" s="6" t="n"/>
      <c r="F598" s="6" t="n"/>
      <c r="G598" s="6" t="n"/>
      <c r="H598" s="6" t="n"/>
      <c r="I598" s="8" t="n"/>
      <c r="J598" s="12">
        <f>IF($I598="","",IF($H598="U$D",$I598,IFERROR($I598/VLOOKUP($B598*100+$C598,CONFIG!$I$5:$J$60,2,FALSE),"sin cotiz")))</f>
        <v/>
      </c>
      <c r="K598" s="6" t="n"/>
      <c r="L598" s="6" t="n"/>
      <c r="M598" s="6" t="n"/>
    </row>
    <row r="599">
      <c r="A599" s="10" t="n"/>
      <c r="B599" s="11">
        <f>IF($A599="","",YEAR($A599))</f>
        <v/>
      </c>
      <c r="C599" s="11">
        <f>IF($A599="","",MONTH($A599))</f>
        <v/>
      </c>
      <c r="D599" s="6" t="n"/>
      <c r="E599" s="6" t="n"/>
      <c r="F599" s="6" t="n"/>
      <c r="G599" s="6" t="n"/>
      <c r="H599" s="6" t="n"/>
      <c r="I599" s="8" t="n"/>
      <c r="J599" s="12">
        <f>IF($I599="","",IF($H599="U$D",$I599,IFERROR($I599/VLOOKUP($B599*100+$C599,CONFIG!$I$5:$J$60,2,FALSE),"sin cotiz")))</f>
        <v/>
      </c>
      <c r="K599" s="6" t="n"/>
      <c r="L599" s="6" t="n"/>
      <c r="M599" s="6" t="n"/>
    </row>
    <row r="600">
      <c r="A600" s="10" t="n"/>
      <c r="B600" s="11">
        <f>IF($A600="","",YEAR($A600))</f>
        <v/>
      </c>
      <c r="C600" s="11">
        <f>IF($A600="","",MONTH($A600))</f>
        <v/>
      </c>
      <c r="D600" s="6" t="n"/>
      <c r="E600" s="6" t="n"/>
      <c r="F600" s="6" t="n"/>
      <c r="G600" s="6" t="n"/>
      <c r="H600" s="6" t="n"/>
      <c r="I600" s="8" t="n"/>
      <c r="J600" s="12">
        <f>IF($I600="","",IF($H600="U$D",$I600,IFERROR($I600/VLOOKUP($B600*100+$C600,CONFIG!$I$5:$J$60,2,FALSE),"sin cotiz")))</f>
        <v/>
      </c>
      <c r="K600" s="6" t="n"/>
      <c r="L600" s="6" t="n"/>
      <c r="M600" s="6" t="n"/>
    </row>
    <row r="601">
      <c r="A601" s="10" t="n"/>
      <c r="B601" s="11">
        <f>IF($A601="","",YEAR($A601))</f>
        <v/>
      </c>
      <c r="C601" s="11">
        <f>IF($A601="","",MONTH($A601))</f>
        <v/>
      </c>
      <c r="D601" s="6" t="n"/>
      <c r="E601" s="6" t="n"/>
      <c r="F601" s="6" t="n"/>
      <c r="G601" s="6" t="n"/>
      <c r="H601" s="6" t="n"/>
      <c r="I601" s="8" t="n"/>
      <c r="J601" s="12">
        <f>IF($I601="","",IF($H601="U$D",$I601,IFERROR($I601/VLOOKUP($B601*100+$C601,CONFIG!$I$5:$J$60,2,FALSE),"sin cotiz")))</f>
        <v/>
      </c>
      <c r="K601" s="6" t="n"/>
      <c r="L601" s="6" t="n"/>
      <c r="M601" s="6" t="n"/>
    </row>
    <row r="602">
      <c r="A602" s="10" t="n"/>
      <c r="B602" s="11">
        <f>IF($A602="","",YEAR($A602))</f>
        <v/>
      </c>
      <c r="C602" s="11">
        <f>IF($A602="","",MONTH($A602))</f>
        <v/>
      </c>
      <c r="D602" s="6" t="n"/>
      <c r="E602" s="6" t="n"/>
      <c r="F602" s="6" t="n"/>
      <c r="G602" s="6" t="n"/>
      <c r="H602" s="6" t="n"/>
      <c r="I602" s="8" t="n"/>
      <c r="J602" s="12">
        <f>IF($I602="","",IF($H602="U$D",$I602,IFERROR($I602/VLOOKUP($B602*100+$C602,CONFIG!$I$5:$J$60,2,FALSE),"sin cotiz")))</f>
        <v/>
      </c>
      <c r="K602" s="6" t="n"/>
      <c r="L602" s="6" t="n"/>
      <c r="M602" s="6" t="n"/>
    </row>
    <row r="603">
      <c r="A603" s="10" t="n"/>
      <c r="B603" s="11">
        <f>IF($A603="","",YEAR($A603))</f>
        <v/>
      </c>
      <c r="C603" s="11">
        <f>IF($A603="","",MONTH($A603))</f>
        <v/>
      </c>
      <c r="D603" s="6" t="n"/>
      <c r="E603" s="6" t="n"/>
      <c r="F603" s="6" t="n"/>
      <c r="G603" s="6" t="n"/>
      <c r="H603" s="6" t="n"/>
      <c r="I603" s="8" t="n"/>
      <c r="J603" s="12">
        <f>IF($I603="","",IF($H603="U$D",$I603,IFERROR($I603/VLOOKUP($B603*100+$C603,CONFIG!$I$5:$J$60,2,FALSE),"sin cotiz")))</f>
        <v/>
      </c>
      <c r="K603" s="6" t="n"/>
      <c r="L603" s="6" t="n"/>
      <c r="M603" s="6" t="n"/>
    </row>
    <row r="604">
      <c r="A604" s="10" t="n"/>
      <c r="B604" s="11">
        <f>IF($A604="","",YEAR($A604))</f>
        <v/>
      </c>
      <c r="C604" s="11">
        <f>IF($A604="","",MONTH($A604))</f>
        <v/>
      </c>
      <c r="D604" s="6" t="n"/>
      <c r="E604" s="6" t="n"/>
      <c r="F604" s="6" t="n"/>
      <c r="G604" s="6" t="n"/>
      <c r="H604" s="6" t="n"/>
      <c r="I604" s="8" t="n"/>
      <c r="J604" s="12">
        <f>IF($I604="","",IF($H604="U$D",$I604,IFERROR($I604/VLOOKUP($B604*100+$C604,CONFIG!$I$5:$J$60,2,FALSE),"sin cotiz")))</f>
        <v/>
      </c>
      <c r="K604" s="6" t="n"/>
      <c r="L604" s="6" t="n"/>
      <c r="M604" s="6" t="n"/>
    </row>
    <row r="605">
      <c r="A605" s="10" t="n"/>
      <c r="B605" s="11">
        <f>IF($A605="","",YEAR($A605))</f>
        <v/>
      </c>
      <c r="C605" s="11">
        <f>IF($A605="","",MONTH($A605))</f>
        <v/>
      </c>
      <c r="D605" s="6" t="n"/>
      <c r="E605" s="6" t="n"/>
      <c r="F605" s="6" t="n"/>
      <c r="G605" s="6" t="n"/>
      <c r="H605" s="6" t="n"/>
      <c r="I605" s="8" t="n"/>
      <c r="J605" s="12">
        <f>IF($I605="","",IF($H605="U$D",$I605,IFERROR($I605/VLOOKUP($B605*100+$C605,CONFIG!$I$5:$J$60,2,FALSE),"sin cotiz")))</f>
        <v/>
      </c>
      <c r="K605" s="6" t="n"/>
      <c r="L605" s="6" t="n"/>
      <c r="M605" s="6" t="n"/>
    </row>
    <row r="606">
      <c r="A606" s="10" t="n"/>
      <c r="B606" s="11">
        <f>IF($A606="","",YEAR($A606))</f>
        <v/>
      </c>
      <c r="C606" s="11">
        <f>IF($A606="","",MONTH($A606))</f>
        <v/>
      </c>
      <c r="D606" s="6" t="n"/>
      <c r="E606" s="6" t="n"/>
      <c r="F606" s="6" t="n"/>
      <c r="G606" s="6" t="n"/>
      <c r="H606" s="6" t="n"/>
      <c r="I606" s="8" t="n"/>
      <c r="J606" s="12">
        <f>IF($I606="","",IF($H606="U$D",$I606,IFERROR($I606/VLOOKUP($B606*100+$C606,CONFIG!$I$5:$J$60,2,FALSE),"sin cotiz")))</f>
        <v/>
      </c>
      <c r="K606" s="6" t="n"/>
      <c r="L606" s="6" t="n"/>
      <c r="M606" s="6" t="n"/>
    </row>
    <row r="607">
      <c r="A607" s="10" t="n"/>
      <c r="B607" s="11">
        <f>IF($A607="","",YEAR($A607))</f>
        <v/>
      </c>
      <c r="C607" s="11">
        <f>IF($A607="","",MONTH($A607))</f>
        <v/>
      </c>
      <c r="D607" s="6" t="n"/>
      <c r="E607" s="6" t="n"/>
      <c r="F607" s="6" t="n"/>
      <c r="G607" s="6" t="n"/>
      <c r="H607" s="6" t="n"/>
      <c r="I607" s="8" t="n"/>
      <c r="J607" s="12">
        <f>IF($I607="","",IF($H607="U$D",$I607,IFERROR($I607/VLOOKUP($B607*100+$C607,CONFIG!$I$5:$J$60,2,FALSE),"sin cotiz")))</f>
        <v/>
      </c>
      <c r="K607" s="6" t="n"/>
      <c r="L607" s="6" t="n"/>
      <c r="M607" s="6" t="n"/>
    </row>
    <row r="608">
      <c r="A608" s="10" t="n"/>
      <c r="B608" s="11">
        <f>IF($A608="","",YEAR($A608))</f>
        <v/>
      </c>
      <c r="C608" s="11">
        <f>IF($A608="","",MONTH($A608))</f>
        <v/>
      </c>
      <c r="D608" s="6" t="n"/>
      <c r="E608" s="6" t="n"/>
      <c r="F608" s="6" t="n"/>
      <c r="G608" s="6" t="n"/>
      <c r="H608" s="6" t="n"/>
      <c r="I608" s="8" t="n"/>
      <c r="J608" s="12">
        <f>IF($I608="","",IF($H608="U$D",$I608,IFERROR($I608/VLOOKUP($B608*100+$C608,CONFIG!$I$5:$J$60,2,FALSE),"sin cotiz")))</f>
        <v/>
      </c>
      <c r="K608" s="6" t="n"/>
      <c r="L608" s="6" t="n"/>
      <c r="M608" s="6" t="n"/>
    </row>
    <row r="609">
      <c r="A609" s="10" t="n"/>
      <c r="B609" s="11">
        <f>IF($A609="","",YEAR($A609))</f>
        <v/>
      </c>
      <c r="C609" s="11">
        <f>IF($A609="","",MONTH($A609))</f>
        <v/>
      </c>
      <c r="D609" s="6" t="n"/>
      <c r="E609" s="6" t="n"/>
      <c r="F609" s="6" t="n"/>
      <c r="G609" s="6" t="n"/>
      <c r="H609" s="6" t="n"/>
      <c r="I609" s="8" t="n"/>
      <c r="J609" s="12">
        <f>IF($I609="","",IF($H609="U$D",$I609,IFERROR($I609/VLOOKUP($B609*100+$C609,CONFIG!$I$5:$J$60,2,FALSE),"sin cotiz")))</f>
        <v/>
      </c>
      <c r="K609" s="6" t="n"/>
      <c r="L609" s="6" t="n"/>
      <c r="M609" s="6" t="n"/>
    </row>
    <row r="610">
      <c r="A610" s="10" t="n"/>
      <c r="B610" s="11">
        <f>IF($A610="","",YEAR($A610))</f>
        <v/>
      </c>
      <c r="C610" s="11">
        <f>IF($A610="","",MONTH($A610))</f>
        <v/>
      </c>
      <c r="D610" s="6" t="n"/>
      <c r="E610" s="6" t="n"/>
      <c r="F610" s="6" t="n"/>
      <c r="G610" s="6" t="n"/>
      <c r="H610" s="6" t="n"/>
      <c r="I610" s="8" t="n"/>
      <c r="J610" s="12">
        <f>IF($I610="","",IF($H610="U$D",$I610,IFERROR($I610/VLOOKUP($B610*100+$C610,CONFIG!$I$5:$J$60,2,FALSE),"sin cotiz")))</f>
        <v/>
      </c>
      <c r="K610" s="6" t="n"/>
      <c r="L610" s="6" t="n"/>
      <c r="M610" s="6" t="n"/>
    </row>
    <row r="611">
      <c r="A611" s="10" t="n"/>
      <c r="B611" s="11">
        <f>IF($A611="","",YEAR($A611))</f>
        <v/>
      </c>
      <c r="C611" s="11">
        <f>IF($A611="","",MONTH($A611))</f>
        <v/>
      </c>
      <c r="D611" s="6" t="n"/>
      <c r="E611" s="6" t="n"/>
      <c r="F611" s="6" t="n"/>
      <c r="G611" s="6" t="n"/>
      <c r="H611" s="6" t="n"/>
      <c r="I611" s="8" t="n"/>
      <c r="J611" s="12">
        <f>IF($I611="","",IF($H611="U$D",$I611,IFERROR($I611/VLOOKUP($B611*100+$C611,CONFIG!$I$5:$J$60,2,FALSE),"sin cotiz")))</f>
        <v/>
      </c>
      <c r="K611" s="6" t="n"/>
      <c r="L611" s="6" t="n"/>
      <c r="M611" s="6" t="n"/>
    </row>
    <row r="612">
      <c r="A612" s="10" t="n"/>
      <c r="B612" s="11">
        <f>IF($A612="","",YEAR($A612))</f>
        <v/>
      </c>
      <c r="C612" s="11">
        <f>IF($A612="","",MONTH($A612))</f>
        <v/>
      </c>
      <c r="D612" s="6" t="n"/>
      <c r="E612" s="6" t="n"/>
      <c r="F612" s="6" t="n"/>
      <c r="G612" s="6" t="n"/>
      <c r="H612" s="6" t="n"/>
      <c r="I612" s="8" t="n"/>
      <c r="J612" s="12">
        <f>IF($I612="","",IF($H612="U$D",$I612,IFERROR($I612/VLOOKUP($B612*100+$C612,CONFIG!$I$5:$J$60,2,FALSE),"sin cotiz")))</f>
        <v/>
      </c>
      <c r="K612" s="6" t="n"/>
      <c r="L612" s="6" t="n"/>
      <c r="M612" s="6" t="n"/>
    </row>
    <row r="613">
      <c r="A613" s="10" t="n"/>
      <c r="B613" s="11">
        <f>IF($A613="","",YEAR($A613))</f>
        <v/>
      </c>
      <c r="C613" s="11">
        <f>IF($A613="","",MONTH($A613))</f>
        <v/>
      </c>
      <c r="D613" s="6" t="n"/>
      <c r="E613" s="6" t="n"/>
      <c r="F613" s="6" t="n"/>
      <c r="G613" s="6" t="n"/>
      <c r="H613" s="6" t="n"/>
      <c r="I613" s="8" t="n"/>
      <c r="J613" s="12">
        <f>IF($I613="","",IF($H613="U$D",$I613,IFERROR($I613/VLOOKUP($B613*100+$C613,CONFIG!$I$5:$J$60,2,FALSE),"sin cotiz")))</f>
        <v/>
      </c>
      <c r="K613" s="6" t="n"/>
      <c r="L613" s="6" t="n"/>
      <c r="M613" s="6" t="n"/>
    </row>
    <row r="614">
      <c r="A614" s="10" t="n"/>
      <c r="B614" s="11">
        <f>IF($A614="","",YEAR($A614))</f>
        <v/>
      </c>
      <c r="C614" s="11">
        <f>IF($A614="","",MONTH($A614))</f>
        <v/>
      </c>
      <c r="D614" s="6" t="n"/>
      <c r="E614" s="6" t="n"/>
      <c r="F614" s="6" t="n"/>
      <c r="G614" s="6" t="n"/>
      <c r="H614" s="6" t="n"/>
      <c r="I614" s="8" t="n"/>
      <c r="J614" s="12">
        <f>IF($I614="","",IF($H614="U$D",$I614,IFERROR($I614/VLOOKUP($B614*100+$C614,CONFIG!$I$5:$J$60,2,FALSE),"sin cotiz")))</f>
        <v/>
      </c>
      <c r="K614" s="6" t="n"/>
      <c r="L614" s="6" t="n"/>
      <c r="M614" s="6" t="n"/>
    </row>
    <row r="615">
      <c r="A615" s="10" t="n"/>
      <c r="B615" s="11">
        <f>IF($A615="","",YEAR($A615))</f>
        <v/>
      </c>
      <c r="C615" s="11">
        <f>IF($A615="","",MONTH($A615))</f>
        <v/>
      </c>
      <c r="D615" s="6" t="n"/>
      <c r="E615" s="6" t="n"/>
      <c r="F615" s="6" t="n"/>
      <c r="G615" s="6" t="n"/>
      <c r="H615" s="6" t="n"/>
      <c r="I615" s="8" t="n"/>
      <c r="J615" s="12">
        <f>IF($I615="","",IF($H615="U$D",$I615,IFERROR($I615/VLOOKUP($B615*100+$C615,CONFIG!$I$5:$J$60,2,FALSE),"sin cotiz")))</f>
        <v/>
      </c>
      <c r="K615" s="6" t="n"/>
      <c r="L615" s="6" t="n"/>
      <c r="M615" s="6" t="n"/>
    </row>
    <row r="616">
      <c r="A616" s="10" t="n"/>
      <c r="B616" s="11">
        <f>IF($A616="","",YEAR($A616))</f>
        <v/>
      </c>
      <c r="C616" s="11">
        <f>IF($A616="","",MONTH($A616))</f>
        <v/>
      </c>
      <c r="D616" s="6" t="n"/>
      <c r="E616" s="6" t="n"/>
      <c r="F616" s="6" t="n"/>
      <c r="G616" s="6" t="n"/>
      <c r="H616" s="6" t="n"/>
      <c r="I616" s="8" t="n"/>
      <c r="J616" s="12">
        <f>IF($I616="","",IF($H616="U$D",$I616,IFERROR($I616/VLOOKUP($B616*100+$C616,CONFIG!$I$5:$J$60,2,FALSE),"sin cotiz")))</f>
        <v/>
      </c>
      <c r="K616" s="6" t="n"/>
      <c r="L616" s="6" t="n"/>
      <c r="M616" s="6" t="n"/>
    </row>
    <row r="617">
      <c r="A617" s="10" t="n"/>
      <c r="B617" s="11">
        <f>IF($A617="","",YEAR($A617))</f>
        <v/>
      </c>
      <c r="C617" s="11">
        <f>IF($A617="","",MONTH($A617))</f>
        <v/>
      </c>
      <c r="D617" s="6" t="n"/>
      <c r="E617" s="6" t="n"/>
      <c r="F617" s="6" t="n"/>
      <c r="G617" s="6" t="n"/>
      <c r="H617" s="6" t="n"/>
      <c r="I617" s="8" t="n"/>
      <c r="J617" s="12">
        <f>IF($I617="","",IF($H617="U$D",$I617,IFERROR($I617/VLOOKUP($B617*100+$C617,CONFIG!$I$5:$J$60,2,FALSE),"sin cotiz")))</f>
        <v/>
      </c>
      <c r="K617" s="6" t="n"/>
      <c r="L617" s="6" t="n"/>
      <c r="M617" s="6" t="n"/>
    </row>
    <row r="618">
      <c r="A618" s="10" t="n"/>
      <c r="B618" s="11">
        <f>IF($A618="","",YEAR($A618))</f>
        <v/>
      </c>
      <c r="C618" s="11">
        <f>IF($A618="","",MONTH($A618))</f>
        <v/>
      </c>
      <c r="D618" s="6" t="n"/>
      <c r="E618" s="6" t="n"/>
      <c r="F618" s="6" t="n"/>
      <c r="G618" s="6" t="n"/>
      <c r="H618" s="6" t="n"/>
      <c r="I618" s="8" t="n"/>
      <c r="J618" s="12">
        <f>IF($I618="","",IF($H618="U$D",$I618,IFERROR($I618/VLOOKUP($B618*100+$C618,CONFIG!$I$5:$J$60,2,FALSE),"sin cotiz")))</f>
        <v/>
      </c>
      <c r="K618" s="6" t="n"/>
      <c r="L618" s="6" t="n"/>
      <c r="M618" s="6" t="n"/>
    </row>
    <row r="619">
      <c r="A619" s="10" t="n"/>
      <c r="B619" s="11">
        <f>IF($A619="","",YEAR($A619))</f>
        <v/>
      </c>
      <c r="C619" s="11">
        <f>IF($A619="","",MONTH($A619))</f>
        <v/>
      </c>
      <c r="D619" s="6" t="n"/>
      <c r="E619" s="6" t="n"/>
      <c r="F619" s="6" t="n"/>
      <c r="G619" s="6" t="n"/>
      <c r="H619" s="6" t="n"/>
      <c r="I619" s="8" t="n"/>
      <c r="J619" s="12">
        <f>IF($I619="","",IF($H619="U$D",$I619,IFERROR($I619/VLOOKUP($B619*100+$C619,CONFIG!$I$5:$J$60,2,FALSE),"sin cotiz")))</f>
        <v/>
      </c>
      <c r="K619" s="6" t="n"/>
      <c r="L619" s="6" t="n"/>
      <c r="M619" s="6" t="n"/>
    </row>
    <row r="620">
      <c r="A620" s="10" t="n"/>
      <c r="B620" s="11">
        <f>IF($A620="","",YEAR($A620))</f>
        <v/>
      </c>
      <c r="C620" s="11">
        <f>IF($A620="","",MONTH($A620))</f>
        <v/>
      </c>
      <c r="D620" s="6" t="n"/>
      <c r="E620" s="6" t="n"/>
      <c r="F620" s="6" t="n"/>
      <c r="G620" s="6" t="n"/>
      <c r="H620" s="6" t="n"/>
      <c r="I620" s="8" t="n"/>
      <c r="J620" s="12">
        <f>IF($I620="","",IF($H620="U$D",$I620,IFERROR($I620/VLOOKUP($B620*100+$C620,CONFIG!$I$5:$J$60,2,FALSE),"sin cotiz")))</f>
        <v/>
      </c>
      <c r="K620" s="6" t="n"/>
      <c r="L620" s="6" t="n"/>
      <c r="M620" s="6" t="n"/>
    </row>
    <row r="621">
      <c r="A621" s="10" t="n"/>
      <c r="B621" s="11">
        <f>IF($A621="","",YEAR($A621))</f>
        <v/>
      </c>
      <c r="C621" s="11">
        <f>IF($A621="","",MONTH($A621))</f>
        <v/>
      </c>
      <c r="D621" s="6" t="n"/>
      <c r="E621" s="6" t="n"/>
      <c r="F621" s="6" t="n"/>
      <c r="G621" s="6" t="n"/>
      <c r="H621" s="6" t="n"/>
      <c r="I621" s="8" t="n"/>
      <c r="J621" s="12">
        <f>IF($I621="","",IF($H621="U$D",$I621,IFERROR($I621/VLOOKUP($B621*100+$C621,CONFIG!$I$5:$J$60,2,FALSE),"sin cotiz")))</f>
        <v/>
      </c>
      <c r="K621" s="6" t="n"/>
      <c r="L621" s="6" t="n"/>
      <c r="M621" s="6" t="n"/>
    </row>
    <row r="622">
      <c r="A622" s="10" t="n"/>
      <c r="B622" s="11">
        <f>IF($A622="","",YEAR($A622))</f>
        <v/>
      </c>
      <c r="C622" s="11">
        <f>IF($A622="","",MONTH($A622))</f>
        <v/>
      </c>
      <c r="D622" s="6" t="n"/>
      <c r="E622" s="6" t="n"/>
      <c r="F622" s="6" t="n"/>
      <c r="G622" s="6" t="n"/>
      <c r="H622" s="6" t="n"/>
      <c r="I622" s="8" t="n"/>
      <c r="J622" s="12">
        <f>IF($I622="","",IF($H622="U$D",$I622,IFERROR($I622/VLOOKUP($B622*100+$C622,CONFIG!$I$5:$J$60,2,FALSE),"sin cotiz")))</f>
        <v/>
      </c>
      <c r="K622" s="6" t="n"/>
      <c r="L622" s="6" t="n"/>
      <c r="M622" s="6" t="n"/>
    </row>
    <row r="623">
      <c r="A623" s="10" t="n"/>
      <c r="B623" s="11">
        <f>IF($A623="","",YEAR($A623))</f>
        <v/>
      </c>
      <c r="C623" s="11">
        <f>IF($A623="","",MONTH($A623))</f>
        <v/>
      </c>
      <c r="D623" s="6" t="n"/>
      <c r="E623" s="6" t="n"/>
      <c r="F623" s="6" t="n"/>
      <c r="G623" s="6" t="n"/>
      <c r="H623" s="6" t="n"/>
      <c r="I623" s="8" t="n"/>
      <c r="J623" s="12">
        <f>IF($I623="","",IF($H623="U$D",$I623,IFERROR($I623/VLOOKUP($B623*100+$C623,CONFIG!$I$5:$J$60,2,FALSE),"sin cotiz")))</f>
        <v/>
      </c>
      <c r="K623" s="6" t="n"/>
      <c r="L623" s="6" t="n"/>
      <c r="M623" s="6" t="n"/>
    </row>
    <row r="624">
      <c r="A624" s="10" t="n"/>
      <c r="B624" s="11">
        <f>IF($A624="","",YEAR($A624))</f>
        <v/>
      </c>
      <c r="C624" s="11">
        <f>IF($A624="","",MONTH($A624))</f>
        <v/>
      </c>
      <c r="D624" s="6" t="n"/>
      <c r="E624" s="6" t="n"/>
      <c r="F624" s="6" t="n"/>
      <c r="G624" s="6" t="n"/>
      <c r="H624" s="6" t="n"/>
      <c r="I624" s="8" t="n"/>
      <c r="J624" s="12">
        <f>IF($I624="","",IF($H624="U$D",$I624,IFERROR($I624/VLOOKUP($B624*100+$C624,CONFIG!$I$5:$J$60,2,FALSE),"sin cotiz")))</f>
        <v/>
      </c>
      <c r="K624" s="6" t="n"/>
      <c r="L624" s="6" t="n"/>
      <c r="M624" s="6" t="n"/>
    </row>
    <row r="625">
      <c r="A625" s="10" t="n"/>
      <c r="B625" s="11">
        <f>IF($A625="","",YEAR($A625))</f>
        <v/>
      </c>
      <c r="C625" s="11">
        <f>IF($A625="","",MONTH($A625))</f>
        <v/>
      </c>
      <c r="D625" s="6" t="n"/>
      <c r="E625" s="6" t="n"/>
      <c r="F625" s="6" t="n"/>
      <c r="G625" s="6" t="n"/>
      <c r="H625" s="6" t="n"/>
      <c r="I625" s="8" t="n"/>
      <c r="J625" s="12">
        <f>IF($I625="","",IF($H625="U$D",$I625,IFERROR($I625/VLOOKUP($B625*100+$C625,CONFIG!$I$5:$J$60,2,FALSE),"sin cotiz")))</f>
        <v/>
      </c>
      <c r="K625" s="6" t="n"/>
      <c r="L625" s="6" t="n"/>
      <c r="M625" s="6" t="n"/>
    </row>
    <row r="626">
      <c r="A626" s="10" t="n"/>
      <c r="B626" s="11">
        <f>IF($A626="","",YEAR($A626))</f>
        <v/>
      </c>
      <c r="C626" s="11">
        <f>IF($A626="","",MONTH($A626))</f>
        <v/>
      </c>
      <c r="D626" s="6" t="n"/>
      <c r="E626" s="6" t="n"/>
      <c r="F626" s="6" t="n"/>
      <c r="G626" s="6" t="n"/>
      <c r="H626" s="6" t="n"/>
      <c r="I626" s="8" t="n"/>
      <c r="J626" s="12">
        <f>IF($I626="","",IF($H626="U$D",$I626,IFERROR($I626/VLOOKUP($B626*100+$C626,CONFIG!$I$5:$J$60,2,FALSE),"sin cotiz")))</f>
        <v/>
      </c>
      <c r="K626" s="6" t="n"/>
      <c r="L626" s="6" t="n"/>
      <c r="M626" s="6" t="n"/>
    </row>
    <row r="627">
      <c r="A627" s="10" t="n"/>
      <c r="B627" s="11">
        <f>IF($A627="","",YEAR($A627))</f>
        <v/>
      </c>
      <c r="C627" s="11">
        <f>IF($A627="","",MONTH($A627))</f>
        <v/>
      </c>
      <c r="D627" s="6" t="n"/>
      <c r="E627" s="6" t="n"/>
      <c r="F627" s="6" t="n"/>
      <c r="G627" s="6" t="n"/>
      <c r="H627" s="6" t="n"/>
      <c r="I627" s="8" t="n"/>
      <c r="J627" s="12">
        <f>IF($I627="","",IF($H627="U$D",$I627,IFERROR($I627/VLOOKUP($B627*100+$C627,CONFIG!$I$5:$J$60,2,FALSE),"sin cotiz")))</f>
        <v/>
      </c>
      <c r="K627" s="6" t="n"/>
      <c r="L627" s="6" t="n"/>
      <c r="M627" s="6" t="n"/>
    </row>
    <row r="628">
      <c r="A628" s="10" t="n"/>
      <c r="B628" s="11">
        <f>IF($A628="","",YEAR($A628))</f>
        <v/>
      </c>
      <c r="C628" s="11">
        <f>IF($A628="","",MONTH($A628))</f>
        <v/>
      </c>
      <c r="D628" s="6" t="n"/>
      <c r="E628" s="6" t="n"/>
      <c r="F628" s="6" t="n"/>
      <c r="G628" s="6" t="n"/>
      <c r="H628" s="6" t="n"/>
      <c r="I628" s="8" t="n"/>
      <c r="J628" s="12">
        <f>IF($I628="","",IF($H628="U$D",$I628,IFERROR($I628/VLOOKUP($B628*100+$C628,CONFIG!$I$5:$J$60,2,FALSE),"sin cotiz")))</f>
        <v/>
      </c>
      <c r="K628" s="6" t="n"/>
      <c r="L628" s="6" t="n"/>
      <c r="M628" s="6" t="n"/>
    </row>
    <row r="629">
      <c r="A629" s="10" t="n"/>
      <c r="B629" s="11">
        <f>IF($A629="","",YEAR($A629))</f>
        <v/>
      </c>
      <c r="C629" s="11">
        <f>IF($A629="","",MONTH($A629))</f>
        <v/>
      </c>
      <c r="D629" s="6" t="n"/>
      <c r="E629" s="6" t="n"/>
      <c r="F629" s="6" t="n"/>
      <c r="G629" s="6" t="n"/>
      <c r="H629" s="6" t="n"/>
      <c r="I629" s="8" t="n"/>
      <c r="J629" s="12">
        <f>IF($I629="","",IF($H629="U$D",$I629,IFERROR($I629/VLOOKUP($B629*100+$C629,CONFIG!$I$5:$J$60,2,FALSE),"sin cotiz")))</f>
        <v/>
      </c>
      <c r="K629" s="6" t="n"/>
      <c r="L629" s="6" t="n"/>
      <c r="M629" s="6" t="n"/>
    </row>
    <row r="630">
      <c r="A630" s="10" t="n"/>
      <c r="B630" s="11">
        <f>IF($A630="","",YEAR($A630))</f>
        <v/>
      </c>
      <c r="C630" s="11">
        <f>IF($A630="","",MONTH($A630))</f>
        <v/>
      </c>
      <c r="D630" s="6" t="n"/>
      <c r="E630" s="6" t="n"/>
      <c r="F630" s="6" t="n"/>
      <c r="G630" s="6" t="n"/>
      <c r="H630" s="6" t="n"/>
      <c r="I630" s="8" t="n"/>
      <c r="J630" s="12">
        <f>IF($I630="","",IF($H630="U$D",$I630,IFERROR($I630/VLOOKUP($B630*100+$C630,CONFIG!$I$5:$J$60,2,FALSE),"sin cotiz")))</f>
        <v/>
      </c>
      <c r="K630" s="6" t="n"/>
      <c r="L630" s="6" t="n"/>
      <c r="M630" s="6" t="n"/>
    </row>
    <row r="631">
      <c r="A631" s="10" t="n"/>
      <c r="B631" s="11">
        <f>IF($A631="","",YEAR($A631))</f>
        <v/>
      </c>
      <c r="C631" s="11">
        <f>IF($A631="","",MONTH($A631))</f>
        <v/>
      </c>
      <c r="D631" s="6" t="n"/>
      <c r="E631" s="6" t="n"/>
      <c r="F631" s="6" t="n"/>
      <c r="G631" s="6" t="n"/>
      <c r="H631" s="6" t="n"/>
      <c r="I631" s="8" t="n"/>
      <c r="J631" s="12">
        <f>IF($I631="","",IF($H631="U$D",$I631,IFERROR($I631/VLOOKUP($B631*100+$C631,CONFIG!$I$5:$J$60,2,FALSE),"sin cotiz")))</f>
        <v/>
      </c>
      <c r="K631" s="6" t="n"/>
      <c r="L631" s="6" t="n"/>
      <c r="M631" s="6" t="n"/>
    </row>
    <row r="632">
      <c r="A632" s="10" t="n"/>
      <c r="B632" s="11">
        <f>IF($A632="","",YEAR($A632))</f>
        <v/>
      </c>
      <c r="C632" s="11">
        <f>IF($A632="","",MONTH($A632))</f>
        <v/>
      </c>
      <c r="D632" s="6" t="n"/>
      <c r="E632" s="6" t="n"/>
      <c r="F632" s="6" t="n"/>
      <c r="G632" s="6" t="n"/>
      <c r="H632" s="6" t="n"/>
      <c r="I632" s="8" t="n"/>
      <c r="J632" s="12">
        <f>IF($I632="","",IF($H632="U$D",$I632,IFERROR($I632/VLOOKUP($B632*100+$C632,CONFIG!$I$5:$J$60,2,FALSE),"sin cotiz")))</f>
        <v/>
      </c>
      <c r="K632" s="6" t="n"/>
      <c r="L632" s="6" t="n"/>
      <c r="M632" s="6" t="n"/>
    </row>
    <row r="633">
      <c r="A633" s="10" t="n"/>
      <c r="B633" s="11">
        <f>IF($A633="","",YEAR($A633))</f>
        <v/>
      </c>
      <c r="C633" s="11">
        <f>IF($A633="","",MONTH($A633))</f>
        <v/>
      </c>
      <c r="D633" s="6" t="n"/>
      <c r="E633" s="6" t="n"/>
      <c r="F633" s="6" t="n"/>
      <c r="G633" s="6" t="n"/>
      <c r="H633" s="6" t="n"/>
      <c r="I633" s="8" t="n"/>
      <c r="J633" s="12">
        <f>IF($I633="","",IF($H633="U$D",$I633,IFERROR($I633/VLOOKUP($B633*100+$C633,CONFIG!$I$5:$J$60,2,FALSE),"sin cotiz")))</f>
        <v/>
      </c>
      <c r="K633" s="6" t="n"/>
      <c r="L633" s="6" t="n"/>
      <c r="M633" s="6" t="n"/>
    </row>
    <row r="634">
      <c r="A634" s="10" t="n"/>
      <c r="B634" s="11">
        <f>IF($A634="","",YEAR($A634))</f>
        <v/>
      </c>
      <c r="C634" s="11">
        <f>IF($A634="","",MONTH($A634))</f>
        <v/>
      </c>
      <c r="D634" s="6" t="n"/>
      <c r="E634" s="6" t="n"/>
      <c r="F634" s="6" t="n"/>
      <c r="G634" s="6" t="n"/>
      <c r="H634" s="6" t="n"/>
      <c r="I634" s="8" t="n"/>
      <c r="J634" s="12">
        <f>IF($I634="","",IF($H634="U$D",$I634,IFERROR($I634/VLOOKUP($B634*100+$C634,CONFIG!$I$5:$J$60,2,FALSE),"sin cotiz")))</f>
        <v/>
      </c>
      <c r="K634" s="6" t="n"/>
      <c r="L634" s="6" t="n"/>
      <c r="M634" s="6" t="n"/>
    </row>
    <row r="635">
      <c r="A635" s="10" t="n"/>
      <c r="B635" s="11">
        <f>IF($A635="","",YEAR($A635))</f>
        <v/>
      </c>
      <c r="C635" s="11">
        <f>IF($A635="","",MONTH($A635))</f>
        <v/>
      </c>
      <c r="D635" s="6" t="n"/>
      <c r="E635" s="6" t="n"/>
      <c r="F635" s="6" t="n"/>
      <c r="G635" s="6" t="n"/>
      <c r="H635" s="6" t="n"/>
      <c r="I635" s="8" t="n"/>
      <c r="J635" s="12">
        <f>IF($I635="","",IF($H635="U$D",$I635,IFERROR($I635/VLOOKUP($B635*100+$C635,CONFIG!$I$5:$J$60,2,FALSE),"sin cotiz")))</f>
        <v/>
      </c>
      <c r="K635" s="6" t="n"/>
      <c r="L635" s="6" t="n"/>
      <c r="M635" s="6" t="n"/>
    </row>
    <row r="636">
      <c r="A636" s="10" t="n"/>
      <c r="B636" s="11">
        <f>IF($A636="","",YEAR($A636))</f>
        <v/>
      </c>
      <c r="C636" s="11">
        <f>IF($A636="","",MONTH($A636))</f>
        <v/>
      </c>
      <c r="D636" s="6" t="n"/>
      <c r="E636" s="6" t="n"/>
      <c r="F636" s="6" t="n"/>
      <c r="G636" s="6" t="n"/>
      <c r="H636" s="6" t="n"/>
      <c r="I636" s="8" t="n"/>
      <c r="J636" s="12">
        <f>IF($I636="","",IF($H636="U$D",$I636,IFERROR($I636/VLOOKUP($B636*100+$C636,CONFIG!$I$5:$J$60,2,FALSE),"sin cotiz")))</f>
        <v/>
      </c>
      <c r="K636" s="6" t="n"/>
      <c r="L636" s="6" t="n"/>
      <c r="M636" s="6" t="n"/>
    </row>
    <row r="637">
      <c r="A637" s="10" t="n"/>
      <c r="B637" s="11">
        <f>IF($A637="","",YEAR($A637))</f>
        <v/>
      </c>
      <c r="C637" s="11">
        <f>IF($A637="","",MONTH($A637))</f>
        <v/>
      </c>
      <c r="D637" s="6" t="n"/>
      <c r="E637" s="6" t="n"/>
      <c r="F637" s="6" t="n"/>
      <c r="G637" s="6" t="n"/>
      <c r="H637" s="6" t="n"/>
      <c r="I637" s="8" t="n"/>
      <c r="J637" s="12">
        <f>IF($I637="","",IF($H637="U$D",$I637,IFERROR($I637/VLOOKUP($B637*100+$C637,CONFIG!$I$5:$J$60,2,FALSE),"sin cotiz")))</f>
        <v/>
      </c>
      <c r="K637" s="6" t="n"/>
      <c r="L637" s="6" t="n"/>
      <c r="M637" s="6" t="n"/>
    </row>
    <row r="638">
      <c r="A638" s="10" t="n"/>
      <c r="B638" s="11">
        <f>IF($A638="","",YEAR($A638))</f>
        <v/>
      </c>
      <c r="C638" s="11">
        <f>IF($A638="","",MONTH($A638))</f>
        <v/>
      </c>
      <c r="D638" s="6" t="n"/>
      <c r="E638" s="6" t="n"/>
      <c r="F638" s="6" t="n"/>
      <c r="G638" s="6" t="n"/>
      <c r="H638" s="6" t="n"/>
      <c r="I638" s="8" t="n"/>
      <c r="J638" s="12">
        <f>IF($I638="","",IF($H638="U$D",$I638,IFERROR($I638/VLOOKUP($B638*100+$C638,CONFIG!$I$5:$J$60,2,FALSE),"sin cotiz")))</f>
        <v/>
      </c>
      <c r="K638" s="6" t="n"/>
      <c r="L638" s="6" t="n"/>
      <c r="M638" s="6" t="n"/>
    </row>
    <row r="639">
      <c r="A639" s="10" t="n"/>
      <c r="B639" s="11">
        <f>IF($A639="","",YEAR($A639))</f>
        <v/>
      </c>
      <c r="C639" s="11">
        <f>IF($A639="","",MONTH($A639))</f>
        <v/>
      </c>
      <c r="D639" s="6" t="n"/>
      <c r="E639" s="6" t="n"/>
      <c r="F639" s="6" t="n"/>
      <c r="G639" s="6" t="n"/>
      <c r="H639" s="6" t="n"/>
      <c r="I639" s="8" t="n"/>
      <c r="J639" s="12">
        <f>IF($I639="","",IF($H639="U$D",$I639,IFERROR($I639/VLOOKUP($B639*100+$C639,CONFIG!$I$5:$J$60,2,FALSE),"sin cotiz")))</f>
        <v/>
      </c>
      <c r="K639" s="6" t="n"/>
      <c r="L639" s="6" t="n"/>
      <c r="M639" s="6" t="n"/>
    </row>
    <row r="640">
      <c r="A640" s="10" t="n"/>
      <c r="B640" s="11">
        <f>IF($A640="","",YEAR($A640))</f>
        <v/>
      </c>
      <c r="C640" s="11">
        <f>IF($A640="","",MONTH($A640))</f>
        <v/>
      </c>
      <c r="D640" s="6" t="n"/>
      <c r="E640" s="6" t="n"/>
      <c r="F640" s="6" t="n"/>
      <c r="G640" s="6" t="n"/>
      <c r="H640" s="6" t="n"/>
      <c r="I640" s="8" t="n"/>
      <c r="J640" s="12">
        <f>IF($I640="","",IF($H640="U$D",$I640,IFERROR($I640/VLOOKUP($B640*100+$C640,CONFIG!$I$5:$J$60,2,FALSE),"sin cotiz")))</f>
        <v/>
      </c>
      <c r="K640" s="6" t="n"/>
      <c r="L640" s="6" t="n"/>
      <c r="M640" s="6" t="n"/>
    </row>
    <row r="641">
      <c r="A641" s="10" t="n"/>
      <c r="B641" s="11">
        <f>IF($A641="","",YEAR($A641))</f>
        <v/>
      </c>
      <c r="C641" s="11">
        <f>IF($A641="","",MONTH($A641))</f>
        <v/>
      </c>
      <c r="D641" s="6" t="n"/>
      <c r="E641" s="6" t="n"/>
      <c r="F641" s="6" t="n"/>
      <c r="G641" s="6" t="n"/>
      <c r="H641" s="6" t="n"/>
      <c r="I641" s="8" t="n"/>
      <c r="J641" s="12">
        <f>IF($I641="","",IF($H641="U$D",$I641,IFERROR($I641/VLOOKUP($B641*100+$C641,CONFIG!$I$5:$J$60,2,FALSE),"sin cotiz")))</f>
        <v/>
      </c>
      <c r="K641" s="6" t="n"/>
      <c r="L641" s="6" t="n"/>
      <c r="M641" s="6" t="n"/>
    </row>
    <row r="642">
      <c r="A642" s="10" t="n"/>
      <c r="B642" s="11">
        <f>IF($A642="","",YEAR($A642))</f>
        <v/>
      </c>
      <c r="C642" s="11">
        <f>IF($A642="","",MONTH($A642))</f>
        <v/>
      </c>
      <c r="D642" s="6" t="n"/>
      <c r="E642" s="6" t="n"/>
      <c r="F642" s="6" t="n"/>
      <c r="G642" s="6" t="n"/>
      <c r="H642" s="6" t="n"/>
      <c r="I642" s="8" t="n"/>
      <c r="J642" s="12">
        <f>IF($I642="","",IF($H642="U$D",$I642,IFERROR($I642/VLOOKUP($B642*100+$C642,CONFIG!$I$5:$J$60,2,FALSE),"sin cotiz")))</f>
        <v/>
      </c>
      <c r="K642" s="6" t="n"/>
      <c r="L642" s="6" t="n"/>
      <c r="M642" s="6" t="n"/>
    </row>
    <row r="643">
      <c r="A643" s="10" t="n"/>
      <c r="B643" s="11">
        <f>IF($A643="","",YEAR($A643))</f>
        <v/>
      </c>
      <c r="C643" s="11">
        <f>IF($A643="","",MONTH($A643))</f>
        <v/>
      </c>
      <c r="D643" s="6" t="n"/>
      <c r="E643" s="6" t="n"/>
      <c r="F643" s="6" t="n"/>
      <c r="G643" s="6" t="n"/>
      <c r="H643" s="6" t="n"/>
      <c r="I643" s="8" t="n"/>
      <c r="J643" s="12">
        <f>IF($I643="","",IF($H643="U$D",$I643,IFERROR($I643/VLOOKUP($B643*100+$C643,CONFIG!$I$5:$J$60,2,FALSE),"sin cotiz")))</f>
        <v/>
      </c>
      <c r="K643" s="6" t="n"/>
      <c r="L643" s="6" t="n"/>
      <c r="M643" s="6" t="n"/>
    </row>
    <row r="644">
      <c r="A644" s="10" t="n"/>
      <c r="B644" s="11">
        <f>IF($A644="","",YEAR($A644))</f>
        <v/>
      </c>
      <c r="C644" s="11">
        <f>IF($A644="","",MONTH($A644))</f>
        <v/>
      </c>
      <c r="D644" s="6" t="n"/>
      <c r="E644" s="6" t="n"/>
      <c r="F644" s="6" t="n"/>
      <c r="G644" s="6" t="n"/>
      <c r="H644" s="6" t="n"/>
      <c r="I644" s="8" t="n"/>
      <c r="J644" s="12">
        <f>IF($I644="","",IF($H644="U$D",$I644,IFERROR($I644/VLOOKUP($B644*100+$C644,CONFIG!$I$5:$J$60,2,FALSE),"sin cotiz")))</f>
        <v/>
      </c>
      <c r="K644" s="6" t="n"/>
      <c r="L644" s="6" t="n"/>
      <c r="M644" s="6" t="n"/>
    </row>
    <row r="645">
      <c r="A645" s="10" t="n"/>
      <c r="B645" s="11">
        <f>IF($A645="","",YEAR($A645))</f>
        <v/>
      </c>
      <c r="C645" s="11">
        <f>IF($A645="","",MONTH($A645))</f>
        <v/>
      </c>
      <c r="D645" s="6" t="n"/>
      <c r="E645" s="6" t="n"/>
      <c r="F645" s="6" t="n"/>
      <c r="G645" s="6" t="n"/>
      <c r="H645" s="6" t="n"/>
      <c r="I645" s="8" t="n"/>
      <c r="J645" s="12">
        <f>IF($I645="","",IF($H645="U$D",$I645,IFERROR($I645/VLOOKUP($B645*100+$C645,CONFIG!$I$5:$J$60,2,FALSE),"sin cotiz")))</f>
        <v/>
      </c>
      <c r="K645" s="6" t="n"/>
      <c r="L645" s="6" t="n"/>
      <c r="M645" s="6" t="n"/>
    </row>
    <row r="646">
      <c r="A646" s="10" t="n"/>
      <c r="B646" s="11">
        <f>IF($A646="","",YEAR($A646))</f>
        <v/>
      </c>
      <c r="C646" s="11">
        <f>IF($A646="","",MONTH($A646))</f>
        <v/>
      </c>
      <c r="D646" s="6" t="n"/>
      <c r="E646" s="6" t="n"/>
      <c r="F646" s="6" t="n"/>
      <c r="G646" s="6" t="n"/>
      <c r="H646" s="6" t="n"/>
      <c r="I646" s="8" t="n"/>
      <c r="J646" s="12">
        <f>IF($I646="","",IF($H646="U$D",$I646,IFERROR($I646/VLOOKUP($B646*100+$C646,CONFIG!$I$5:$J$60,2,FALSE),"sin cotiz")))</f>
        <v/>
      </c>
      <c r="K646" s="6" t="n"/>
      <c r="L646" s="6" t="n"/>
      <c r="M646" s="6" t="n"/>
    </row>
    <row r="647">
      <c r="A647" s="10" t="n"/>
      <c r="B647" s="11">
        <f>IF($A647="","",YEAR($A647))</f>
        <v/>
      </c>
      <c r="C647" s="11">
        <f>IF($A647="","",MONTH($A647))</f>
        <v/>
      </c>
      <c r="D647" s="6" t="n"/>
      <c r="E647" s="6" t="n"/>
      <c r="F647" s="6" t="n"/>
      <c r="G647" s="6" t="n"/>
      <c r="H647" s="6" t="n"/>
      <c r="I647" s="8" t="n"/>
      <c r="J647" s="12">
        <f>IF($I647="","",IF($H647="U$D",$I647,IFERROR($I647/VLOOKUP($B647*100+$C647,CONFIG!$I$5:$J$60,2,FALSE),"sin cotiz")))</f>
        <v/>
      </c>
      <c r="K647" s="6" t="n"/>
      <c r="L647" s="6" t="n"/>
      <c r="M647" s="6" t="n"/>
    </row>
    <row r="648">
      <c r="A648" s="10" t="n"/>
      <c r="B648" s="11">
        <f>IF($A648="","",YEAR($A648))</f>
        <v/>
      </c>
      <c r="C648" s="11">
        <f>IF($A648="","",MONTH($A648))</f>
        <v/>
      </c>
      <c r="D648" s="6" t="n"/>
      <c r="E648" s="6" t="n"/>
      <c r="F648" s="6" t="n"/>
      <c r="G648" s="6" t="n"/>
      <c r="H648" s="6" t="n"/>
      <c r="I648" s="8" t="n"/>
      <c r="J648" s="12">
        <f>IF($I648="","",IF($H648="U$D",$I648,IFERROR($I648/VLOOKUP($B648*100+$C648,CONFIG!$I$5:$J$60,2,FALSE),"sin cotiz")))</f>
        <v/>
      </c>
      <c r="K648" s="6" t="n"/>
      <c r="L648" s="6" t="n"/>
      <c r="M648" s="6" t="n"/>
    </row>
    <row r="649">
      <c r="A649" s="10" t="n"/>
      <c r="B649" s="11">
        <f>IF($A649="","",YEAR($A649))</f>
        <v/>
      </c>
      <c r="C649" s="11">
        <f>IF($A649="","",MONTH($A649))</f>
        <v/>
      </c>
      <c r="D649" s="6" t="n"/>
      <c r="E649" s="6" t="n"/>
      <c r="F649" s="6" t="n"/>
      <c r="G649" s="6" t="n"/>
      <c r="H649" s="6" t="n"/>
      <c r="I649" s="8" t="n"/>
      <c r="J649" s="12">
        <f>IF($I649="","",IF($H649="U$D",$I649,IFERROR($I649/VLOOKUP($B649*100+$C649,CONFIG!$I$5:$J$60,2,FALSE),"sin cotiz")))</f>
        <v/>
      </c>
      <c r="K649" s="6" t="n"/>
      <c r="L649" s="6" t="n"/>
      <c r="M649" s="6" t="n"/>
    </row>
    <row r="650">
      <c r="A650" s="10" t="n"/>
      <c r="B650" s="11">
        <f>IF($A650="","",YEAR($A650))</f>
        <v/>
      </c>
      <c r="C650" s="11">
        <f>IF($A650="","",MONTH($A650))</f>
        <v/>
      </c>
      <c r="D650" s="6" t="n"/>
      <c r="E650" s="6" t="n"/>
      <c r="F650" s="6" t="n"/>
      <c r="G650" s="6" t="n"/>
      <c r="H650" s="6" t="n"/>
      <c r="I650" s="8" t="n"/>
      <c r="J650" s="12">
        <f>IF($I650="","",IF($H650="U$D",$I650,IFERROR($I650/VLOOKUP($B650*100+$C650,CONFIG!$I$5:$J$60,2,FALSE),"sin cotiz")))</f>
        <v/>
      </c>
      <c r="K650" s="6" t="n"/>
      <c r="L650" s="6" t="n"/>
      <c r="M650" s="6" t="n"/>
    </row>
    <row r="651">
      <c r="A651" s="10" t="n"/>
      <c r="B651" s="11">
        <f>IF($A651="","",YEAR($A651))</f>
        <v/>
      </c>
      <c r="C651" s="11">
        <f>IF($A651="","",MONTH($A651))</f>
        <v/>
      </c>
      <c r="D651" s="6" t="n"/>
      <c r="E651" s="6" t="n"/>
      <c r="F651" s="6" t="n"/>
      <c r="G651" s="6" t="n"/>
      <c r="H651" s="6" t="n"/>
      <c r="I651" s="8" t="n"/>
      <c r="J651" s="12">
        <f>IF($I651="","",IF($H651="U$D",$I651,IFERROR($I651/VLOOKUP($B651*100+$C651,CONFIG!$I$5:$J$60,2,FALSE),"sin cotiz")))</f>
        <v/>
      </c>
      <c r="K651" s="6" t="n"/>
      <c r="L651" s="6" t="n"/>
      <c r="M651" s="6" t="n"/>
    </row>
    <row r="652">
      <c r="A652" s="10" t="n"/>
      <c r="B652" s="11">
        <f>IF($A652="","",YEAR($A652))</f>
        <v/>
      </c>
      <c r="C652" s="11">
        <f>IF($A652="","",MONTH($A652))</f>
        <v/>
      </c>
      <c r="D652" s="6" t="n"/>
      <c r="E652" s="6" t="n"/>
      <c r="F652" s="6" t="n"/>
      <c r="G652" s="6" t="n"/>
      <c r="H652" s="6" t="n"/>
      <c r="I652" s="8" t="n"/>
      <c r="J652" s="12">
        <f>IF($I652="","",IF($H652="U$D",$I652,IFERROR($I652/VLOOKUP($B652*100+$C652,CONFIG!$I$5:$J$60,2,FALSE),"sin cotiz")))</f>
        <v/>
      </c>
      <c r="K652" s="6" t="n"/>
      <c r="L652" s="6" t="n"/>
      <c r="M652" s="6" t="n"/>
    </row>
    <row r="653">
      <c r="A653" s="10" t="n"/>
      <c r="B653" s="11">
        <f>IF($A653="","",YEAR($A653))</f>
        <v/>
      </c>
      <c r="C653" s="11">
        <f>IF($A653="","",MONTH($A653))</f>
        <v/>
      </c>
      <c r="D653" s="6" t="n"/>
      <c r="E653" s="6" t="n"/>
      <c r="F653" s="6" t="n"/>
      <c r="G653" s="6" t="n"/>
      <c r="H653" s="6" t="n"/>
      <c r="I653" s="8" t="n"/>
      <c r="J653" s="12">
        <f>IF($I653="","",IF($H653="U$D",$I653,IFERROR($I653/VLOOKUP($B653*100+$C653,CONFIG!$I$5:$J$60,2,FALSE),"sin cotiz")))</f>
        <v/>
      </c>
      <c r="K653" s="6" t="n"/>
      <c r="L653" s="6" t="n"/>
      <c r="M653" s="6" t="n"/>
    </row>
    <row r="654">
      <c r="A654" s="10" t="n"/>
      <c r="B654" s="11">
        <f>IF($A654="","",YEAR($A654))</f>
        <v/>
      </c>
      <c r="C654" s="11">
        <f>IF($A654="","",MONTH($A654))</f>
        <v/>
      </c>
      <c r="D654" s="6" t="n"/>
      <c r="E654" s="6" t="n"/>
      <c r="F654" s="6" t="n"/>
      <c r="G654" s="6" t="n"/>
      <c r="H654" s="6" t="n"/>
      <c r="I654" s="8" t="n"/>
      <c r="J654" s="12">
        <f>IF($I654="","",IF($H654="U$D",$I654,IFERROR($I654/VLOOKUP($B654*100+$C654,CONFIG!$I$5:$J$60,2,FALSE),"sin cotiz")))</f>
        <v/>
      </c>
      <c r="K654" s="6" t="n"/>
      <c r="L654" s="6" t="n"/>
      <c r="M654" s="6" t="n"/>
    </row>
    <row r="655">
      <c r="A655" s="10" t="n"/>
      <c r="B655" s="11">
        <f>IF($A655="","",YEAR($A655))</f>
        <v/>
      </c>
      <c r="C655" s="11">
        <f>IF($A655="","",MONTH($A655))</f>
        <v/>
      </c>
      <c r="D655" s="6" t="n"/>
      <c r="E655" s="6" t="n"/>
      <c r="F655" s="6" t="n"/>
      <c r="G655" s="6" t="n"/>
      <c r="H655" s="6" t="n"/>
      <c r="I655" s="8" t="n"/>
      <c r="J655" s="12">
        <f>IF($I655="","",IF($H655="U$D",$I655,IFERROR($I655/VLOOKUP($B655*100+$C655,CONFIG!$I$5:$J$60,2,FALSE),"sin cotiz")))</f>
        <v/>
      </c>
      <c r="K655" s="6" t="n"/>
      <c r="L655" s="6" t="n"/>
      <c r="M655" s="6" t="n"/>
    </row>
    <row r="656">
      <c r="A656" s="10" t="n"/>
      <c r="B656" s="11">
        <f>IF($A656="","",YEAR($A656))</f>
        <v/>
      </c>
      <c r="C656" s="11">
        <f>IF($A656="","",MONTH($A656))</f>
        <v/>
      </c>
      <c r="D656" s="6" t="n"/>
      <c r="E656" s="6" t="n"/>
      <c r="F656" s="6" t="n"/>
      <c r="G656" s="6" t="n"/>
      <c r="H656" s="6" t="n"/>
      <c r="I656" s="8" t="n"/>
      <c r="J656" s="12">
        <f>IF($I656="","",IF($H656="U$D",$I656,IFERROR($I656/VLOOKUP($B656*100+$C656,CONFIG!$I$5:$J$60,2,FALSE),"sin cotiz")))</f>
        <v/>
      </c>
      <c r="K656" s="6" t="n"/>
      <c r="L656" s="6" t="n"/>
      <c r="M656" s="6" t="n"/>
    </row>
    <row r="657">
      <c r="A657" s="10" t="n"/>
      <c r="B657" s="11">
        <f>IF($A657="","",YEAR($A657))</f>
        <v/>
      </c>
      <c r="C657" s="11">
        <f>IF($A657="","",MONTH($A657))</f>
        <v/>
      </c>
      <c r="D657" s="6" t="n"/>
      <c r="E657" s="6" t="n"/>
      <c r="F657" s="6" t="n"/>
      <c r="G657" s="6" t="n"/>
      <c r="H657" s="6" t="n"/>
      <c r="I657" s="8" t="n"/>
      <c r="J657" s="12">
        <f>IF($I657="","",IF($H657="U$D",$I657,IFERROR($I657/VLOOKUP($B657*100+$C657,CONFIG!$I$5:$J$60,2,FALSE),"sin cotiz")))</f>
        <v/>
      </c>
      <c r="K657" s="6" t="n"/>
      <c r="L657" s="6" t="n"/>
      <c r="M657" s="6" t="n"/>
    </row>
    <row r="658">
      <c r="A658" s="10" t="n"/>
      <c r="B658" s="11">
        <f>IF($A658="","",YEAR($A658))</f>
        <v/>
      </c>
      <c r="C658" s="11">
        <f>IF($A658="","",MONTH($A658))</f>
        <v/>
      </c>
      <c r="D658" s="6" t="n"/>
      <c r="E658" s="6" t="n"/>
      <c r="F658" s="6" t="n"/>
      <c r="G658" s="6" t="n"/>
      <c r="H658" s="6" t="n"/>
      <c r="I658" s="8" t="n"/>
      <c r="J658" s="12">
        <f>IF($I658="","",IF($H658="U$D",$I658,IFERROR($I658/VLOOKUP($B658*100+$C658,CONFIG!$I$5:$J$60,2,FALSE),"sin cotiz")))</f>
        <v/>
      </c>
      <c r="K658" s="6" t="n"/>
      <c r="L658" s="6" t="n"/>
      <c r="M658" s="6" t="n"/>
    </row>
    <row r="659">
      <c r="A659" s="10" t="n"/>
      <c r="B659" s="11">
        <f>IF($A659="","",YEAR($A659))</f>
        <v/>
      </c>
      <c r="C659" s="11">
        <f>IF($A659="","",MONTH($A659))</f>
        <v/>
      </c>
      <c r="D659" s="6" t="n"/>
      <c r="E659" s="6" t="n"/>
      <c r="F659" s="6" t="n"/>
      <c r="G659" s="6" t="n"/>
      <c r="H659" s="6" t="n"/>
      <c r="I659" s="8" t="n"/>
      <c r="J659" s="12">
        <f>IF($I659="","",IF($H659="U$D",$I659,IFERROR($I659/VLOOKUP($B659*100+$C659,CONFIG!$I$5:$J$60,2,FALSE),"sin cotiz")))</f>
        <v/>
      </c>
      <c r="K659" s="6" t="n"/>
      <c r="L659" s="6" t="n"/>
      <c r="M659" s="6" t="n"/>
    </row>
    <row r="660">
      <c r="A660" s="10" t="n"/>
      <c r="B660" s="11">
        <f>IF($A660="","",YEAR($A660))</f>
        <v/>
      </c>
      <c r="C660" s="11">
        <f>IF($A660="","",MONTH($A660))</f>
        <v/>
      </c>
      <c r="D660" s="6" t="n"/>
      <c r="E660" s="6" t="n"/>
      <c r="F660" s="6" t="n"/>
      <c r="G660" s="6" t="n"/>
      <c r="H660" s="6" t="n"/>
      <c r="I660" s="8" t="n"/>
      <c r="J660" s="12">
        <f>IF($I660="","",IF($H660="U$D",$I660,IFERROR($I660/VLOOKUP($B660*100+$C660,CONFIG!$I$5:$J$60,2,FALSE),"sin cotiz")))</f>
        <v/>
      </c>
      <c r="K660" s="6" t="n"/>
      <c r="L660" s="6" t="n"/>
      <c r="M660" s="6" t="n"/>
    </row>
    <row r="661">
      <c r="A661" s="10" t="n"/>
      <c r="B661" s="11">
        <f>IF($A661="","",YEAR($A661))</f>
        <v/>
      </c>
      <c r="C661" s="11">
        <f>IF($A661="","",MONTH($A661))</f>
        <v/>
      </c>
      <c r="D661" s="6" t="n"/>
      <c r="E661" s="6" t="n"/>
      <c r="F661" s="6" t="n"/>
      <c r="G661" s="6" t="n"/>
      <c r="H661" s="6" t="n"/>
      <c r="I661" s="8" t="n"/>
      <c r="J661" s="12">
        <f>IF($I661="","",IF($H661="U$D",$I661,IFERROR($I661/VLOOKUP($B661*100+$C661,CONFIG!$I$5:$J$60,2,FALSE),"sin cotiz")))</f>
        <v/>
      </c>
      <c r="K661" s="6" t="n"/>
      <c r="L661" s="6" t="n"/>
      <c r="M661" s="6" t="n"/>
    </row>
    <row r="662">
      <c r="A662" s="10" t="n"/>
      <c r="B662" s="11">
        <f>IF($A662="","",YEAR($A662))</f>
        <v/>
      </c>
      <c r="C662" s="11">
        <f>IF($A662="","",MONTH($A662))</f>
        <v/>
      </c>
      <c r="D662" s="6" t="n"/>
      <c r="E662" s="6" t="n"/>
      <c r="F662" s="6" t="n"/>
      <c r="G662" s="6" t="n"/>
      <c r="H662" s="6" t="n"/>
      <c r="I662" s="8" t="n"/>
      <c r="J662" s="12">
        <f>IF($I662="","",IF($H662="U$D",$I662,IFERROR($I662/VLOOKUP($B662*100+$C662,CONFIG!$I$5:$J$60,2,FALSE),"sin cotiz")))</f>
        <v/>
      </c>
      <c r="K662" s="6" t="n"/>
      <c r="L662" s="6" t="n"/>
      <c r="M662" s="6" t="n"/>
    </row>
    <row r="663">
      <c r="A663" s="10" t="n"/>
      <c r="B663" s="11">
        <f>IF($A663="","",YEAR($A663))</f>
        <v/>
      </c>
      <c r="C663" s="11">
        <f>IF($A663="","",MONTH($A663))</f>
        <v/>
      </c>
      <c r="D663" s="6" t="n"/>
      <c r="E663" s="6" t="n"/>
      <c r="F663" s="6" t="n"/>
      <c r="G663" s="6" t="n"/>
      <c r="H663" s="6" t="n"/>
      <c r="I663" s="8" t="n"/>
      <c r="J663" s="12">
        <f>IF($I663="","",IF($H663="U$D",$I663,IFERROR($I663/VLOOKUP($B663*100+$C663,CONFIG!$I$5:$J$60,2,FALSE),"sin cotiz")))</f>
        <v/>
      </c>
      <c r="K663" s="6" t="n"/>
      <c r="L663" s="6" t="n"/>
      <c r="M663" s="6" t="n"/>
    </row>
    <row r="664">
      <c r="A664" s="10" t="n"/>
      <c r="B664" s="11">
        <f>IF($A664="","",YEAR($A664))</f>
        <v/>
      </c>
      <c r="C664" s="11">
        <f>IF($A664="","",MONTH($A664))</f>
        <v/>
      </c>
      <c r="D664" s="6" t="n"/>
      <c r="E664" s="6" t="n"/>
      <c r="F664" s="6" t="n"/>
      <c r="G664" s="6" t="n"/>
      <c r="H664" s="6" t="n"/>
      <c r="I664" s="8" t="n"/>
      <c r="J664" s="12">
        <f>IF($I664="","",IF($H664="U$D",$I664,IFERROR($I664/VLOOKUP($B664*100+$C664,CONFIG!$I$5:$J$60,2,FALSE),"sin cotiz")))</f>
        <v/>
      </c>
      <c r="K664" s="6" t="n"/>
      <c r="L664" s="6" t="n"/>
      <c r="M664" s="6" t="n"/>
    </row>
    <row r="665">
      <c r="A665" s="10" t="n"/>
      <c r="B665" s="11">
        <f>IF($A665="","",YEAR($A665))</f>
        <v/>
      </c>
      <c r="C665" s="11">
        <f>IF($A665="","",MONTH($A665))</f>
        <v/>
      </c>
      <c r="D665" s="6" t="n"/>
      <c r="E665" s="6" t="n"/>
      <c r="F665" s="6" t="n"/>
      <c r="G665" s="6" t="n"/>
      <c r="H665" s="6" t="n"/>
      <c r="I665" s="8" t="n"/>
      <c r="J665" s="12">
        <f>IF($I665="","",IF($H665="U$D",$I665,IFERROR($I665/VLOOKUP($B665*100+$C665,CONFIG!$I$5:$J$60,2,FALSE),"sin cotiz")))</f>
        <v/>
      </c>
      <c r="K665" s="6" t="n"/>
      <c r="L665" s="6" t="n"/>
      <c r="M665" s="6" t="n"/>
    </row>
    <row r="666">
      <c r="A666" s="10" t="n"/>
      <c r="B666" s="11">
        <f>IF($A666="","",YEAR($A666))</f>
        <v/>
      </c>
      <c r="C666" s="11">
        <f>IF($A666="","",MONTH($A666))</f>
        <v/>
      </c>
      <c r="D666" s="6" t="n"/>
      <c r="E666" s="6" t="n"/>
      <c r="F666" s="6" t="n"/>
      <c r="G666" s="6" t="n"/>
      <c r="H666" s="6" t="n"/>
      <c r="I666" s="8" t="n"/>
      <c r="J666" s="12">
        <f>IF($I666="","",IF($H666="U$D",$I666,IFERROR($I666/VLOOKUP($B666*100+$C666,CONFIG!$I$5:$J$60,2,FALSE),"sin cotiz")))</f>
        <v/>
      </c>
      <c r="K666" s="6" t="n"/>
      <c r="L666" s="6" t="n"/>
      <c r="M666" s="6" t="n"/>
    </row>
    <row r="667">
      <c r="A667" s="10" t="n"/>
      <c r="B667" s="11">
        <f>IF($A667="","",YEAR($A667))</f>
        <v/>
      </c>
      <c r="C667" s="11">
        <f>IF($A667="","",MONTH($A667))</f>
        <v/>
      </c>
      <c r="D667" s="6" t="n"/>
      <c r="E667" s="6" t="n"/>
      <c r="F667" s="6" t="n"/>
      <c r="G667" s="6" t="n"/>
      <c r="H667" s="6" t="n"/>
      <c r="I667" s="8" t="n"/>
      <c r="J667" s="12">
        <f>IF($I667="","",IF($H667="U$D",$I667,IFERROR($I667/VLOOKUP($B667*100+$C667,CONFIG!$I$5:$J$60,2,FALSE),"sin cotiz")))</f>
        <v/>
      </c>
      <c r="K667" s="6" t="n"/>
      <c r="L667" s="6" t="n"/>
      <c r="M667" s="6" t="n"/>
    </row>
    <row r="668">
      <c r="A668" s="10" t="n"/>
      <c r="B668" s="11">
        <f>IF($A668="","",YEAR($A668))</f>
        <v/>
      </c>
      <c r="C668" s="11">
        <f>IF($A668="","",MONTH($A668))</f>
        <v/>
      </c>
      <c r="D668" s="6" t="n"/>
      <c r="E668" s="6" t="n"/>
      <c r="F668" s="6" t="n"/>
      <c r="G668" s="6" t="n"/>
      <c r="H668" s="6" t="n"/>
      <c r="I668" s="8" t="n"/>
      <c r="J668" s="12">
        <f>IF($I668="","",IF($H668="U$D",$I668,IFERROR($I668/VLOOKUP($B668*100+$C668,CONFIG!$I$5:$J$60,2,FALSE),"sin cotiz")))</f>
        <v/>
      </c>
      <c r="K668" s="6" t="n"/>
      <c r="L668" s="6" t="n"/>
      <c r="M668" s="6" t="n"/>
    </row>
    <row r="669">
      <c r="A669" s="10" t="n"/>
      <c r="B669" s="11">
        <f>IF($A669="","",YEAR($A669))</f>
        <v/>
      </c>
      <c r="C669" s="11">
        <f>IF($A669="","",MONTH($A669))</f>
        <v/>
      </c>
      <c r="D669" s="6" t="n"/>
      <c r="E669" s="6" t="n"/>
      <c r="F669" s="6" t="n"/>
      <c r="G669" s="6" t="n"/>
      <c r="H669" s="6" t="n"/>
      <c r="I669" s="8" t="n"/>
      <c r="J669" s="12">
        <f>IF($I669="","",IF($H669="U$D",$I669,IFERROR($I669/VLOOKUP($B669*100+$C669,CONFIG!$I$5:$J$60,2,FALSE),"sin cotiz")))</f>
        <v/>
      </c>
      <c r="K669" s="6" t="n"/>
      <c r="L669" s="6" t="n"/>
      <c r="M669" s="6" t="n"/>
    </row>
    <row r="670">
      <c r="A670" s="10" t="n"/>
      <c r="B670" s="11">
        <f>IF($A670="","",YEAR($A670))</f>
        <v/>
      </c>
      <c r="C670" s="11">
        <f>IF($A670="","",MONTH($A670))</f>
        <v/>
      </c>
      <c r="D670" s="6" t="n"/>
      <c r="E670" s="6" t="n"/>
      <c r="F670" s="6" t="n"/>
      <c r="G670" s="6" t="n"/>
      <c r="H670" s="6" t="n"/>
      <c r="I670" s="8" t="n"/>
      <c r="J670" s="12">
        <f>IF($I670="","",IF($H670="U$D",$I670,IFERROR($I670/VLOOKUP($B670*100+$C670,CONFIG!$I$5:$J$60,2,FALSE),"sin cotiz")))</f>
        <v/>
      </c>
      <c r="K670" s="6" t="n"/>
      <c r="L670" s="6" t="n"/>
      <c r="M670" s="6" t="n"/>
    </row>
    <row r="671">
      <c r="A671" s="10" t="n"/>
      <c r="B671" s="11">
        <f>IF($A671="","",YEAR($A671))</f>
        <v/>
      </c>
      <c r="C671" s="11">
        <f>IF($A671="","",MONTH($A671))</f>
        <v/>
      </c>
      <c r="D671" s="6" t="n"/>
      <c r="E671" s="6" t="n"/>
      <c r="F671" s="6" t="n"/>
      <c r="G671" s="6" t="n"/>
      <c r="H671" s="6" t="n"/>
      <c r="I671" s="8" t="n"/>
      <c r="J671" s="12">
        <f>IF($I671="","",IF($H671="U$D",$I671,IFERROR($I671/VLOOKUP($B671*100+$C671,CONFIG!$I$5:$J$60,2,FALSE),"sin cotiz")))</f>
        <v/>
      </c>
      <c r="K671" s="6" t="n"/>
      <c r="L671" s="6" t="n"/>
      <c r="M671" s="6" t="n"/>
    </row>
    <row r="672">
      <c r="A672" s="10" t="n"/>
      <c r="B672" s="11">
        <f>IF($A672="","",YEAR($A672))</f>
        <v/>
      </c>
      <c r="C672" s="11">
        <f>IF($A672="","",MONTH($A672))</f>
        <v/>
      </c>
      <c r="D672" s="6" t="n"/>
      <c r="E672" s="6" t="n"/>
      <c r="F672" s="6" t="n"/>
      <c r="G672" s="6" t="n"/>
      <c r="H672" s="6" t="n"/>
      <c r="I672" s="8" t="n"/>
      <c r="J672" s="12">
        <f>IF($I672="","",IF($H672="U$D",$I672,IFERROR($I672/VLOOKUP($B672*100+$C672,CONFIG!$I$5:$J$60,2,FALSE),"sin cotiz")))</f>
        <v/>
      </c>
      <c r="K672" s="6" t="n"/>
      <c r="L672" s="6" t="n"/>
      <c r="M672" s="6" t="n"/>
    </row>
    <row r="673">
      <c r="A673" s="10" t="n"/>
      <c r="B673" s="11">
        <f>IF($A673="","",YEAR($A673))</f>
        <v/>
      </c>
      <c r="C673" s="11">
        <f>IF($A673="","",MONTH($A673))</f>
        <v/>
      </c>
      <c r="D673" s="6" t="n"/>
      <c r="E673" s="6" t="n"/>
      <c r="F673" s="6" t="n"/>
      <c r="G673" s="6" t="n"/>
      <c r="H673" s="6" t="n"/>
      <c r="I673" s="8" t="n"/>
      <c r="J673" s="12">
        <f>IF($I673="","",IF($H673="U$D",$I673,IFERROR($I673/VLOOKUP($B673*100+$C673,CONFIG!$I$5:$J$60,2,FALSE),"sin cotiz")))</f>
        <v/>
      </c>
      <c r="K673" s="6" t="n"/>
      <c r="L673" s="6" t="n"/>
      <c r="M673" s="6" t="n"/>
    </row>
    <row r="674">
      <c r="A674" s="10" t="n"/>
      <c r="B674" s="11">
        <f>IF($A674="","",YEAR($A674))</f>
        <v/>
      </c>
      <c r="C674" s="11">
        <f>IF($A674="","",MONTH($A674))</f>
        <v/>
      </c>
      <c r="D674" s="6" t="n"/>
      <c r="E674" s="6" t="n"/>
      <c r="F674" s="6" t="n"/>
      <c r="G674" s="6" t="n"/>
      <c r="H674" s="6" t="n"/>
      <c r="I674" s="8" t="n"/>
      <c r="J674" s="12">
        <f>IF($I674="","",IF($H674="U$D",$I674,IFERROR($I674/VLOOKUP($B674*100+$C674,CONFIG!$I$5:$J$60,2,FALSE),"sin cotiz")))</f>
        <v/>
      </c>
      <c r="K674" s="6" t="n"/>
      <c r="L674" s="6" t="n"/>
      <c r="M674" s="6" t="n"/>
    </row>
    <row r="675">
      <c r="A675" s="10" t="n"/>
      <c r="B675" s="11">
        <f>IF($A675="","",YEAR($A675))</f>
        <v/>
      </c>
      <c r="C675" s="11">
        <f>IF($A675="","",MONTH($A675))</f>
        <v/>
      </c>
      <c r="D675" s="6" t="n"/>
      <c r="E675" s="6" t="n"/>
      <c r="F675" s="6" t="n"/>
      <c r="G675" s="6" t="n"/>
      <c r="H675" s="6" t="n"/>
      <c r="I675" s="8" t="n"/>
      <c r="J675" s="12">
        <f>IF($I675="","",IF($H675="U$D",$I675,IFERROR($I675/VLOOKUP($B675*100+$C675,CONFIG!$I$5:$J$60,2,FALSE),"sin cotiz")))</f>
        <v/>
      </c>
      <c r="K675" s="6" t="n"/>
      <c r="L675" s="6" t="n"/>
      <c r="M675" s="6" t="n"/>
    </row>
    <row r="676">
      <c r="A676" s="10" t="n"/>
      <c r="B676" s="11">
        <f>IF($A676="","",YEAR($A676))</f>
        <v/>
      </c>
      <c r="C676" s="11">
        <f>IF($A676="","",MONTH($A676))</f>
        <v/>
      </c>
      <c r="D676" s="6" t="n"/>
      <c r="E676" s="6" t="n"/>
      <c r="F676" s="6" t="n"/>
      <c r="G676" s="6" t="n"/>
      <c r="H676" s="6" t="n"/>
      <c r="I676" s="8" t="n"/>
      <c r="J676" s="12">
        <f>IF($I676="","",IF($H676="U$D",$I676,IFERROR($I676/VLOOKUP($B676*100+$C676,CONFIG!$I$5:$J$60,2,FALSE),"sin cotiz")))</f>
        <v/>
      </c>
      <c r="K676" s="6" t="n"/>
      <c r="L676" s="6" t="n"/>
      <c r="M676" s="6" t="n"/>
    </row>
    <row r="677">
      <c r="A677" s="10" t="n"/>
      <c r="B677" s="11">
        <f>IF($A677="","",YEAR($A677))</f>
        <v/>
      </c>
      <c r="C677" s="11">
        <f>IF($A677="","",MONTH($A677))</f>
        <v/>
      </c>
      <c r="D677" s="6" t="n"/>
      <c r="E677" s="6" t="n"/>
      <c r="F677" s="6" t="n"/>
      <c r="G677" s="6" t="n"/>
      <c r="H677" s="6" t="n"/>
      <c r="I677" s="8" t="n"/>
      <c r="J677" s="12">
        <f>IF($I677="","",IF($H677="U$D",$I677,IFERROR($I677/VLOOKUP($B677*100+$C677,CONFIG!$I$5:$J$60,2,FALSE),"sin cotiz")))</f>
        <v/>
      </c>
      <c r="K677" s="6" t="n"/>
      <c r="L677" s="6" t="n"/>
      <c r="M677" s="6" t="n"/>
    </row>
    <row r="678">
      <c r="A678" s="10" t="n"/>
      <c r="B678" s="11">
        <f>IF($A678="","",YEAR($A678))</f>
        <v/>
      </c>
      <c r="C678" s="11">
        <f>IF($A678="","",MONTH($A678))</f>
        <v/>
      </c>
      <c r="D678" s="6" t="n"/>
      <c r="E678" s="6" t="n"/>
      <c r="F678" s="6" t="n"/>
      <c r="G678" s="6" t="n"/>
      <c r="H678" s="6" t="n"/>
      <c r="I678" s="8" t="n"/>
      <c r="J678" s="12">
        <f>IF($I678="","",IF($H678="U$D",$I678,IFERROR($I678/VLOOKUP($B678*100+$C678,CONFIG!$I$5:$J$60,2,FALSE),"sin cotiz")))</f>
        <v/>
      </c>
      <c r="K678" s="6" t="n"/>
      <c r="L678" s="6" t="n"/>
      <c r="M678" s="6" t="n"/>
    </row>
    <row r="679">
      <c r="A679" s="10" t="n"/>
      <c r="B679" s="11">
        <f>IF($A679="","",YEAR($A679))</f>
        <v/>
      </c>
      <c r="C679" s="11">
        <f>IF($A679="","",MONTH($A679))</f>
        <v/>
      </c>
      <c r="D679" s="6" t="n"/>
      <c r="E679" s="6" t="n"/>
      <c r="F679" s="6" t="n"/>
      <c r="G679" s="6" t="n"/>
      <c r="H679" s="6" t="n"/>
      <c r="I679" s="8" t="n"/>
      <c r="J679" s="12">
        <f>IF($I679="","",IF($H679="U$D",$I679,IFERROR($I679/VLOOKUP($B679*100+$C679,CONFIG!$I$5:$J$60,2,FALSE),"sin cotiz")))</f>
        <v/>
      </c>
      <c r="K679" s="6" t="n"/>
      <c r="L679" s="6" t="n"/>
      <c r="M679" s="6" t="n"/>
    </row>
    <row r="680">
      <c r="A680" s="10" t="n"/>
      <c r="B680" s="11">
        <f>IF($A680="","",YEAR($A680))</f>
        <v/>
      </c>
      <c r="C680" s="11">
        <f>IF($A680="","",MONTH($A680))</f>
        <v/>
      </c>
      <c r="D680" s="6" t="n"/>
      <c r="E680" s="6" t="n"/>
      <c r="F680" s="6" t="n"/>
      <c r="G680" s="6" t="n"/>
      <c r="H680" s="6" t="n"/>
      <c r="I680" s="8" t="n"/>
      <c r="J680" s="12">
        <f>IF($I680="","",IF($H680="U$D",$I680,IFERROR($I680/VLOOKUP($B680*100+$C680,CONFIG!$I$5:$J$60,2,FALSE),"sin cotiz")))</f>
        <v/>
      </c>
      <c r="K680" s="6" t="n"/>
      <c r="L680" s="6" t="n"/>
      <c r="M680" s="6" t="n"/>
    </row>
    <row r="681">
      <c r="A681" s="10" t="n"/>
      <c r="B681" s="11">
        <f>IF($A681="","",YEAR($A681))</f>
        <v/>
      </c>
      <c r="C681" s="11">
        <f>IF($A681="","",MONTH($A681))</f>
        <v/>
      </c>
      <c r="D681" s="6" t="n"/>
      <c r="E681" s="6" t="n"/>
      <c r="F681" s="6" t="n"/>
      <c r="G681" s="6" t="n"/>
      <c r="H681" s="6" t="n"/>
      <c r="I681" s="8" t="n"/>
      <c r="J681" s="12">
        <f>IF($I681="","",IF($H681="U$D",$I681,IFERROR($I681/VLOOKUP($B681*100+$C681,CONFIG!$I$5:$J$60,2,FALSE),"sin cotiz")))</f>
        <v/>
      </c>
      <c r="K681" s="6" t="n"/>
      <c r="L681" s="6" t="n"/>
      <c r="M681" s="6" t="n"/>
    </row>
    <row r="682">
      <c r="A682" s="10" t="n"/>
      <c r="B682" s="11">
        <f>IF($A682="","",YEAR($A682))</f>
        <v/>
      </c>
      <c r="C682" s="11">
        <f>IF($A682="","",MONTH($A682))</f>
        <v/>
      </c>
      <c r="D682" s="6" t="n"/>
      <c r="E682" s="6" t="n"/>
      <c r="F682" s="6" t="n"/>
      <c r="G682" s="6" t="n"/>
      <c r="H682" s="6" t="n"/>
      <c r="I682" s="8" t="n"/>
      <c r="J682" s="12">
        <f>IF($I682="","",IF($H682="U$D",$I682,IFERROR($I682/VLOOKUP($B682*100+$C682,CONFIG!$I$5:$J$60,2,FALSE),"sin cotiz")))</f>
        <v/>
      </c>
      <c r="K682" s="6" t="n"/>
      <c r="L682" s="6" t="n"/>
      <c r="M682" s="6" t="n"/>
    </row>
    <row r="683">
      <c r="A683" s="10" t="n"/>
      <c r="B683" s="11">
        <f>IF($A683="","",YEAR($A683))</f>
        <v/>
      </c>
      <c r="C683" s="11">
        <f>IF($A683="","",MONTH($A683))</f>
        <v/>
      </c>
      <c r="D683" s="6" t="n"/>
      <c r="E683" s="6" t="n"/>
      <c r="F683" s="6" t="n"/>
      <c r="G683" s="6" t="n"/>
      <c r="H683" s="6" t="n"/>
      <c r="I683" s="8" t="n"/>
      <c r="J683" s="12">
        <f>IF($I683="","",IF($H683="U$D",$I683,IFERROR($I683/VLOOKUP($B683*100+$C683,CONFIG!$I$5:$J$60,2,FALSE),"sin cotiz")))</f>
        <v/>
      </c>
      <c r="K683" s="6" t="n"/>
      <c r="L683" s="6" t="n"/>
      <c r="M683" s="6" t="n"/>
    </row>
    <row r="684">
      <c r="A684" s="10" t="n"/>
      <c r="B684" s="11">
        <f>IF($A684="","",YEAR($A684))</f>
        <v/>
      </c>
      <c r="C684" s="11">
        <f>IF($A684="","",MONTH($A684))</f>
        <v/>
      </c>
      <c r="D684" s="6" t="n"/>
      <c r="E684" s="6" t="n"/>
      <c r="F684" s="6" t="n"/>
      <c r="G684" s="6" t="n"/>
      <c r="H684" s="6" t="n"/>
      <c r="I684" s="8" t="n"/>
      <c r="J684" s="12">
        <f>IF($I684="","",IF($H684="U$D",$I684,IFERROR($I684/VLOOKUP($B684*100+$C684,CONFIG!$I$5:$J$60,2,FALSE),"sin cotiz")))</f>
        <v/>
      </c>
      <c r="K684" s="6" t="n"/>
      <c r="L684" s="6" t="n"/>
      <c r="M684" s="6" t="n"/>
    </row>
    <row r="685">
      <c r="A685" s="10" t="n"/>
      <c r="B685" s="11">
        <f>IF($A685="","",YEAR($A685))</f>
        <v/>
      </c>
      <c r="C685" s="11">
        <f>IF($A685="","",MONTH($A685))</f>
        <v/>
      </c>
      <c r="D685" s="6" t="n"/>
      <c r="E685" s="6" t="n"/>
      <c r="F685" s="6" t="n"/>
      <c r="G685" s="6" t="n"/>
      <c r="H685" s="6" t="n"/>
      <c r="I685" s="8" t="n"/>
      <c r="J685" s="12">
        <f>IF($I685="","",IF($H685="U$D",$I685,IFERROR($I685/VLOOKUP($B685*100+$C685,CONFIG!$I$5:$J$60,2,FALSE),"sin cotiz")))</f>
        <v/>
      </c>
      <c r="K685" s="6" t="n"/>
      <c r="L685" s="6" t="n"/>
      <c r="M685" s="6" t="n"/>
    </row>
    <row r="686">
      <c r="A686" s="10" t="n"/>
      <c r="B686" s="11">
        <f>IF($A686="","",YEAR($A686))</f>
        <v/>
      </c>
      <c r="C686" s="11">
        <f>IF($A686="","",MONTH($A686))</f>
        <v/>
      </c>
      <c r="D686" s="6" t="n"/>
      <c r="E686" s="6" t="n"/>
      <c r="F686" s="6" t="n"/>
      <c r="G686" s="6" t="n"/>
      <c r="H686" s="6" t="n"/>
      <c r="I686" s="8" t="n"/>
      <c r="J686" s="12">
        <f>IF($I686="","",IF($H686="U$D",$I686,IFERROR($I686/VLOOKUP($B686*100+$C686,CONFIG!$I$5:$J$60,2,FALSE),"sin cotiz")))</f>
        <v/>
      </c>
      <c r="K686" s="6" t="n"/>
      <c r="L686" s="6" t="n"/>
      <c r="M686" s="6" t="n"/>
    </row>
    <row r="687">
      <c r="A687" s="10" t="n"/>
      <c r="B687" s="11">
        <f>IF($A687="","",YEAR($A687))</f>
        <v/>
      </c>
      <c r="C687" s="11">
        <f>IF($A687="","",MONTH($A687))</f>
        <v/>
      </c>
      <c r="D687" s="6" t="n"/>
      <c r="E687" s="6" t="n"/>
      <c r="F687" s="6" t="n"/>
      <c r="G687" s="6" t="n"/>
      <c r="H687" s="6" t="n"/>
      <c r="I687" s="8" t="n"/>
      <c r="J687" s="12">
        <f>IF($I687="","",IF($H687="U$D",$I687,IFERROR($I687/VLOOKUP($B687*100+$C687,CONFIG!$I$5:$J$60,2,FALSE),"sin cotiz")))</f>
        <v/>
      </c>
      <c r="K687" s="6" t="n"/>
      <c r="L687" s="6" t="n"/>
      <c r="M687" s="6" t="n"/>
    </row>
    <row r="688">
      <c r="A688" s="10" t="n"/>
      <c r="B688" s="11">
        <f>IF($A688="","",YEAR($A688))</f>
        <v/>
      </c>
      <c r="C688" s="11">
        <f>IF($A688="","",MONTH($A688))</f>
        <v/>
      </c>
      <c r="D688" s="6" t="n"/>
      <c r="E688" s="6" t="n"/>
      <c r="F688" s="6" t="n"/>
      <c r="G688" s="6" t="n"/>
      <c r="H688" s="6" t="n"/>
      <c r="I688" s="8" t="n"/>
      <c r="J688" s="12">
        <f>IF($I688="","",IF($H688="U$D",$I688,IFERROR($I688/VLOOKUP($B688*100+$C688,CONFIG!$I$5:$J$60,2,FALSE),"sin cotiz")))</f>
        <v/>
      </c>
      <c r="K688" s="6" t="n"/>
      <c r="L688" s="6" t="n"/>
      <c r="M688" s="6" t="n"/>
    </row>
    <row r="689">
      <c r="A689" s="10" t="n"/>
      <c r="B689" s="11">
        <f>IF($A689="","",YEAR($A689))</f>
        <v/>
      </c>
      <c r="C689" s="11">
        <f>IF($A689="","",MONTH($A689))</f>
        <v/>
      </c>
      <c r="D689" s="6" t="n"/>
      <c r="E689" s="6" t="n"/>
      <c r="F689" s="6" t="n"/>
      <c r="G689" s="6" t="n"/>
      <c r="H689" s="6" t="n"/>
      <c r="I689" s="8" t="n"/>
      <c r="J689" s="12">
        <f>IF($I689="","",IF($H689="U$D",$I689,IFERROR($I689/VLOOKUP($B689*100+$C689,CONFIG!$I$5:$J$60,2,FALSE),"sin cotiz")))</f>
        <v/>
      </c>
      <c r="K689" s="6" t="n"/>
      <c r="L689" s="6" t="n"/>
      <c r="M689" s="6" t="n"/>
    </row>
    <row r="690">
      <c r="A690" s="10" t="n"/>
      <c r="B690" s="11">
        <f>IF($A690="","",YEAR($A690))</f>
        <v/>
      </c>
      <c r="C690" s="11">
        <f>IF($A690="","",MONTH($A690))</f>
        <v/>
      </c>
      <c r="D690" s="6" t="n"/>
      <c r="E690" s="6" t="n"/>
      <c r="F690" s="6" t="n"/>
      <c r="G690" s="6" t="n"/>
      <c r="H690" s="6" t="n"/>
      <c r="I690" s="8" t="n"/>
      <c r="J690" s="12">
        <f>IF($I690="","",IF($H690="U$D",$I690,IFERROR($I690/VLOOKUP($B690*100+$C690,CONFIG!$I$5:$J$60,2,FALSE),"sin cotiz")))</f>
        <v/>
      </c>
      <c r="K690" s="6" t="n"/>
      <c r="L690" s="6" t="n"/>
      <c r="M690" s="6" t="n"/>
    </row>
    <row r="691">
      <c r="A691" s="10" t="n"/>
      <c r="B691" s="11">
        <f>IF($A691="","",YEAR($A691))</f>
        <v/>
      </c>
      <c r="C691" s="11">
        <f>IF($A691="","",MONTH($A691))</f>
        <v/>
      </c>
      <c r="D691" s="6" t="n"/>
      <c r="E691" s="6" t="n"/>
      <c r="F691" s="6" t="n"/>
      <c r="G691" s="6" t="n"/>
      <c r="H691" s="6" t="n"/>
      <c r="I691" s="8" t="n"/>
      <c r="J691" s="12">
        <f>IF($I691="","",IF($H691="U$D",$I691,IFERROR($I691/VLOOKUP($B691*100+$C691,CONFIG!$I$5:$J$60,2,FALSE),"sin cotiz")))</f>
        <v/>
      </c>
      <c r="K691" s="6" t="n"/>
      <c r="L691" s="6" t="n"/>
      <c r="M691" s="6" t="n"/>
    </row>
    <row r="692">
      <c r="A692" s="10" t="n"/>
      <c r="B692" s="11">
        <f>IF($A692="","",YEAR($A692))</f>
        <v/>
      </c>
      <c r="C692" s="11">
        <f>IF($A692="","",MONTH($A692))</f>
        <v/>
      </c>
      <c r="D692" s="6" t="n"/>
      <c r="E692" s="6" t="n"/>
      <c r="F692" s="6" t="n"/>
      <c r="G692" s="6" t="n"/>
      <c r="H692" s="6" t="n"/>
      <c r="I692" s="8" t="n"/>
      <c r="J692" s="12">
        <f>IF($I692="","",IF($H692="U$D",$I692,IFERROR($I692/VLOOKUP($B692*100+$C692,CONFIG!$I$5:$J$60,2,FALSE),"sin cotiz")))</f>
        <v/>
      </c>
      <c r="K692" s="6" t="n"/>
      <c r="L692" s="6" t="n"/>
      <c r="M692" s="6" t="n"/>
    </row>
    <row r="693">
      <c r="A693" s="10" t="n"/>
      <c r="B693" s="11">
        <f>IF($A693="","",YEAR($A693))</f>
        <v/>
      </c>
      <c r="C693" s="11">
        <f>IF($A693="","",MONTH($A693))</f>
        <v/>
      </c>
      <c r="D693" s="6" t="n"/>
      <c r="E693" s="6" t="n"/>
      <c r="F693" s="6" t="n"/>
      <c r="G693" s="6" t="n"/>
      <c r="H693" s="6" t="n"/>
      <c r="I693" s="8" t="n"/>
      <c r="J693" s="12">
        <f>IF($I693="","",IF($H693="U$D",$I693,IFERROR($I693/VLOOKUP($B693*100+$C693,CONFIG!$I$5:$J$60,2,FALSE),"sin cotiz")))</f>
        <v/>
      </c>
      <c r="K693" s="6" t="n"/>
      <c r="L693" s="6" t="n"/>
      <c r="M693" s="6" t="n"/>
    </row>
    <row r="694">
      <c r="A694" s="10" t="n"/>
      <c r="B694" s="11">
        <f>IF($A694="","",YEAR($A694))</f>
        <v/>
      </c>
      <c r="C694" s="11">
        <f>IF($A694="","",MONTH($A694))</f>
        <v/>
      </c>
      <c r="D694" s="6" t="n"/>
      <c r="E694" s="6" t="n"/>
      <c r="F694" s="6" t="n"/>
      <c r="G694" s="6" t="n"/>
      <c r="H694" s="6" t="n"/>
      <c r="I694" s="8" t="n"/>
      <c r="J694" s="12">
        <f>IF($I694="","",IF($H694="U$D",$I694,IFERROR($I694/VLOOKUP($B694*100+$C694,CONFIG!$I$5:$J$60,2,FALSE),"sin cotiz")))</f>
        <v/>
      </c>
      <c r="K694" s="6" t="n"/>
      <c r="L694" s="6" t="n"/>
      <c r="M694" s="6" t="n"/>
    </row>
    <row r="695">
      <c r="A695" s="10" t="n"/>
      <c r="B695" s="11">
        <f>IF($A695="","",YEAR($A695))</f>
        <v/>
      </c>
      <c r="C695" s="11">
        <f>IF($A695="","",MONTH($A695))</f>
        <v/>
      </c>
      <c r="D695" s="6" t="n"/>
      <c r="E695" s="6" t="n"/>
      <c r="F695" s="6" t="n"/>
      <c r="G695" s="6" t="n"/>
      <c r="H695" s="6" t="n"/>
      <c r="I695" s="8" t="n"/>
      <c r="J695" s="12">
        <f>IF($I695="","",IF($H695="U$D",$I695,IFERROR($I695/VLOOKUP($B695*100+$C695,CONFIG!$I$5:$J$60,2,FALSE),"sin cotiz")))</f>
        <v/>
      </c>
      <c r="K695" s="6" t="n"/>
      <c r="L695" s="6" t="n"/>
      <c r="M695" s="6" t="n"/>
    </row>
    <row r="696">
      <c r="A696" s="10" t="n"/>
      <c r="B696" s="11">
        <f>IF($A696="","",YEAR($A696))</f>
        <v/>
      </c>
      <c r="C696" s="11">
        <f>IF($A696="","",MONTH($A696))</f>
        <v/>
      </c>
      <c r="D696" s="6" t="n"/>
      <c r="E696" s="6" t="n"/>
      <c r="F696" s="6" t="n"/>
      <c r="G696" s="6" t="n"/>
      <c r="H696" s="6" t="n"/>
      <c r="I696" s="8" t="n"/>
      <c r="J696" s="12">
        <f>IF($I696="","",IF($H696="U$D",$I696,IFERROR($I696/VLOOKUP($B696*100+$C696,CONFIG!$I$5:$J$60,2,FALSE),"sin cotiz")))</f>
        <v/>
      </c>
      <c r="K696" s="6" t="n"/>
      <c r="L696" s="6" t="n"/>
      <c r="M696" s="6" t="n"/>
    </row>
    <row r="697">
      <c r="A697" s="10" t="n"/>
      <c r="B697" s="11">
        <f>IF($A697="","",YEAR($A697))</f>
        <v/>
      </c>
      <c r="C697" s="11">
        <f>IF($A697="","",MONTH($A697))</f>
        <v/>
      </c>
      <c r="D697" s="6" t="n"/>
      <c r="E697" s="6" t="n"/>
      <c r="F697" s="6" t="n"/>
      <c r="G697" s="6" t="n"/>
      <c r="H697" s="6" t="n"/>
      <c r="I697" s="8" t="n"/>
      <c r="J697" s="12">
        <f>IF($I697="","",IF($H697="U$D",$I697,IFERROR($I697/VLOOKUP($B697*100+$C697,CONFIG!$I$5:$J$60,2,FALSE),"sin cotiz")))</f>
        <v/>
      </c>
      <c r="K697" s="6" t="n"/>
      <c r="L697" s="6" t="n"/>
      <c r="M697" s="6" t="n"/>
    </row>
    <row r="698">
      <c r="A698" s="10" t="n"/>
      <c r="B698" s="11">
        <f>IF($A698="","",YEAR($A698))</f>
        <v/>
      </c>
      <c r="C698" s="11">
        <f>IF($A698="","",MONTH($A698))</f>
        <v/>
      </c>
      <c r="D698" s="6" t="n"/>
      <c r="E698" s="6" t="n"/>
      <c r="F698" s="6" t="n"/>
      <c r="G698" s="6" t="n"/>
      <c r="H698" s="6" t="n"/>
      <c r="I698" s="8" t="n"/>
      <c r="J698" s="12">
        <f>IF($I698="","",IF($H698="U$D",$I698,IFERROR($I698/VLOOKUP($B698*100+$C698,CONFIG!$I$5:$J$60,2,FALSE),"sin cotiz")))</f>
        <v/>
      </c>
      <c r="K698" s="6" t="n"/>
      <c r="L698" s="6" t="n"/>
      <c r="M698" s="6" t="n"/>
    </row>
    <row r="699">
      <c r="A699" s="10" t="n"/>
      <c r="B699" s="11">
        <f>IF($A699="","",YEAR($A699))</f>
        <v/>
      </c>
      <c r="C699" s="11">
        <f>IF($A699="","",MONTH($A699))</f>
        <v/>
      </c>
      <c r="D699" s="6" t="n"/>
      <c r="E699" s="6" t="n"/>
      <c r="F699" s="6" t="n"/>
      <c r="G699" s="6" t="n"/>
      <c r="H699" s="6" t="n"/>
      <c r="I699" s="8" t="n"/>
      <c r="J699" s="12">
        <f>IF($I699="","",IF($H699="U$D",$I699,IFERROR($I699/VLOOKUP($B699*100+$C699,CONFIG!$I$5:$J$60,2,FALSE),"sin cotiz")))</f>
        <v/>
      </c>
      <c r="K699" s="6" t="n"/>
      <c r="L699" s="6" t="n"/>
      <c r="M699" s="6" t="n"/>
    </row>
    <row r="700">
      <c r="A700" s="10" t="n"/>
      <c r="B700" s="11">
        <f>IF($A700="","",YEAR($A700))</f>
        <v/>
      </c>
      <c r="C700" s="11">
        <f>IF($A700="","",MONTH($A700))</f>
        <v/>
      </c>
      <c r="D700" s="6" t="n"/>
      <c r="E700" s="6" t="n"/>
      <c r="F700" s="6" t="n"/>
      <c r="G700" s="6" t="n"/>
      <c r="H700" s="6" t="n"/>
      <c r="I700" s="8" t="n"/>
      <c r="J700" s="12">
        <f>IF($I700="","",IF($H700="U$D",$I700,IFERROR($I700/VLOOKUP($B700*100+$C700,CONFIG!$I$5:$J$60,2,FALSE),"sin cotiz")))</f>
        <v/>
      </c>
      <c r="K700" s="6" t="n"/>
      <c r="L700" s="6" t="n"/>
      <c r="M700" s="6" t="n"/>
    </row>
    <row r="701">
      <c r="A701" s="10" t="n"/>
      <c r="B701" s="11">
        <f>IF($A701="","",YEAR($A701))</f>
        <v/>
      </c>
      <c r="C701" s="11">
        <f>IF($A701="","",MONTH($A701))</f>
        <v/>
      </c>
      <c r="D701" s="6" t="n"/>
      <c r="E701" s="6" t="n"/>
      <c r="F701" s="6" t="n"/>
      <c r="G701" s="6" t="n"/>
      <c r="H701" s="6" t="n"/>
      <c r="I701" s="8" t="n"/>
      <c r="J701" s="12">
        <f>IF($I701="","",IF($H701="U$D",$I701,IFERROR($I701/VLOOKUP($B701*100+$C701,CONFIG!$I$5:$J$60,2,FALSE),"sin cotiz")))</f>
        <v/>
      </c>
      <c r="K701" s="6" t="n"/>
      <c r="L701" s="6" t="n"/>
      <c r="M701" s="6" t="n"/>
    </row>
    <row r="702">
      <c r="A702" s="10" t="n"/>
      <c r="B702" s="11">
        <f>IF($A702="","",YEAR($A702))</f>
        <v/>
      </c>
      <c r="C702" s="11">
        <f>IF($A702="","",MONTH($A702))</f>
        <v/>
      </c>
      <c r="D702" s="6" t="n"/>
      <c r="E702" s="6" t="n"/>
      <c r="F702" s="6" t="n"/>
      <c r="G702" s="6" t="n"/>
      <c r="H702" s="6" t="n"/>
      <c r="I702" s="8" t="n"/>
      <c r="J702" s="12">
        <f>IF($I702="","",IF($H702="U$D",$I702,IFERROR($I702/VLOOKUP($B702*100+$C702,CONFIG!$I$5:$J$60,2,FALSE),"sin cotiz")))</f>
        <v/>
      </c>
      <c r="K702" s="6" t="n"/>
      <c r="L702" s="6" t="n"/>
      <c r="M702" s="6" t="n"/>
    </row>
    <row r="703">
      <c r="A703" s="10" t="n"/>
      <c r="B703" s="11">
        <f>IF($A703="","",YEAR($A703))</f>
        <v/>
      </c>
      <c r="C703" s="11">
        <f>IF($A703="","",MONTH($A703))</f>
        <v/>
      </c>
      <c r="D703" s="6" t="n"/>
      <c r="E703" s="6" t="n"/>
      <c r="F703" s="6" t="n"/>
      <c r="G703" s="6" t="n"/>
      <c r="H703" s="6" t="n"/>
      <c r="I703" s="8" t="n"/>
      <c r="J703" s="12">
        <f>IF($I703="","",IF($H703="U$D",$I703,IFERROR($I703/VLOOKUP($B703*100+$C703,CONFIG!$I$5:$J$60,2,FALSE),"sin cotiz")))</f>
        <v/>
      </c>
      <c r="K703" s="6" t="n"/>
      <c r="L703" s="6" t="n"/>
      <c r="M703" s="6" t="n"/>
    </row>
    <row r="704">
      <c r="A704" s="10" t="n"/>
      <c r="B704" s="11">
        <f>IF($A704="","",YEAR($A704))</f>
        <v/>
      </c>
      <c r="C704" s="11">
        <f>IF($A704="","",MONTH($A704))</f>
        <v/>
      </c>
      <c r="D704" s="6" t="n"/>
      <c r="E704" s="6" t="n"/>
      <c r="F704" s="6" t="n"/>
      <c r="G704" s="6" t="n"/>
      <c r="H704" s="6" t="n"/>
      <c r="I704" s="8" t="n"/>
      <c r="J704" s="12">
        <f>IF($I704="","",IF($H704="U$D",$I704,IFERROR($I704/VLOOKUP($B704*100+$C704,CONFIG!$I$5:$J$60,2,FALSE),"sin cotiz")))</f>
        <v/>
      </c>
      <c r="K704" s="6" t="n"/>
      <c r="L704" s="6" t="n"/>
      <c r="M704" s="6" t="n"/>
    </row>
    <row r="705">
      <c r="A705" s="10" t="n"/>
      <c r="B705" s="11">
        <f>IF($A705="","",YEAR($A705))</f>
        <v/>
      </c>
      <c r="C705" s="11">
        <f>IF($A705="","",MONTH($A705))</f>
        <v/>
      </c>
      <c r="D705" s="6" t="n"/>
      <c r="E705" s="6" t="n"/>
      <c r="F705" s="6" t="n"/>
      <c r="G705" s="6" t="n"/>
      <c r="H705" s="6" t="n"/>
      <c r="I705" s="8" t="n"/>
      <c r="J705" s="12">
        <f>IF($I705="","",IF($H705="U$D",$I705,IFERROR($I705/VLOOKUP($B705*100+$C705,CONFIG!$I$5:$J$60,2,FALSE),"sin cotiz")))</f>
        <v/>
      </c>
      <c r="K705" s="6" t="n"/>
      <c r="L705" s="6" t="n"/>
      <c r="M705" s="6" t="n"/>
    </row>
    <row r="706">
      <c r="A706" s="10" t="n"/>
      <c r="B706" s="11">
        <f>IF($A706="","",YEAR($A706))</f>
        <v/>
      </c>
      <c r="C706" s="11">
        <f>IF($A706="","",MONTH($A706))</f>
        <v/>
      </c>
      <c r="D706" s="6" t="n"/>
      <c r="E706" s="6" t="n"/>
      <c r="F706" s="6" t="n"/>
      <c r="G706" s="6" t="n"/>
      <c r="H706" s="6" t="n"/>
      <c r="I706" s="8" t="n"/>
      <c r="J706" s="12">
        <f>IF($I706="","",IF($H706="U$D",$I706,IFERROR($I706/VLOOKUP($B706*100+$C706,CONFIG!$I$5:$J$60,2,FALSE),"sin cotiz")))</f>
        <v/>
      </c>
      <c r="K706" s="6" t="n"/>
      <c r="L706" s="6" t="n"/>
      <c r="M706" s="6" t="n"/>
    </row>
    <row r="707">
      <c r="A707" s="10" t="n"/>
      <c r="B707" s="11">
        <f>IF($A707="","",YEAR($A707))</f>
        <v/>
      </c>
      <c r="C707" s="11">
        <f>IF($A707="","",MONTH($A707))</f>
        <v/>
      </c>
      <c r="D707" s="6" t="n"/>
      <c r="E707" s="6" t="n"/>
      <c r="F707" s="6" t="n"/>
      <c r="G707" s="6" t="n"/>
      <c r="H707" s="6" t="n"/>
      <c r="I707" s="8" t="n"/>
      <c r="J707" s="12">
        <f>IF($I707="","",IF($H707="U$D",$I707,IFERROR($I707/VLOOKUP($B707*100+$C707,CONFIG!$I$5:$J$60,2,FALSE),"sin cotiz")))</f>
        <v/>
      </c>
      <c r="K707" s="6" t="n"/>
      <c r="L707" s="6" t="n"/>
      <c r="M707" s="6" t="n"/>
    </row>
    <row r="708">
      <c r="A708" s="10" t="n"/>
      <c r="B708" s="11">
        <f>IF($A708="","",YEAR($A708))</f>
        <v/>
      </c>
      <c r="C708" s="11">
        <f>IF($A708="","",MONTH($A708))</f>
        <v/>
      </c>
      <c r="D708" s="6" t="n"/>
      <c r="E708" s="6" t="n"/>
      <c r="F708" s="6" t="n"/>
      <c r="G708" s="6" t="n"/>
      <c r="H708" s="6" t="n"/>
      <c r="I708" s="8" t="n"/>
      <c r="J708" s="12">
        <f>IF($I708="","",IF($H708="U$D",$I708,IFERROR($I708/VLOOKUP($B708*100+$C708,CONFIG!$I$5:$J$60,2,FALSE),"sin cotiz")))</f>
        <v/>
      </c>
      <c r="K708" s="6" t="n"/>
      <c r="L708" s="6" t="n"/>
      <c r="M708" s="6" t="n"/>
    </row>
    <row r="709">
      <c r="A709" s="10" t="n"/>
      <c r="B709" s="11">
        <f>IF($A709="","",YEAR($A709))</f>
        <v/>
      </c>
      <c r="C709" s="11">
        <f>IF($A709="","",MONTH($A709))</f>
        <v/>
      </c>
      <c r="D709" s="6" t="n"/>
      <c r="E709" s="6" t="n"/>
      <c r="F709" s="6" t="n"/>
      <c r="G709" s="6" t="n"/>
      <c r="H709" s="6" t="n"/>
      <c r="I709" s="8" t="n"/>
      <c r="J709" s="12">
        <f>IF($I709="","",IF($H709="U$D",$I709,IFERROR($I709/VLOOKUP($B709*100+$C709,CONFIG!$I$5:$J$60,2,FALSE),"sin cotiz")))</f>
        <v/>
      </c>
      <c r="K709" s="6" t="n"/>
      <c r="L709" s="6" t="n"/>
      <c r="M709" s="6" t="n"/>
    </row>
    <row r="710">
      <c r="A710" s="10" t="n"/>
      <c r="B710" s="11">
        <f>IF($A710="","",YEAR($A710))</f>
        <v/>
      </c>
      <c r="C710" s="11">
        <f>IF($A710="","",MONTH($A710))</f>
        <v/>
      </c>
      <c r="D710" s="6" t="n"/>
      <c r="E710" s="6" t="n"/>
      <c r="F710" s="6" t="n"/>
      <c r="G710" s="6" t="n"/>
      <c r="H710" s="6" t="n"/>
      <c r="I710" s="8" t="n"/>
      <c r="J710" s="12">
        <f>IF($I710="","",IF($H710="U$D",$I710,IFERROR($I710/VLOOKUP($B710*100+$C710,CONFIG!$I$5:$J$60,2,FALSE),"sin cotiz")))</f>
        <v/>
      </c>
      <c r="K710" s="6" t="n"/>
      <c r="L710" s="6" t="n"/>
      <c r="M710" s="6" t="n"/>
    </row>
    <row r="711">
      <c r="A711" s="10" t="n"/>
      <c r="B711" s="11">
        <f>IF($A711="","",YEAR($A711))</f>
        <v/>
      </c>
      <c r="C711" s="11">
        <f>IF($A711="","",MONTH($A711))</f>
        <v/>
      </c>
      <c r="D711" s="6" t="n"/>
      <c r="E711" s="6" t="n"/>
      <c r="F711" s="6" t="n"/>
      <c r="G711" s="6" t="n"/>
      <c r="H711" s="6" t="n"/>
      <c r="I711" s="8" t="n"/>
      <c r="J711" s="12">
        <f>IF($I711="","",IF($H711="U$D",$I711,IFERROR($I711/VLOOKUP($B711*100+$C711,CONFIG!$I$5:$J$60,2,FALSE),"sin cotiz")))</f>
        <v/>
      </c>
      <c r="K711" s="6" t="n"/>
      <c r="L711" s="6" t="n"/>
      <c r="M711" s="6" t="n"/>
    </row>
    <row r="712">
      <c r="A712" s="10" t="n"/>
      <c r="B712" s="11">
        <f>IF($A712="","",YEAR($A712))</f>
        <v/>
      </c>
      <c r="C712" s="11">
        <f>IF($A712="","",MONTH($A712))</f>
        <v/>
      </c>
      <c r="D712" s="6" t="n"/>
      <c r="E712" s="6" t="n"/>
      <c r="F712" s="6" t="n"/>
      <c r="G712" s="6" t="n"/>
      <c r="H712" s="6" t="n"/>
      <c r="I712" s="8" t="n"/>
      <c r="J712" s="12">
        <f>IF($I712="","",IF($H712="U$D",$I712,IFERROR($I712/VLOOKUP($B712*100+$C712,CONFIG!$I$5:$J$60,2,FALSE),"sin cotiz")))</f>
        <v/>
      </c>
      <c r="K712" s="6" t="n"/>
      <c r="L712" s="6" t="n"/>
      <c r="M712" s="6" t="n"/>
    </row>
    <row r="713">
      <c r="A713" s="10" t="n"/>
      <c r="B713" s="11">
        <f>IF($A713="","",YEAR($A713))</f>
        <v/>
      </c>
      <c r="C713" s="11">
        <f>IF($A713="","",MONTH($A713))</f>
        <v/>
      </c>
      <c r="D713" s="6" t="n"/>
      <c r="E713" s="6" t="n"/>
      <c r="F713" s="6" t="n"/>
      <c r="G713" s="6" t="n"/>
      <c r="H713" s="6" t="n"/>
      <c r="I713" s="8" t="n"/>
      <c r="J713" s="12">
        <f>IF($I713="","",IF($H713="U$D",$I713,IFERROR($I713/VLOOKUP($B713*100+$C713,CONFIG!$I$5:$J$60,2,FALSE),"sin cotiz")))</f>
        <v/>
      </c>
      <c r="K713" s="6" t="n"/>
      <c r="L713" s="6" t="n"/>
      <c r="M713" s="6" t="n"/>
    </row>
    <row r="714">
      <c r="A714" s="10" t="n"/>
      <c r="B714" s="11">
        <f>IF($A714="","",YEAR($A714))</f>
        <v/>
      </c>
      <c r="C714" s="11">
        <f>IF($A714="","",MONTH($A714))</f>
        <v/>
      </c>
      <c r="D714" s="6" t="n"/>
      <c r="E714" s="6" t="n"/>
      <c r="F714" s="6" t="n"/>
      <c r="G714" s="6" t="n"/>
      <c r="H714" s="6" t="n"/>
      <c r="I714" s="8" t="n"/>
      <c r="J714" s="12">
        <f>IF($I714="","",IF($H714="U$D",$I714,IFERROR($I714/VLOOKUP($B714*100+$C714,CONFIG!$I$5:$J$60,2,FALSE),"sin cotiz")))</f>
        <v/>
      </c>
      <c r="K714" s="6" t="n"/>
      <c r="L714" s="6" t="n"/>
      <c r="M714" s="6" t="n"/>
    </row>
    <row r="715">
      <c r="A715" s="10" t="n"/>
      <c r="B715" s="11">
        <f>IF($A715="","",YEAR($A715))</f>
        <v/>
      </c>
      <c r="C715" s="11">
        <f>IF($A715="","",MONTH($A715))</f>
        <v/>
      </c>
      <c r="D715" s="6" t="n"/>
      <c r="E715" s="6" t="n"/>
      <c r="F715" s="6" t="n"/>
      <c r="G715" s="6" t="n"/>
      <c r="H715" s="6" t="n"/>
      <c r="I715" s="8" t="n"/>
      <c r="J715" s="12">
        <f>IF($I715="","",IF($H715="U$D",$I715,IFERROR($I715/VLOOKUP($B715*100+$C715,CONFIG!$I$5:$J$60,2,FALSE),"sin cotiz")))</f>
        <v/>
      </c>
      <c r="K715" s="6" t="n"/>
      <c r="L715" s="6" t="n"/>
      <c r="M715" s="6" t="n"/>
    </row>
    <row r="716">
      <c r="A716" s="10" t="n"/>
      <c r="B716" s="11">
        <f>IF($A716="","",YEAR($A716))</f>
        <v/>
      </c>
      <c r="C716" s="11">
        <f>IF($A716="","",MONTH($A716))</f>
        <v/>
      </c>
      <c r="D716" s="6" t="n"/>
      <c r="E716" s="6" t="n"/>
      <c r="F716" s="6" t="n"/>
      <c r="G716" s="6" t="n"/>
      <c r="H716" s="6" t="n"/>
      <c r="I716" s="8" t="n"/>
      <c r="J716" s="12">
        <f>IF($I716="","",IF($H716="U$D",$I716,IFERROR($I716/VLOOKUP($B716*100+$C716,CONFIG!$I$5:$J$60,2,FALSE),"sin cotiz")))</f>
        <v/>
      </c>
      <c r="K716" s="6" t="n"/>
      <c r="L716" s="6" t="n"/>
      <c r="M716" s="6" t="n"/>
    </row>
    <row r="717">
      <c r="A717" s="10" t="n"/>
      <c r="B717" s="11">
        <f>IF($A717="","",YEAR($A717))</f>
        <v/>
      </c>
      <c r="C717" s="11">
        <f>IF($A717="","",MONTH($A717))</f>
        <v/>
      </c>
      <c r="D717" s="6" t="n"/>
      <c r="E717" s="6" t="n"/>
      <c r="F717" s="6" t="n"/>
      <c r="G717" s="6" t="n"/>
      <c r="H717" s="6" t="n"/>
      <c r="I717" s="8" t="n"/>
      <c r="J717" s="12">
        <f>IF($I717="","",IF($H717="U$D",$I717,IFERROR($I717/VLOOKUP($B717*100+$C717,CONFIG!$I$5:$J$60,2,FALSE),"sin cotiz")))</f>
        <v/>
      </c>
      <c r="K717" s="6" t="n"/>
      <c r="L717" s="6" t="n"/>
      <c r="M717" s="6" t="n"/>
    </row>
    <row r="718">
      <c r="A718" s="10" t="n"/>
      <c r="B718" s="11">
        <f>IF($A718="","",YEAR($A718))</f>
        <v/>
      </c>
      <c r="C718" s="11">
        <f>IF($A718="","",MONTH($A718))</f>
        <v/>
      </c>
      <c r="D718" s="6" t="n"/>
      <c r="E718" s="6" t="n"/>
      <c r="F718" s="6" t="n"/>
      <c r="G718" s="6" t="n"/>
      <c r="H718" s="6" t="n"/>
      <c r="I718" s="8" t="n"/>
      <c r="J718" s="12">
        <f>IF($I718="","",IF($H718="U$D",$I718,IFERROR($I718/VLOOKUP($B718*100+$C718,CONFIG!$I$5:$J$60,2,FALSE),"sin cotiz")))</f>
        <v/>
      </c>
      <c r="K718" s="6" t="n"/>
      <c r="L718" s="6" t="n"/>
      <c r="M718" s="6" t="n"/>
    </row>
    <row r="719">
      <c r="A719" s="10" t="n"/>
      <c r="B719" s="11">
        <f>IF($A719="","",YEAR($A719))</f>
        <v/>
      </c>
      <c r="C719" s="11">
        <f>IF($A719="","",MONTH($A719))</f>
        <v/>
      </c>
      <c r="D719" s="6" t="n"/>
      <c r="E719" s="6" t="n"/>
      <c r="F719" s="6" t="n"/>
      <c r="G719" s="6" t="n"/>
      <c r="H719" s="6" t="n"/>
      <c r="I719" s="8" t="n"/>
      <c r="J719" s="12">
        <f>IF($I719="","",IF($H719="U$D",$I719,IFERROR($I719/VLOOKUP($B719*100+$C719,CONFIG!$I$5:$J$60,2,FALSE),"sin cotiz")))</f>
        <v/>
      </c>
      <c r="K719" s="6" t="n"/>
      <c r="L719" s="6" t="n"/>
      <c r="M719" s="6" t="n"/>
    </row>
    <row r="720">
      <c r="A720" s="10" t="n"/>
      <c r="B720" s="11">
        <f>IF($A720="","",YEAR($A720))</f>
        <v/>
      </c>
      <c r="C720" s="11">
        <f>IF($A720="","",MONTH($A720))</f>
        <v/>
      </c>
      <c r="D720" s="6" t="n"/>
      <c r="E720" s="6" t="n"/>
      <c r="F720" s="6" t="n"/>
      <c r="G720" s="6" t="n"/>
      <c r="H720" s="6" t="n"/>
      <c r="I720" s="8" t="n"/>
      <c r="J720" s="12">
        <f>IF($I720="","",IF($H720="U$D",$I720,IFERROR($I720/VLOOKUP($B720*100+$C720,CONFIG!$I$5:$J$60,2,FALSE),"sin cotiz")))</f>
        <v/>
      </c>
      <c r="K720" s="6" t="n"/>
      <c r="L720" s="6" t="n"/>
      <c r="M720" s="6" t="n"/>
    </row>
    <row r="721">
      <c r="A721" s="10" t="n"/>
      <c r="B721" s="11">
        <f>IF($A721="","",YEAR($A721))</f>
        <v/>
      </c>
      <c r="C721" s="11">
        <f>IF($A721="","",MONTH($A721))</f>
        <v/>
      </c>
      <c r="D721" s="6" t="n"/>
      <c r="E721" s="6" t="n"/>
      <c r="F721" s="6" t="n"/>
      <c r="G721" s="6" t="n"/>
      <c r="H721" s="6" t="n"/>
      <c r="I721" s="8" t="n"/>
      <c r="J721" s="12">
        <f>IF($I721="","",IF($H721="U$D",$I721,IFERROR($I721/VLOOKUP($B721*100+$C721,CONFIG!$I$5:$J$60,2,FALSE),"sin cotiz")))</f>
        <v/>
      </c>
      <c r="K721" s="6" t="n"/>
      <c r="L721" s="6" t="n"/>
      <c r="M721" s="6" t="n"/>
    </row>
    <row r="722">
      <c r="A722" s="10" t="n"/>
      <c r="B722" s="11">
        <f>IF($A722="","",YEAR($A722))</f>
        <v/>
      </c>
      <c r="C722" s="11">
        <f>IF($A722="","",MONTH($A722))</f>
        <v/>
      </c>
      <c r="D722" s="6" t="n"/>
      <c r="E722" s="6" t="n"/>
      <c r="F722" s="6" t="n"/>
      <c r="G722" s="6" t="n"/>
      <c r="H722" s="6" t="n"/>
      <c r="I722" s="8" t="n"/>
      <c r="J722" s="12">
        <f>IF($I722="","",IF($H722="U$D",$I722,IFERROR($I722/VLOOKUP($B722*100+$C722,CONFIG!$I$5:$J$60,2,FALSE),"sin cotiz")))</f>
        <v/>
      </c>
      <c r="K722" s="6" t="n"/>
      <c r="L722" s="6" t="n"/>
      <c r="M722" s="6" t="n"/>
    </row>
    <row r="723">
      <c r="A723" s="10" t="n"/>
      <c r="B723" s="11">
        <f>IF($A723="","",YEAR($A723))</f>
        <v/>
      </c>
      <c r="C723" s="11">
        <f>IF($A723="","",MONTH($A723))</f>
        <v/>
      </c>
      <c r="D723" s="6" t="n"/>
      <c r="E723" s="6" t="n"/>
      <c r="F723" s="6" t="n"/>
      <c r="G723" s="6" t="n"/>
      <c r="H723" s="6" t="n"/>
      <c r="I723" s="8" t="n"/>
      <c r="J723" s="12">
        <f>IF($I723="","",IF($H723="U$D",$I723,IFERROR($I723/VLOOKUP($B723*100+$C723,CONFIG!$I$5:$J$60,2,FALSE),"sin cotiz")))</f>
        <v/>
      </c>
      <c r="K723" s="6" t="n"/>
      <c r="L723" s="6" t="n"/>
      <c r="M723" s="6" t="n"/>
    </row>
    <row r="724">
      <c r="A724" s="10" t="n"/>
      <c r="B724" s="11">
        <f>IF($A724="","",YEAR($A724))</f>
        <v/>
      </c>
      <c r="C724" s="11">
        <f>IF($A724="","",MONTH($A724))</f>
        <v/>
      </c>
      <c r="D724" s="6" t="n"/>
      <c r="E724" s="6" t="n"/>
      <c r="F724" s="6" t="n"/>
      <c r="G724" s="6" t="n"/>
      <c r="H724" s="6" t="n"/>
      <c r="I724" s="8" t="n"/>
      <c r="J724" s="12">
        <f>IF($I724="","",IF($H724="U$D",$I724,IFERROR($I724/VLOOKUP($B724*100+$C724,CONFIG!$I$5:$J$60,2,FALSE),"sin cotiz")))</f>
        <v/>
      </c>
      <c r="K724" s="6" t="n"/>
      <c r="L724" s="6" t="n"/>
      <c r="M724" s="6" t="n"/>
    </row>
    <row r="725">
      <c r="A725" s="10" t="n"/>
      <c r="B725" s="11">
        <f>IF($A725="","",YEAR($A725))</f>
        <v/>
      </c>
      <c r="C725" s="11">
        <f>IF($A725="","",MONTH($A725))</f>
        <v/>
      </c>
      <c r="D725" s="6" t="n"/>
      <c r="E725" s="6" t="n"/>
      <c r="F725" s="6" t="n"/>
      <c r="G725" s="6" t="n"/>
      <c r="H725" s="6" t="n"/>
      <c r="I725" s="8" t="n"/>
      <c r="J725" s="12">
        <f>IF($I725="","",IF($H725="U$D",$I725,IFERROR($I725/VLOOKUP($B725*100+$C725,CONFIG!$I$5:$J$60,2,FALSE),"sin cotiz")))</f>
        <v/>
      </c>
      <c r="K725" s="6" t="n"/>
      <c r="L725" s="6" t="n"/>
      <c r="M725" s="6" t="n"/>
    </row>
    <row r="726">
      <c r="A726" s="10" t="n"/>
      <c r="B726" s="11">
        <f>IF($A726="","",YEAR($A726))</f>
        <v/>
      </c>
      <c r="C726" s="11">
        <f>IF($A726="","",MONTH($A726))</f>
        <v/>
      </c>
      <c r="D726" s="6" t="n"/>
      <c r="E726" s="6" t="n"/>
      <c r="F726" s="6" t="n"/>
      <c r="G726" s="6" t="n"/>
      <c r="H726" s="6" t="n"/>
      <c r="I726" s="8" t="n"/>
      <c r="J726" s="12">
        <f>IF($I726="","",IF($H726="U$D",$I726,IFERROR($I726/VLOOKUP($B726*100+$C726,CONFIG!$I$5:$J$60,2,FALSE),"sin cotiz")))</f>
        <v/>
      </c>
      <c r="K726" s="6" t="n"/>
      <c r="L726" s="6" t="n"/>
      <c r="M726" s="6" t="n"/>
    </row>
    <row r="727">
      <c r="A727" s="10" t="n"/>
      <c r="B727" s="11">
        <f>IF($A727="","",YEAR($A727))</f>
        <v/>
      </c>
      <c r="C727" s="11">
        <f>IF($A727="","",MONTH($A727))</f>
        <v/>
      </c>
      <c r="D727" s="6" t="n"/>
      <c r="E727" s="6" t="n"/>
      <c r="F727" s="6" t="n"/>
      <c r="G727" s="6" t="n"/>
      <c r="H727" s="6" t="n"/>
      <c r="I727" s="8" t="n"/>
      <c r="J727" s="12">
        <f>IF($I727="","",IF($H727="U$D",$I727,IFERROR($I727/VLOOKUP($B727*100+$C727,CONFIG!$I$5:$J$60,2,FALSE),"sin cotiz")))</f>
        <v/>
      </c>
      <c r="K727" s="6" t="n"/>
      <c r="L727" s="6" t="n"/>
      <c r="M727" s="6" t="n"/>
    </row>
    <row r="728">
      <c r="A728" s="10" t="n"/>
      <c r="B728" s="11">
        <f>IF($A728="","",YEAR($A728))</f>
        <v/>
      </c>
      <c r="C728" s="11">
        <f>IF($A728="","",MONTH($A728))</f>
        <v/>
      </c>
      <c r="D728" s="6" t="n"/>
      <c r="E728" s="6" t="n"/>
      <c r="F728" s="6" t="n"/>
      <c r="G728" s="6" t="n"/>
      <c r="H728" s="6" t="n"/>
      <c r="I728" s="8" t="n"/>
      <c r="J728" s="12">
        <f>IF($I728="","",IF($H728="U$D",$I728,IFERROR($I728/VLOOKUP($B728*100+$C728,CONFIG!$I$5:$J$60,2,FALSE),"sin cotiz")))</f>
        <v/>
      </c>
      <c r="K728" s="6" t="n"/>
      <c r="L728" s="6" t="n"/>
      <c r="M728" s="6" t="n"/>
    </row>
    <row r="729">
      <c r="A729" s="10" t="n"/>
      <c r="B729" s="11">
        <f>IF($A729="","",YEAR($A729))</f>
        <v/>
      </c>
      <c r="C729" s="11">
        <f>IF($A729="","",MONTH($A729))</f>
        <v/>
      </c>
      <c r="D729" s="6" t="n"/>
      <c r="E729" s="6" t="n"/>
      <c r="F729" s="6" t="n"/>
      <c r="G729" s="6" t="n"/>
      <c r="H729" s="6" t="n"/>
      <c r="I729" s="8" t="n"/>
      <c r="J729" s="12">
        <f>IF($I729="","",IF($H729="U$D",$I729,IFERROR($I729/VLOOKUP($B729*100+$C729,CONFIG!$I$5:$J$60,2,FALSE),"sin cotiz")))</f>
        <v/>
      </c>
      <c r="K729" s="6" t="n"/>
      <c r="L729" s="6" t="n"/>
      <c r="M729" s="6" t="n"/>
    </row>
    <row r="730">
      <c r="A730" s="10" t="n"/>
      <c r="B730" s="11">
        <f>IF($A730="","",YEAR($A730))</f>
        <v/>
      </c>
      <c r="C730" s="11">
        <f>IF($A730="","",MONTH($A730))</f>
        <v/>
      </c>
      <c r="D730" s="6" t="n"/>
      <c r="E730" s="6" t="n"/>
      <c r="F730" s="6" t="n"/>
      <c r="G730" s="6" t="n"/>
      <c r="H730" s="6" t="n"/>
      <c r="I730" s="8" t="n"/>
      <c r="J730" s="12">
        <f>IF($I730="","",IF($H730="U$D",$I730,IFERROR($I730/VLOOKUP($B730*100+$C730,CONFIG!$I$5:$J$60,2,FALSE),"sin cotiz")))</f>
        <v/>
      </c>
      <c r="K730" s="6" t="n"/>
      <c r="L730" s="6" t="n"/>
      <c r="M730" s="6" t="n"/>
    </row>
    <row r="731">
      <c r="A731" s="10" t="n"/>
      <c r="B731" s="11">
        <f>IF($A731="","",YEAR($A731))</f>
        <v/>
      </c>
      <c r="C731" s="11">
        <f>IF($A731="","",MONTH($A731))</f>
        <v/>
      </c>
      <c r="D731" s="6" t="n"/>
      <c r="E731" s="6" t="n"/>
      <c r="F731" s="6" t="n"/>
      <c r="G731" s="6" t="n"/>
      <c r="H731" s="6" t="n"/>
      <c r="I731" s="8" t="n"/>
      <c r="J731" s="12">
        <f>IF($I731="","",IF($H731="U$D",$I731,IFERROR($I731/VLOOKUP($B731*100+$C731,CONFIG!$I$5:$J$60,2,FALSE),"sin cotiz")))</f>
        <v/>
      </c>
      <c r="K731" s="6" t="n"/>
      <c r="L731" s="6" t="n"/>
      <c r="M731" s="6" t="n"/>
    </row>
    <row r="732">
      <c r="A732" s="10" t="n"/>
      <c r="B732" s="11">
        <f>IF($A732="","",YEAR($A732))</f>
        <v/>
      </c>
      <c r="C732" s="11">
        <f>IF($A732="","",MONTH($A732))</f>
        <v/>
      </c>
      <c r="D732" s="6" t="n"/>
      <c r="E732" s="6" t="n"/>
      <c r="F732" s="6" t="n"/>
      <c r="G732" s="6" t="n"/>
      <c r="H732" s="6" t="n"/>
      <c r="I732" s="8" t="n"/>
      <c r="J732" s="12">
        <f>IF($I732="","",IF($H732="U$D",$I732,IFERROR($I732/VLOOKUP($B732*100+$C732,CONFIG!$I$5:$J$60,2,FALSE),"sin cotiz")))</f>
        <v/>
      </c>
      <c r="K732" s="6" t="n"/>
      <c r="L732" s="6" t="n"/>
      <c r="M732" s="6" t="n"/>
    </row>
    <row r="733">
      <c r="A733" s="10" t="n"/>
      <c r="B733" s="11">
        <f>IF($A733="","",YEAR($A733))</f>
        <v/>
      </c>
      <c r="C733" s="11">
        <f>IF($A733="","",MONTH($A733))</f>
        <v/>
      </c>
      <c r="D733" s="6" t="n"/>
      <c r="E733" s="6" t="n"/>
      <c r="F733" s="6" t="n"/>
      <c r="G733" s="6" t="n"/>
      <c r="H733" s="6" t="n"/>
      <c r="I733" s="8" t="n"/>
      <c r="J733" s="12">
        <f>IF($I733="","",IF($H733="U$D",$I733,IFERROR($I733/VLOOKUP($B733*100+$C733,CONFIG!$I$5:$J$60,2,FALSE),"sin cotiz")))</f>
        <v/>
      </c>
      <c r="K733" s="6" t="n"/>
      <c r="L733" s="6" t="n"/>
      <c r="M733" s="6" t="n"/>
    </row>
    <row r="734">
      <c r="A734" s="10" t="n"/>
      <c r="B734" s="11">
        <f>IF($A734="","",YEAR($A734))</f>
        <v/>
      </c>
      <c r="C734" s="11">
        <f>IF($A734="","",MONTH($A734))</f>
        <v/>
      </c>
      <c r="D734" s="6" t="n"/>
      <c r="E734" s="6" t="n"/>
      <c r="F734" s="6" t="n"/>
      <c r="G734" s="6" t="n"/>
      <c r="H734" s="6" t="n"/>
      <c r="I734" s="8" t="n"/>
      <c r="J734" s="12">
        <f>IF($I734="","",IF($H734="U$D",$I734,IFERROR($I734/VLOOKUP($B734*100+$C734,CONFIG!$I$5:$J$60,2,FALSE),"sin cotiz")))</f>
        <v/>
      </c>
      <c r="K734" s="6" t="n"/>
      <c r="L734" s="6" t="n"/>
      <c r="M734" s="6" t="n"/>
    </row>
    <row r="735">
      <c r="A735" s="10" t="n"/>
      <c r="B735" s="11">
        <f>IF($A735="","",YEAR($A735))</f>
        <v/>
      </c>
      <c r="C735" s="11">
        <f>IF($A735="","",MONTH($A735))</f>
        <v/>
      </c>
      <c r="D735" s="6" t="n"/>
      <c r="E735" s="6" t="n"/>
      <c r="F735" s="6" t="n"/>
      <c r="G735" s="6" t="n"/>
      <c r="H735" s="6" t="n"/>
      <c r="I735" s="8" t="n"/>
      <c r="J735" s="12">
        <f>IF($I735="","",IF($H735="U$D",$I735,IFERROR($I735/VLOOKUP($B735*100+$C735,CONFIG!$I$5:$J$60,2,FALSE),"sin cotiz")))</f>
        <v/>
      </c>
      <c r="K735" s="6" t="n"/>
      <c r="L735" s="6" t="n"/>
      <c r="M735" s="6" t="n"/>
    </row>
    <row r="736">
      <c r="A736" s="10" t="n"/>
      <c r="B736" s="11">
        <f>IF($A736="","",YEAR($A736))</f>
        <v/>
      </c>
      <c r="C736" s="11">
        <f>IF($A736="","",MONTH($A736))</f>
        <v/>
      </c>
      <c r="D736" s="6" t="n"/>
      <c r="E736" s="6" t="n"/>
      <c r="F736" s="6" t="n"/>
      <c r="G736" s="6" t="n"/>
      <c r="H736" s="6" t="n"/>
      <c r="I736" s="8" t="n"/>
      <c r="J736" s="12">
        <f>IF($I736="","",IF($H736="U$D",$I736,IFERROR($I736/VLOOKUP($B736*100+$C736,CONFIG!$I$5:$J$60,2,FALSE),"sin cotiz")))</f>
        <v/>
      </c>
      <c r="K736" s="6" t="n"/>
      <c r="L736" s="6" t="n"/>
      <c r="M736" s="6" t="n"/>
    </row>
    <row r="737">
      <c r="A737" s="10" t="n"/>
      <c r="B737" s="11">
        <f>IF($A737="","",YEAR($A737))</f>
        <v/>
      </c>
      <c r="C737" s="11">
        <f>IF($A737="","",MONTH($A737))</f>
        <v/>
      </c>
      <c r="D737" s="6" t="n"/>
      <c r="E737" s="6" t="n"/>
      <c r="F737" s="6" t="n"/>
      <c r="G737" s="6" t="n"/>
      <c r="H737" s="6" t="n"/>
      <c r="I737" s="8" t="n"/>
      <c r="J737" s="12">
        <f>IF($I737="","",IF($H737="U$D",$I737,IFERROR($I737/VLOOKUP($B737*100+$C737,CONFIG!$I$5:$J$60,2,FALSE),"sin cotiz")))</f>
        <v/>
      </c>
      <c r="K737" s="6" t="n"/>
      <c r="L737" s="6" t="n"/>
      <c r="M737" s="6" t="n"/>
    </row>
    <row r="738">
      <c r="A738" s="10" t="n"/>
      <c r="B738" s="11">
        <f>IF($A738="","",YEAR($A738))</f>
        <v/>
      </c>
      <c r="C738" s="11">
        <f>IF($A738="","",MONTH($A738))</f>
        <v/>
      </c>
      <c r="D738" s="6" t="n"/>
      <c r="E738" s="6" t="n"/>
      <c r="F738" s="6" t="n"/>
      <c r="G738" s="6" t="n"/>
      <c r="H738" s="6" t="n"/>
      <c r="I738" s="8" t="n"/>
      <c r="J738" s="12">
        <f>IF($I738="","",IF($H738="U$D",$I738,IFERROR($I738/VLOOKUP($B738*100+$C738,CONFIG!$I$5:$J$60,2,FALSE),"sin cotiz")))</f>
        <v/>
      </c>
      <c r="K738" s="6" t="n"/>
      <c r="L738" s="6" t="n"/>
      <c r="M738" s="6" t="n"/>
    </row>
    <row r="739">
      <c r="A739" s="10" t="n"/>
      <c r="B739" s="11">
        <f>IF($A739="","",YEAR($A739))</f>
        <v/>
      </c>
      <c r="C739" s="11">
        <f>IF($A739="","",MONTH($A739))</f>
        <v/>
      </c>
      <c r="D739" s="6" t="n"/>
      <c r="E739" s="6" t="n"/>
      <c r="F739" s="6" t="n"/>
      <c r="G739" s="6" t="n"/>
      <c r="H739" s="6" t="n"/>
      <c r="I739" s="8" t="n"/>
      <c r="J739" s="12">
        <f>IF($I739="","",IF($H739="U$D",$I739,IFERROR($I739/VLOOKUP($B739*100+$C739,CONFIG!$I$5:$J$60,2,FALSE),"sin cotiz")))</f>
        <v/>
      </c>
      <c r="K739" s="6" t="n"/>
      <c r="L739" s="6" t="n"/>
      <c r="M739" s="6" t="n"/>
    </row>
    <row r="740">
      <c r="A740" s="10" t="n"/>
      <c r="B740" s="11">
        <f>IF($A740="","",YEAR($A740))</f>
        <v/>
      </c>
      <c r="C740" s="11">
        <f>IF($A740="","",MONTH($A740))</f>
        <v/>
      </c>
      <c r="D740" s="6" t="n"/>
      <c r="E740" s="6" t="n"/>
      <c r="F740" s="6" t="n"/>
      <c r="G740" s="6" t="n"/>
      <c r="H740" s="6" t="n"/>
      <c r="I740" s="8" t="n"/>
      <c r="J740" s="12">
        <f>IF($I740="","",IF($H740="U$D",$I740,IFERROR($I740/VLOOKUP($B740*100+$C740,CONFIG!$I$5:$J$60,2,FALSE),"sin cotiz")))</f>
        <v/>
      </c>
      <c r="K740" s="6" t="n"/>
      <c r="L740" s="6" t="n"/>
      <c r="M740" s="6" t="n"/>
    </row>
    <row r="741">
      <c r="A741" s="10" t="n"/>
      <c r="B741" s="11">
        <f>IF($A741="","",YEAR($A741))</f>
        <v/>
      </c>
      <c r="C741" s="11">
        <f>IF($A741="","",MONTH($A741))</f>
        <v/>
      </c>
      <c r="D741" s="6" t="n"/>
      <c r="E741" s="6" t="n"/>
      <c r="F741" s="6" t="n"/>
      <c r="G741" s="6" t="n"/>
      <c r="H741" s="6" t="n"/>
      <c r="I741" s="8" t="n"/>
      <c r="J741" s="12">
        <f>IF($I741="","",IF($H741="U$D",$I741,IFERROR($I741/VLOOKUP($B741*100+$C741,CONFIG!$I$5:$J$60,2,FALSE),"sin cotiz")))</f>
        <v/>
      </c>
      <c r="K741" s="6" t="n"/>
      <c r="L741" s="6" t="n"/>
      <c r="M741" s="6" t="n"/>
    </row>
    <row r="742">
      <c r="A742" s="10" t="n"/>
      <c r="B742" s="11">
        <f>IF($A742="","",YEAR($A742))</f>
        <v/>
      </c>
      <c r="C742" s="11">
        <f>IF($A742="","",MONTH($A742))</f>
        <v/>
      </c>
      <c r="D742" s="6" t="n"/>
      <c r="E742" s="6" t="n"/>
      <c r="F742" s="6" t="n"/>
      <c r="G742" s="6" t="n"/>
      <c r="H742" s="6" t="n"/>
      <c r="I742" s="8" t="n"/>
      <c r="J742" s="12">
        <f>IF($I742="","",IF($H742="U$D",$I742,IFERROR($I742/VLOOKUP($B742*100+$C742,CONFIG!$I$5:$J$60,2,FALSE),"sin cotiz")))</f>
        <v/>
      </c>
      <c r="K742" s="6" t="n"/>
      <c r="L742" s="6" t="n"/>
      <c r="M742" s="6" t="n"/>
    </row>
    <row r="743">
      <c r="A743" s="10" t="n"/>
      <c r="B743" s="11">
        <f>IF($A743="","",YEAR($A743))</f>
        <v/>
      </c>
      <c r="C743" s="11">
        <f>IF($A743="","",MONTH($A743))</f>
        <v/>
      </c>
      <c r="D743" s="6" t="n"/>
      <c r="E743" s="6" t="n"/>
      <c r="F743" s="6" t="n"/>
      <c r="G743" s="6" t="n"/>
      <c r="H743" s="6" t="n"/>
      <c r="I743" s="8" t="n"/>
      <c r="J743" s="12">
        <f>IF($I743="","",IF($H743="U$D",$I743,IFERROR($I743/VLOOKUP($B743*100+$C743,CONFIG!$I$5:$J$60,2,FALSE),"sin cotiz")))</f>
        <v/>
      </c>
      <c r="K743" s="6" t="n"/>
      <c r="L743" s="6" t="n"/>
      <c r="M743" s="6" t="n"/>
    </row>
    <row r="744">
      <c r="A744" s="10" t="n"/>
      <c r="B744" s="11">
        <f>IF($A744="","",YEAR($A744))</f>
        <v/>
      </c>
      <c r="C744" s="11">
        <f>IF($A744="","",MONTH($A744))</f>
        <v/>
      </c>
      <c r="D744" s="6" t="n"/>
      <c r="E744" s="6" t="n"/>
      <c r="F744" s="6" t="n"/>
      <c r="G744" s="6" t="n"/>
      <c r="H744" s="6" t="n"/>
      <c r="I744" s="8" t="n"/>
      <c r="J744" s="12">
        <f>IF($I744="","",IF($H744="U$D",$I744,IFERROR($I744/VLOOKUP($B744*100+$C744,CONFIG!$I$5:$J$60,2,FALSE),"sin cotiz")))</f>
        <v/>
      </c>
      <c r="K744" s="6" t="n"/>
      <c r="L744" s="6" t="n"/>
      <c r="M744" s="6" t="n"/>
    </row>
    <row r="745">
      <c r="A745" s="10" t="n"/>
      <c r="B745" s="11">
        <f>IF($A745="","",YEAR($A745))</f>
        <v/>
      </c>
      <c r="C745" s="11">
        <f>IF($A745="","",MONTH($A745))</f>
        <v/>
      </c>
      <c r="D745" s="6" t="n"/>
      <c r="E745" s="6" t="n"/>
      <c r="F745" s="6" t="n"/>
      <c r="G745" s="6" t="n"/>
      <c r="H745" s="6" t="n"/>
      <c r="I745" s="8" t="n"/>
      <c r="J745" s="12">
        <f>IF($I745="","",IF($H745="U$D",$I745,IFERROR($I745/VLOOKUP($B745*100+$C745,CONFIG!$I$5:$J$60,2,FALSE),"sin cotiz")))</f>
        <v/>
      </c>
      <c r="K745" s="6" t="n"/>
      <c r="L745" s="6" t="n"/>
      <c r="M745" s="6" t="n"/>
    </row>
    <row r="746">
      <c r="A746" s="10" t="n"/>
      <c r="B746" s="11">
        <f>IF($A746="","",YEAR($A746))</f>
        <v/>
      </c>
      <c r="C746" s="11">
        <f>IF($A746="","",MONTH($A746))</f>
        <v/>
      </c>
      <c r="D746" s="6" t="n"/>
      <c r="E746" s="6" t="n"/>
      <c r="F746" s="6" t="n"/>
      <c r="G746" s="6" t="n"/>
      <c r="H746" s="6" t="n"/>
      <c r="I746" s="8" t="n"/>
      <c r="J746" s="12">
        <f>IF($I746="","",IF($H746="U$D",$I746,IFERROR($I746/VLOOKUP($B746*100+$C746,CONFIG!$I$5:$J$60,2,FALSE),"sin cotiz")))</f>
        <v/>
      </c>
      <c r="K746" s="6" t="n"/>
      <c r="L746" s="6" t="n"/>
      <c r="M746" s="6" t="n"/>
    </row>
    <row r="747">
      <c r="A747" s="10" t="n"/>
      <c r="B747" s="11">
        <f>IF($A747="","",YEAR($A747))</f>
        <v/>
      </c>
      <c r="C747" s="11">
        <f>IF($A747="","",MONTH($A747))</f>
        <v/>
      </c>
      <c r="D747" s="6" t="n"/>
      <c r="E747" s="6" t="n"/>
      <c r="F747" s="6" t="n"/>
      <c r="G747" s="6" t="n"/>
      <c r="H747" s="6" t="n"/>
      <c r="I747" s="8" t="n"/>
      <c r="J747" s="12">
        <f>IF($I747="","",IF($H747="U$D",$I747,IFERROR($I747/VLOOKUP($B747*100+$C747,CONFIG!$I$5:$J$60,2,FALSE),"sin cotiz")))</f>
        <v/>
      </c>
      <c r="K747" s="6" t="n"/>
      <c r="L747" s="6" t="n"/>
      <c r="M747" s="6" t="n"/>
    </row>
    <row r="748">
      <c r="A748" s="10" t="n"/>
      <c r="B748" s="11">
        <f>IF($A748="","",YEAR($A748))</f>
        <v/>
      </c>
      <c r="C748" s="11">
        <f>IF($A748="","",MONTH($A748))</f>
        <v/>
      </c>
      <c r="D748" s="6" t="n"/>
      <c r="E748" s="6" t="n"/>
      <c r="F748" s="6" t="n"/>
      <c r="G748" s="6" t="n"/>
      <c r="H748" s="6" t="n"/>
      <c r="I748" s="8" t="n"/>
      <c r="J748" s="12">
        <f>IF($I748="","",IF($H748="U$D",$I748,IFERROR($I748/VLOOKUP($B748*100+$C748,CONFIG!$I$5:$J$60,2,FALSE),"sin cotiz")))</f>
        <v/>
      </c>
      <c r="K748" s="6" t="n"/>
      <c r="L748" s="6" t="n"/>
      <c r="M748" s="6" t="n"/>
    </row>
    <row r="749">
      <c r="A749" s="10" t="n"/>
      <c r="B749" s="11">
        <f>IF($A749="","",YEAR($A749))</f>
        <v/>
      </c>
      <c r="C749" s="11">
        <f>IF($A749="","",MONTH($A749))</f>
        <v/>
      </c>
      <c r="D749" s="6" t="n"/>
      <c r="E749" s="6" t="n"/>
      <c r="F749" s="6" t="n"/>
      <c r="G749" s="6" t="n"/>
      <c r="H749" s="6" t="n"/>
      <c r="I749" s="8" t="n"/>
      <c r="J749" s="12">
        <f>IF($I749="","",IF($H749="U$D",$I749,IFERROR($I749/VLOOKUP($B749*100+$C749,CONFIG!$I$5:$J$60,2,FALSE),"sin cotiz")))</f>
        <v/>
      </c>
      <c r="K749" s="6" t="n"/>
      <c r="L749" s="6" t="n"/>
      <c r="M749" s="6" t="n"/>
    </row>
    <row r="750">
      <c r="A750" s="10" t="n"/>
      <c r="B750" s="11">
        <f>IF($A750="","",YEAR($A750))</f>
        <v/>
      </c>
      <c r="C750" s="11">
        <f>IF($A750="","",MONTH($A750))</f>
        <v/>
      </c>
      <c r="D750" s="6" t="n"/>
      <c r="E750" s="6" t="n"/>
      <c r="F750" s="6" t="n"/>
      <c r="G750" s="6" t="n"/>
      <c r="H750" s="6" t="n"/>
      <c r="I750" s="8" t="n"/>
      <c r="J750" s="12">
        <f>IF($I750="","",IF($H750="U$D",$I750,IFERROR($I750/VLOOKUP($B750*100+$C750,CONFIG!$I$5:$J$60,2,FALSE),"sin cotiz")))</f>
        <v/>
      </c>
      <c r="K750" s="6" t="n"/>
      <c r="L750" s="6" t="n"/>
      <c r="M750" s="6" t="n"/>
    </row>
    <row r="751">
      <c r="A751" s="10" t="n"/>
      <c r="B751" s="11">
        <f>IF($A751="","",YEAR($A751))</f>
        <v/>
      </c>
      <c r="C751" s="11">
        <f>IF($A751="","",MONTH($A751))</f>
        <v/>
      </c>
      <c r="D751" s="6" t="n"/>
      <c r="E751" s="6" t="n"/>
      <c r="F751" s="6" t="n"/>
      <c r="G751" s="6" t="n"/>
      <c r="H751" s="6" t="n"/>
      <c r="I751" s="8" t="n"/>
      <c r="J751" s="12">
        <f>IF($I751="","",IF($H751="U$D",$I751,IFERROR($I751/VLOOKUP($B751*100+$C751,CONFIG!$I$5:$J$60,2,FALSE),"sin cotiz")))</f>
        <v/>
      </c>
      <c r="K751" s="6" t="n"/>
      <c r="L751" s="6" t="n"/>
      <c r="M751" s="6" t="n"/>
    </row>
    <row r="752">
      <c r="A752" s="10" t="n"/>
      <c r="B752" s="11">
        <f>IF($A752="","",YEAR($A752))</f>
        <v/>
      </c>
      <c r="C752" s="11">
        <f>IF($A752="","",MONTH($A752))</f>
        <v/>
      </c>
      <c r="D752" s="6" t="n"/>
      <c r="E752" s="6" t="n"/>
      <c r="F752" s="6" t="n"/>
      <c r="G752" s="6" t="n"/>
      <c r="H752" s="6" t="n"/>
      <c r="I752" s="8" t="n"/>
      <c r="J752" s="12">
        <f>IF($I752="","",IF($H752="U$D",$I752,IFERROR($I752/VLOOKUP($B752*100+$C752,CONFIG!$I$5:$J$60,2,FALSE),"sin cotiz")))</f>
        <v/>
      </c>
      <c r="K752" s="6" t="n"/>
      <c r="L752" s="6" t="n"/>
      <c r="M752" s="6" t="n"/>
    </row>
    <row r="753">
      <c r="A753" s="10" t="n"/>
      <c r="B753" s="11">
        <f>IF($A753="","",YEAR($A753))</f>
        <v/>
      </c>
      <c r="C753" s="11">
        <f>IF($A753="","",MONTH($A753))</f>
        <v/>
      </c>
      <c r="D753" s="6" t="n"/>
      <c r="E753" s="6" t="n"/>
      <c r="F753" s="6" t="n"/>
      <c r="G753" s="6" t="n"/>
      <c r="H753" s="6" t="n"/>
      <c r="I753" s="8" t="n"/>
      <c r="J753" s="12">
        <f>IF($I753="","",IF($H753="U$D",$I753,IFERROR($I753/VLOOKUP($B753*100+$C753,CONFIG!$I$5:$J$60,2,FALSE),"sin cotiz")))</f>
        <v/>
      </c>
      <c r="K753" s="6" t="n"/>
      <c r="L753" s="6" t="n"/>
      <c r="M753" s="6" t="n"/>
    </row>
    <row r="754">
      <c r="A754" s="10" t="n"/>
      <c r="B754" s="11">
        <f>IF($A754="","",YEAR($A754))</f>
        <v/>
      </c>
      <c r="C754" s="11">
        <f>IF($A754="","",MONTH($A754))</f>
        <v/>
      </c>
      <c r="D754" s="6" t="n"/>
      <c r="E754" s="6" t="n"/>
      <c r="F754" s="6" t="n"/>
      <c r="G754" s="6" t="n"/>
      <c r="H754" s="6" t="n"/>
      <c r="I754" s="8" t="n"/>
      <c r="J754" s="12">
        <f>IF($I754="","",IF($H754="U$D",$I754,IFERROR($I754/VLOOKUP($B754*100+$C754,CONFIG!$I$5:$J$60,2,FALSE),"sin cotiz")))</f>
        <v/>
      </c>
      <c r="K754" s="6" t="n"/>
      <c r="L754" s="6" t="n"/>
      <c r="M754" s="6" t="n"/>
    </row>
    <row r="755">
      <c r="A755" s="10" t="n"/>
      <c r="B755" s="11">
        <f>IF($A755="","",YEAR($A755))</f>
        <v/>
      </c>
      <c r="C755" s="11">
        <f>IF($A755="","",MONTH($A755))</f>
        <v/>
      </c>
      <c r="D755" s="6" t="n"/>
      <c r="E755" s="6" t="n"/>
      <c r="F755" s="6" t="n"/>
      <c r="G755" s="6" t="n"/>
      <c r="H755" s="6" t="n"/>
      <c r="I755" s="8" t="n"/>
      <c r="J755" s="12">
        <f>IF($I755="","",IF($H755="U$D",$I755,IFERROR($I755/VLOOKUP($B755*100+$C755,CONFIG!$I$5:$J$60,2,FALSE),"sin cotiz")))</f>
        <v/>
      </c>
      <c r="K755" s="6" t="n"/>
      <c r="L755" s="6" t="n"/>
      <c r="M755" s="6" t="n"/>
    </row>
    <row r="756">
      <c r="A756" s="10" t="n"/>
      <c r="B756" s="11">
        <f>IF($A756="","",YEAR($A756))</f>
        <v/>
      </c>
      <c r="C756" s="11">
        <f>IF($A756="","",MONTH($A756))</f>
        <v/>
      </c>
      <c r="D756" s="6" t="n"/>
      <c r="E756" s="6" t="n"/>
      <c r="F756" s="6" t="n"/>
      <c r="G756" s="6" t="n"/>
      <c r="H756" s="6" t="n"/>
      <c r="I756" s="8" t="n"/>
      <c r="J756" s="12">
        <f>IF($I756="","",IF($H756="U$D",$I756,IFERROR($I756/VLOOKUP($B756*100+$C756,CONFIG!$I$5:$J$60,2,FALSE),"sin cotiz")))</f>
        <v/>
      </c>
      <c r="K756" s="6" t="n"/>
      <c r="L756" s="6" t="n"/>
      <c r="M756" s="6" t="n"/>
    </row>
    <row r="757">
      <c r="A757" s="10" t="n"/>
      <c r="B757" s="11">
        <f>IF($A757="","",YEAR($A757))</f>
        <v/>
      </c>
      <c r="C757" s="11">
        <f>IF($A757="","",MONTH($A757))</f>
        <v/>
      </c>
      <c r="D757" s="6" t="n"/>
      <c r="E757" s="6" t="n"/>
      <c r="F757" s="6" t="n"/>
      <c r="G757" s="6" t="n"/>
      <c r="H757" s="6" t="n"/>
      <c r="I757" s="8" t="n"/>
      <c r="J757" s="12">
        <f>IF($I757="","",IF($H757="U$D",$I757,IFERROR($I757/VLOOKUP($B757*100+$C757,CONFIG!$I$5:$J$60,2,FALSE),"sin cotiz")))</f>
        <v/>
      </c>
      <c r="K757" s="6" t="n"/>
      <c r="L757" s="6" t="n"/>
      <c r="M757" s="6" t="n"/>
    </row>
    <row r="758">
      <c r="A758" s="10" t="n"/>
      <c r="B758" s="11">
        <f>IF($A758="","",YEAR($A758))</f>
        <v/>
      </c>
      <c r="C758" s="11">
        <f>IF($A758="","",MONTH($A758))</f>
        <v/>
      </c>
      <c r="D758" s="6" t="n"/>
      <c r="E758" s="6" t="n"/>
      <c r="F758" s="6" t="n"/>
      <c r="G758" s="6" t="n"/>
      <c r="H758" s="6" t="n"/>
      <c r="I758" s="8" t="n"/>
      <c r="J758" s="12">
        <f>IF($I758="","",IF($H758="U$D",$I758,IFERROR($I758/VLOOKUP($B758*100+$C758,CONFIG!$I$5:$J$60,2,FALSE),"sin cotiz")))</f>
        <v/>
      </c>
      <c r="K758" s="6" t="n"/>
      <c r="L758" s="6" t="n"/>
      <c r="M758" s="6" t="n"/>
    </row>
    <row r="759">
      <c r="A759" s="10" t="n"/>
      <c r="B759" s="11">
        <f>IF($A759="","",YEAR($A759))</f>
        <v/>
      </c>
      <c r="C759" s="11">
        <f>IF($A759="","",MONTH($A759))</f>
        <v/>
      </c>
      <c r="D759" s="6" t="n"/>
      <c r="E759" s="6" t="n"/>
      <c r="F759" s="6" t="n"/>
      <c r="G759" s="6" t="n"/>
      <c r="H759" s="6" t="n"/>
      <c r="I759" s="8" t="n"/>
      <c r="J759" s="12">
        <f>IF($I759="","",IF($H759="U$D",$I759,IFERROR($I759/VLOOKUP($B759*100+$C759,CONFIG!$I$5:$J$60,2,FALSE),"sin cotiz")))</f>
        <v/>
      </c>
      <c r="K759" s="6" t="n"/>
      <c r="L759" s="6" t="n"/>
      <c r="M759" s="6" t="n"/>
    </row>
    <row r="760">
      <c r="A760" s="10" t="n"/>
      <c r="B760" s="11">
        <f>IF($A760="","",YEAR($A760))</f>
        <v/>
      </c>
      <c r="C760" s="11">
        <f>IF($A760="","",MONTH($A760))</f>
        <v/>
      </c>
      <c r="D760" s="6" t="n"/>
      <c r="E760" s="6" t="n"/>
      <c r="F760" s="6" t="n"/>
      <c r="G760" s="6" t="n"/>
      <c r="H760" s="6" t="n"/>
      <c r="I760" s="8" t="n"/>
      <c r="J760" s="12">
        <f>IF($I760="","",IF($H760="U$D",$I760,IFERROR($I760/VLOOKUP($B760*100+$C760,CONFIG!$I$5:$J$60,2,FALSE),"sin cotiz")))</f>
        <v/>
      </c>
      <c r="K760" s="6" t="n"/>
      <c r="L760" s="6" t="n"/>
      <c r="M760" s="6" t="n"/>
    </row>
    <row r="761">
      <c r="A761" s="10" t="n"/>
      <c r="B761" s="11">
        <f>IF($A761="","",YEAR($A761))</f>
        <v/>
      </c>
      <c r="C761" s="11">
        <f>IF($A761="","",MONTH($A761))</f>
        <v/>
      </c>
      <c r="D761" s="6" t="n"/>
      <c r="E761" s="6" t="n"/>
      <c r="F761" s="6" t="n"/>
      <c r="G761" s="6" t="n"/>
      <c r="H761" s="6" t="n"/>
      <c r="I761" s="8" t="n"/>
      <c r="J761" s="12">
        <f>IF($I761="","",IF($H761="U$D",$I761,IFERROR($I761/VLOOKUP($B761*100+$C761,CONFIG!$I$5:$J$60,2,FALSE),"sin cotiz")))</f>
        <v/>
      </c>
      <c r="K761" s="6" t="n"/>
      <c r="L761" s="6" t="n"/>
      <c r="M761" s="6" t="n"/>
    </row>
    <row r="762">
      <c r="A762" s="10" t="n"/>
      <c r="B762" s="11">
        <f>IF($A762="","",YEAR($A762))</f>
        <v/>
      </c>
      <c r="C762" s="11">
        <f>IF($A762="","",MONTH($A762))</f>
        <v/>
      </c>
      <c r="D762" s="6" t="n"/>
      <c r="E762" s="6" t="n"/>
      <c r="F762" s="6" t="n"/>
      <c r="G762" s="6" t="n"/>
      <c r="H762" s="6" t="n"/>
      <c r="I762" s="8" t="n"/>
      <c r="J762" s="12">
        <f>IF($I762="","",IF($H762="U$D",$I762,IFERROR($I762/VLOOKUP($B762*100+$C762,CONFIG!$I$5:$J$60,2,FALSE),"sin cotiz")))</f>
        <v/>
      </c>
      <c r="K762" s="6" t="n"/>
      <c r="L762" s="6" t="n"/>
      <c r="M762" s="6" t="n"/>
    </row>
    <row r="763">
      <c r="A763" s="10" t="n"/>
      <c r="B763" s="11">
        <f>IF($A763="","",YEAR($A763))</f>
        <v/>
      </c>
      <c r="C763" s="11">
        <f>IF($A763="","",MONTH($A763))</f>
        <v/>
      </c>
      <c r="D763" s="6" t="n"/>
      <c r="E763" s="6" t="n"/>
      <c r="F763" s="6" t="n"/>
      <c r="G763" s="6" t="n"/>
      <c r="H763" s="6" t="n"/>
      <c r="I763" s="8" t="n"/>
      <c r="J763" s="12">
        <f>IF($I763="","",IF($H763="U$D",$I763,IFERROR($I763/VLOOKUP($B763*100+$C763,CONFIG!$I$5:$J$60,2,FALSE),"sin cotiz")))</f>
        <v/>
      </c>
      <c r="K763" s="6" t="n"/>
      <c r="L763" s="6" t="n"/>
      <c r="M763" s="6" t="n"/>
    </row>
    <row r="764">
      <c r="A764" s="10" t="n"/>
      <c r="B764" s="11">
        <f>IF($A764="","",YEAR($A764))</f>
        <v/>
      </c>
      <c r="C764" s="11">
        <f>IF($A764="","",MONTH($A764))</f>
        <v/>
      </c>
      <c r="D764" s="6" t="n"/>
      <c r="E764" s="6" t="n"/>
      <c r="F764" s="6" t="n"/>
      <c r="G764" s="6" t="n"/>
      <c r="H764" s="6" t="n"/>
      <c r="I764" s="8" t="n"/>
      <c r="J764" s="12">
        <f>IF($I764="","",IF($H764="U$D",$I764,IFERROR($I764/VLOOKUP($B764*100+$C764,CONFIG!$I$5:$J$60,2,FALSE),"sin cotiz")))</f>
        <v/>
      </c>
      <c r="K764" s="6" t="n"/>
      <c r="L764" s="6" t="n"/>
      <c r="M764" s="6" t="n"/>
    </row>
    <row r="765">
      <c r="A765" s="10" t="n"/>
      <c r="B765" s="11">
        <f>IF($A765="","",YEAR($A765))</f>
        <v/>
      </c>
      <c r="C765" s="11">
        <f>IF($A765="","",MONTH($A765))</f>
        <v/>
      </c>
      <c r="D765" s="6" t="n"/>
      <c r="E765" s="6" t="n"/>
      <c r="F765" s="6" t="n"/>
      <c r="G765" s="6" t="n"/>
      <c r="H765" s="6" t="n"/>
      <c r="I765" s="8" t="n"/>
      <c r="J765" s="12">
        <f>IF($I765="","",IF($H765="U$D",$I765,IFERROR($I765/VLOOKUP($B765*100+$C765,CONFIG!$I$5:$J$60,2,FALSE),"sin cotiz")))</f>
        <v/>
      </c>
      <c r="K765" s="6" t="n"/>
      <c r="L765" s="6" t="n"/>
      <c r="M765" s="6" t="n"/>
    </row>
    <row r="766">
      <c r="A766" s="10" t="n"/>
      <c r="B766" s="11">
        <f>IF($A766="","",YEAR($A766))</f>
        <v/>
      </c>
      <c r="C766" s="11">
        <f>IF($A766="","",MONTH($A766))</f>
        <v/>
      </c>
      <c r="D766" s="6" t="n"/>
      <c r="E766" s="6" t="n"/>
      <c r="F766" s="6" t="n"/>
      <c r="G766" s="6" t="n"/>
      <c r="H766" s="6" t="n"/>
      <c r="I766" s="8" t="n"/>
      <c r="J766" s="12">
        <f>IF($I766="","",IF($H766="U$D",$I766,IFERROR($I766/VLOOKUP($B766*100+$C766,CONFIG!$I$5:$J$60,2,FALSE),"sin cotiz")))</f>
        <v/>
      </c>
      <c r="K766" s="6" t="n"/>
      <c r="L766" s="6" t="n"/>
      <c r="M766" s="6" t="n"/>
    </row>
    <row r="767">
      <c r="A767" s="10" t="n"/>
      <c r="B767" s="11">
        <f>IF($A767="","",YEAR($A767))</f>
        <v/>
      </c>
      <c r="C767" s="11">
        <f>IF($A767="","",MONTH($A767))</f>
        <v/>
      </c>
      <c r="D767" s="6" t="n"/>
      <c r="E767" s="6" t="n"/>
      <c r="F767" s="6" t="n"/>
      <c r="G767" s="6" t="n"/>
      <c r="H767" s="6" t="n"/>
      <c r="I767" s="8" t="n"/>
      <c r="J767" s="12">
        <f>IF($I767="","",IF($H767="U$D",$I767,IFERROR($I767/VLOOKUP($B767*100+$C767,CONFIG!$I$5:$J$60,2,FALSE),"sin cotiz")))</f>
        <v/>
      </c>
      <c r="K767" s="6" t="n"/>
      <c r="L767" s="6" t="n"/>
      <c r="M767" s="6" t="n"/>
    </row>
    <row r="768">
      <c r="A768" s="10" t="n"/>
      <c r="B768" s="11">
        <f>IF($A768="","",YEAR($A768))</f>
        <v/>
      </c>
      <c r="C768" s="11">
        <f>IF($A768="","",MONTH($A768))</f>
        <v/>
      </c>
      <c r="D768" s="6" t="n"/>
      <c r="E768" s="6" t="n"/>
      <c r="F768" s="6" t="n"/>
      <c r="G768" s="6" t="n"/>
      <c r="H768" s="6" t="n"/>
      <c r="I768" s="8" t="n"/>
      <c r="J768" s="12">
        <f>IF($I768="","",IF($H768="U$D",$I768,IFERROR($I768/VLOOKUP($B768*100+$C768,CONFIG!$I$5:$J$60,2,FALSE),"sin cotiz")))</f>
        <v/>
      </c>
      <c r="K768" s="6" t="n"/>
      <c r="L768" s="6" t="n"/>
      <c r="M768" s="6" t="n"/>
    </row>
    <row r="769">
      <c r="A769" s="10" t="n"/>
      <c r="B769" s="11">
        <f>IF($A769="","",YEAR($A769))</f>
        <v/>
      </c>
      <c r="C769" s="11">
        <f>IF($A769="","",MONTH($A769))</f>
        <v/>
      </c>
      <c r="D769" s="6" t="n"/>
      <c r="E769" s="6" t="n"/>
      <c r="F769" s="6" t="n"/>
      <c r="G769" s="6" t="n"/>
      <c r="H769" s="6" t="n"/>
      <c r="I769" s="8" t="n"/>
      <c r="J769" s="12">
        <f>IF($I769="","",IF($H769="U$D",$I769,IFERROR($I769/VLOOKUP($B769*100+$C769,CONFIG!$I$5:$J$60,2,FALSE),"sin cotiz")))</f>
        <v/>
      </c>
      <c r="K769" s="6" t="n"/>
      <c r="L769" s="6" t="n"/>
      <c r="M769" s="6" t="n"/>
    </row>
    <row r="770">
      <c r="A770" s="10" t="n"/>
      <c r="B770" s="11">
        <f>IF($A770="","",YEAR($A770))</f>
        <v/>
      </c>
      <c r="C770" s="11">
        <f>IF($A770="","",MONTH($A770))</f>
        <v/>
      </c>
      <c r="D770" s="6" t="n"/>
      <c r="E770" s="6" t="n"/>
      <c r="F770" s="6" t="n"/>
      <c r="G770" s="6" t="n"/>
      <c r="H770" s="6" t="n"/>
      <c r="I770" s="8" t="n"/>
      <c r="J770" s="12">
        <f>IF($I770="","",IF($H770="U$D",$I770,IFERROR($I770/VLOOKUP($B770*100+$C770,CONFIG!$I$5:$J$60,2,FALSE),"sin cotiz")))</f>
        <v/>
      </c>
      <c r="K770" s="6" t="n"/>
      <c r="L770" s="6" t="n"/>
      <c r="M770" s="6" t="n"/>
    </row>
    <row r="771">
      <c r="A771" s="10" t="n"/>
      <c r="B771" s="11">
        <f>IF($A771="","",YEAR($A771))</f>
        <v/>
      </c>
      <c r="C771" s="11">
        <f>IF($A771="","",MONTH($A771))</f>
        <v/>
      </c>
      <c r="D771" s="6" t="n"/>
      <c r="E771" s="6" t="n"/>
      <c r="F771" s="6" t="n"/>
      <c r="G771" s="6" t="n"/>
      <c r="H771" s="6" t="n"/>
      <c r="I771" s="8" t="n"/>
      <c r="J771" s="12">
        <f>IF($I771="","",IF($H771="U$D",$I771,IFERROR($I771/VLOOKUP($B771*100+$C771,CONFIG!$I$5:$J$60,2,FALSE),"sin cotiz")))</f>
        <v/>
      </c>
      <c r="K771" s="6" t="n"/>
      <c r="L771" s="6" t="n"/>
      <c r="M771" s="6" t="n"/>
    </row>
    <row r="772">
      <c r="A772" s="10" t="n"/>
      <c r="B772" s="11">
        <f>IF($A772="","",YEAR($A772))</f>
        <v/>
      </c>
      <c r="C772" s="11">
        <f>IF($A772="","",MONTH($A772))</f>
        <v/>
      </c>
      <c r="D772" s="6" t="n"/>
      <c r="E772" s="6" t="n"/>
      <c r="F772" s="6" t="n"/>
      <c r="G772" s="6" t="n"/>
      <c r="H772" s="6" t="n"/>
      <c r="I772" s="8" t="n"/>
      <c r="J772" s="12">
        <f>IF($I772="","",IF($H772="U$D",$I772,IFERROR($I772/VLOOKUP($B772*100+$C772,CONFIG!$I$5:$J$60,2,FALSE),"sin cotiz")))</f>
        <v/>
      </c>
      <c r="K772" s="6" t="n"/>
      <c r="L772" s="6" t="n"/>
      <c r="M772" s="6" t="n"/>
    </row>
    <row r="773">
      <c r="A773" s="10" t="n"/>
      <c r="B773" s="11">
        <f>IF($A773="","",YEAR($A773))</f>
        <v/>
      </c>
      <c r="C773" s="11">
        <f>IF($A773="","",MONTH($A773))</f>
        <v/>
      </c>
      <c r="D773" s="6" t="n"/>
      <c r="E773" s="6" t="n"/>
      <c r="F773" s="6" t="n"/>
      <c r="G773" s="6" t="n"/>
      <c r="H773" s="6" t="n"/>
      <c r="I773" s="8" t="n"/>
      <c r="J773" s="12">
        <f>IF($I773="","",IF($H773="U$D",$I773,IFERROR($I773/VLOOKUP($B773*100+$C773,CONFIG!$I$5:$J$60,2,FALSE),"sin cotiz")))</f>
        <v/>
      </c>
      <c r="K773" s="6" t="n"/>
      <c r="L773" s="6" t="n"/>
      <c r="M773" s="6" t="n"/>
    </row>
    <row r="774">
      <c r="A774" s="10" t="n"/>
      <c r="B774" s="11">
        <f>IF($A774="","",YEAR($A774))</f>
        <v/>
      </c>
      <c r="C774" s="11">
        <f>IF($A774="","",MONTH($A774))</f>
        <v/>
      </c>
      <c r="D774" s="6" t="n"/>
      <c r="E774" s="6" t="n"/>
      <c r="F774" s="6" t="n"/>
      <c r="G774" s="6" t="n"/>
      <c r="H774" s="6" t="n"/>
      <c r="I774" s="8" t="n"/>
      <c r="J774" s="12">
        <f>IF($I774="","",IF($H774="U$D",$I774,IFERROR($I774/VLOOKUP($B774*100+$C774,CONFIG!$I$5:$J$60,2,FALSE),"sin cotiz")))</f>
        <v/>
      </c>
      <c r="K774" s="6" t="n"/>
      <c r="L774" s="6" t="n"/>
      <c r="M774" s="6" t="n"/>
    </row>
    <row r="775">
      <c r="A775" s="10" t="n"/>
      <c r="B775" s="11">
        <f>IF($A775="","",YEAR($A775))</f>
        <v/>
      </c>
      <c r="C775" s="11">
        <f>IF($A775="","",MONTH($A775))</f>
        <v/>
      </c>
      <c r="D775" s="6" t="n"/>
      <c r="E775" s="6" t="n"/>
      <c r="F775" s="6" t="n"/>
      <c r="G775" s="6" t="n"/>
      <c r="H775" s="6" t="n"/>
      <c r="I775" s="8" t="n"/>
      <c r="J775" s="12">
        <f>IF($I775="","",IF($H775="U$D",$I775,IFERROR($I775/VLOOKUP($B775*100+$C775,CONFIG!$I$5:$J$60,2,FALSE),"sin cotiz")))</f>
        <v/>
      </c>
      <c r="K775" s="6" t="n"/>
      <c r="L775" s="6" t="n"/>
      <c r="M775" s="6" t="n"/>
    </row>
    <row r="776">
      <c r="A776" s="10" t="n"/>
      <c r="B776" s="11">
        <f>IF($A776="","",YEAR($A776))</f>
        <v/>
      </c>
      <c r="C776" s="11">
        <f>IF($A776="","",MONTH($A776))</f>
        <v/>
      </c>
      <c r="D776" s="6" t="n"/>
      <c r="E776" s="6" t="n"/>
      <c r="F776" s="6" t="n"/>
      <c r="G776" s="6" t="n"/>
      <c r="H776" s="6" t="n"/>
      <c r="I776" s="8" t="n"/>
      <c r="J776" s="12">
        <f>IF($I776="","",IF($H776="U$D",$I776,IFERROR($I776/VLOOKUP($B776*100+$C776,CONFIG!$I$5:$J$60,2,FALSE),"sin cotiz")))</f>
        <v/>
      </c>
      <c r="K776" s="6" t="n"/>
      <c r="L776" s="6" t="n"/>
      <c r="M776" s="6" t="n"/>
    </row>
    <row r="777">
      <c r="A777" s="10" t="n"/>
      <c r="B777" s="11">
        <f>IF($A777="","",YEAR($A777))</f>
        <v/>
      </c>
      <c r="C777" s="11">
        <f>IF($A777="","",MONTH($A777))</f>
        <v/>
      </c>
      <c r="D777" s="6" t="n"/>
      <c r="E777" s="6" t="n"/>
      <c r="F777" s="6" t="n"/>
      <c r="G777" s="6" t="n"/>
      <c r="H777" s="6" t="n"/>
      <c r="I777" s="8" t="n"/>
      <c r="J777" s="12">
        <f>IF($I777="","",IF($H777="U$D",$I777,IFERROR($I777/VLOOKUP($B777*100+$C777,CONFIG!$I$5:$J$60,2,FALSE),"sin cotiz")))</f>
        <v/>
      </c>
      <c r="K777" s="6" t="n"/>
      <c r="L777" s="6" t="n"/>
      <c r="M777" s="6" t="n"/>
    </row>
    <row r="778">
      <c r="A778" s="10" t="n"/>
      <c r="B778" s="11">
        <f>IF($A778="","",YEAR($A778))</f>
        <v/>
      </c>
      <c r="C778" s="11">
        <f>IF($A778="","",MONTH($A778))</f>
        <v/>
      </c>
      <c r="D778" s="6" t="n"/>
      <c r="E778" s="6" t="n"/>
      <c r="F778" s="6" t="n"/>
      <c r="G778" s="6" t="n"/>
      <c r="H778" s="6" t="n"/>
      <c r="I778" s="8" t="n"/>
      <c r="J778" s="12">
        <f>IF($I778="","",IF($H778="U$D",$I778,IFERROR($I778/VLOOKUP($B778*100+$C778,CONFIG!$I$5:$J$60,2,FALSE),"sin cotiz")))</f>
        <v/>
      </c>
      <c r="K778" s="6" t="n"/>
      <c r="L778" s="6" t="n"/>
      <c r="M778" s="6" t="n"/>
    </row>
    <row r="779">
      <c r="A779" s="10" t="n"/>
      <c r="B779" s="11">
        <f>IF($A779="","",YEAR($A779))</f>
        <v/>
      </c>
      <c r="C779" s="11">
        <f>IF($A779="","",MONTH($A779))</f>
        <v/>
      </c>
      <c r="D779" s="6" t="n"/>
      <c r="E779" s="6" t="n"/>
      <c r="F779" s="6" t="n"/>
      <c r="G779" s="6" t="n"/>
      <c r="H779" s="6" t="n"/>
      <c r="I779" s="8" t="n"/>
      <c r="J779" s="12">
        <f>IF($I779="","",IF($H779="U$D",$I779,IFERROR($I779/VLOOKUP($B779*100+$C779,CONFIG!$I$5:$J$60,2,FALSE),"sin cotiz")))</f>
        <v/>
      </c>
      <c r="K779" s="6" t="n"/>
      <c r="L779" s="6" t="n"/>
      <c r="M779" s="6" t="n"/>
    </row>
    <row r="780">
      <c r="A780" s="10" t="n"/>
      <c r="B780" s="11">
        <f>IF($A780="","",YEAR($A780))</f>
        <v/>
      </c>
      <c r="C780" s="11">
        <f>IF($A780="","",MONTH($A780))</f>
        <v/>
      </c>
      <c r="D780" s="6" t="n"/>
      <c r="E780" s="6" t="n"/>
      <c r="F780" s="6" t="n"/>
      <c r="G780" s="6" t="n"/>
      <c r="H780" s="6" t="n"/>
      <c r="I780" s="8" t="n"/>
      <c r="J780" s="12">
        <f>IF($I780="","",IF($H780="U$D",$I780,IFERROR($I780/VLOOKUP($B780*100+$C780,CONFIG!$I$5:$J$60,2,FALSE),"sin cotiz")))</f>
        <v/>
      </c>
      <c r="K780" s="6" t="n"/>
      <c r="L780" s="6" t="n"/>
      <c r="M780" s="6" t="n"/>
    </row>
    <row r="781">
      <c r="A781" s="10" t="n"/>
      <c r="B781" s="11">
        <f>IF($A781="","",YEAR($A781))</f>
        <v/>
      </c>
      <c r="C781" s="11">
        <f>IF($A781="","",MONTH($A781))</f>
        <v/>
      </c>
      <c r="D781" s="6" t="n"/>
      <c r="E781" s="6" t="n"/>
      <c r="F781" s="6" t="n"/>
      <c r="G781" s="6" t="n"/>
      <c r="H781" s="6" t="n"/>
      <c r="I781" s="8" t="n"/>
      <c r="J781" s="12">
        <f>IF($I781="","",IF($H781="U$D",$I781,IFERROR($I781/VLOOKUP($B781*100+$C781,CONFIG!$I$5:$J$60,2,FALSE),"sin cotiz")))</f>
        <v/>
      </c>
      <c r="K781" s="6" t="n"/>
      <c r="L781" s="6" t="n"/>
      <c r="M781" s="6" t="n"/>
    </row>
    <row r="782">
      <c r="A782" s="10" t="n"/>
      <c r="B782" s="11">
        <f>IF($A782="","",YEAR($A782))</f>
        <v/>
      </c>
      <c r="C782" s="11">
        <f>IF($A782="","",MONTH($A782))</f>
        <v/>
      </c>
      <c r="D782" s="6" t="n"/>
      <c r="E782" s="6" t="n"/>
      <c r="F782" s="6" t="n"/>
      <c r="G782" s="6" t="n"/>
      <c r="H782" s="6" t="n"/>
      <c r="I782" s="8" t="n"/>
      <c r="J782" s="12">
        <f>IF($I782="","",IF($H782="U$D",$I782,IFERROR($I782/VLOOKUP($B782*100+$C782,CONFIG!$I$5:$J$60,2,FALSE),"sin cotiz")))</f>
        <v/>
      </c>
      <c r="K782" s="6" t="n"/>
      <c r="L782" s="6" t="n"/>
      <c r="M782" s="6" t="n"/>
    </row>
    <row r="783">
      <c r="A783" s="10" t="n"/>
      <c r="B783" s="11">
        <f>IF($A783="","",YEAR($A783))</f>
        <v/>
      </c>
      <c r="C783" s="11">
        <f>IF($A783="","",MONTH($A783))</f>
        <v/>
      </c>
      <c r="D783" s="6" t="n"/>
      <c r="E783" s="6" t="n"/>
      <c r="F783" s="6" t="n"/>
      <c r="G783" s="6" t="n"/>
      <c r="H783" s="6" t="n"/>
      <c r="I783" s="8" t="n"/>
      <c r="J783" s="12">
        <f>IF($I783="","",IF($H783="U$D",$I783,IFERROR($I783/VLOOKUP($B783*100+$C783,CONFIG!$I$5:$J$60,2,FALSE),"sin cotiz")))</f>
        <v/>
      </c>
      <c r="K783" s="6" t="n"/>
      <c r="L783" s="6" t="n"/>
      <c r="M783" s="6" t="n"/>
    </row>
    <row r="784">
      <c r="A784" s="10" t="n"/>
      <c r="B784" s="11">
        <f>IF($A784="","",YEAR($A784))</f>
        <v/>
      </c>
      <c r="C784" s="11">
        <f>IF($A784="","",MONTH($A784))</f>
        <v/>
      </c>
      <c r="D784" s="6" t="n"/>
      <c r="E784" s="6" t="n"/>
      <c r="F784" s="6" t="n"/>
      <c r="G784" s="6" t="n"/>
      <c r="H784" s="6" t="n"/>
      <c r="I784" s="8" t="n"/>
      <c r="J784" s="12">
        <f>IF($I784="","",IF($H784="U$D",$I784,IFERROR($I784/VLOOKUP($B784*100+$C784,CONFIG!$I$5:$J$60,2,FALSE),"sin cotiz")))</f>
        <v/>
      </c>
      <c r="K784" s="6" t="n"/>
      <c r="L784" s="6" t="n"/>
      <c r="M784" s="6" t="n"/>
    </row>
    <row r="785">
      <c r="A785" s="10" t="n"/>
      <c r="B785" s="11">
        <f>IF($A785="","",YEAR($A785))</f>
        <v/>
      </c>
      <c r="C785" s="11">
        <f>IF($A785="","",MONTH($A785))</f>
        <v/>
      </c>
      <c r="D785" s="6" t="n"/>
      <c r="E785" s="6" t="n"/>
      <c r="F785" s="6" t="n"/>
      <c r="G785" s="6" t="n"/>
      <c r="H785" s="6" t="n"/>
      <c r="I785" s="8" t="n"/>
      <c r="J785" s="12">
        <f>IF($I785="","",IF($H785="U$D",$I785,IFERROR($I785/VLOOKUP($B785*100+$C785,CONFIG!$I$5:$J$60,2,FALSE),"sin cotiz")))</f>
        <v/>
      </c>
      <c r="K785" s="6" t="n"/>
      <c r="L785" s="6" t="n"/>
      <c r="M785" s="6" t="n"/>
    </row>
    <row r="786">
      <c r="A786" s="10" t="n"/>
      <c r="B786" s="11">
        <f>IF($A786="","",YEAR($A786))</f>
        <v/>
      </c>
      <c r="C786" s="11">
        <f>IF($A786="","",MONTH($A786))</f>
        <v/>
      </c>
      <c r="D786" s="6" t="n"/>
      <c r="E786" s="6" t="n"/>
      <c r="F786" s="6" t="n"/>
      <c r="G786" s="6" t="n"/>
      <c r="H786" s="6" t="n"/>
      <c r="I786" s="8" t="n"/>
      <c r="J786" s="12">
        <f>IF($I786="","",IF($H786="U$D",$I786,IFERROR($I786/VLOOKUP($B786*100+$C786,CONFIG!$I$5:$J$60,2,FALSE),"sin cotiz")))</f>
        <v/>
      </c>
      <c r="K786" s="6" t="n"/>
      <c r="L786" s="6" t="n"/>
      <c r="M786" s="6" t="n"/>
    </row>
    <row r="787">
      <c r="A787" s="10" t="n"/>
      <c r="B787" s="11">
        <f>IF($A787="","",YEAR($A787))</f>
        <v/>
      </c>
      <c r="C787" s="11">
        <f>IF($A787="","",MONTH($A787))</f>
        <v/>
      </c>
      <c r="D787" s="6" t="n"/>
      <c r="E787" s="6" t="n"/>
      <c r="F787" s="6" t="n"/>
      <c r="G787" s="6" t="n"/>
      <c r="H787" s="6" t="n"/>
      <c r="I787" s="8" t="n"/>
      <c r="J787" s="12">
        <f>IF($I787="","",IF($H787="U$D",$I787,IFERROR($I787/VLOOKUP($B787*100+$C787,CONFIG!$I$5:$J$60,2,FALSE),"sin cotiz")))</f>
        <v/>
      </c>
      <c r="K787" s="6" t="n"/>
      <c r="L787" s="6" t="n"/>
      <c r="M787" s="6" t="n"/>
    </row>
    <row r="788">
      <c r="A788" s="10" t="n"/>
      <c r="B788" s="11">
        <f>IF($A788="","",YEAR($A788))</f>
        <v/>
      </c>
      <c r="C788" s="11">
        <f>IF($A788="","",MONTH($A788))</f>
        <v/>
      </c>
      <c r="D788" s="6" t="n"/>
      <c r="E788" s="6" t="n"/>
      <c r="F788" s="6" t="n"/>
      <c r="G788" s="6" t="n"/>
      <c r="H788" s="6" t="n"/>
      <c r="I788" s="8" t="n"/>
      <c r="J788" s="12">
        <f>IF($I788="","",IF($H788="U$D",$I788,IFERROR($I788/VLOOKUP($B788*100+$C788,CONFIG!$I$5:$J$60,2,FALSE),"sin cotiz")))</f>
        <v/>
      </c>
      <c r="K788" s="6" t="n"/>
      <c r="L788" s="6" t="n"/>
      <c r="M788" s="6" t="n"/>
    </row>
    <row r="789">
      <c r="A789" s="10" t="n"/>
      <c r="B789" s="11">
        <f>IF($A789="","",YEAR($A789))</f>
        <v/>
      </c>
      <c r="C789" s="11">
        <f>IF($A789="","",MONTH($A789))</f>
        <v/>
      </c>
      <c r="D789" s="6" t="n"/>
      <c r="E789" s="6" t="n"/>
      <c r="F789" s="6" t="n"/>
      <c r="G789" s="6" t="n"/>
      <c r="H789" s="6" t="n"/>
      <c r="I789" s="8" t="n"/>
      <c r="J789" s="12">
        <f>IF($I789="","",IF($H789="U$D",$I789,IFERROR($I789/VLOOKUP($B789*100+$C789,CONFIG!$I$5:$J$60,2,FALSE),"sin cotiz")))</f>
        <v/>
      </c>
      <c r="K789" s="6" t="n"/>
      <c r="L789" s="6" t="n"/>
      <c r="M789" s="6" t="n"/>
    </row>
    <row r="790">
      <c r="A790" s="10" t="n"/>
      <c r="B790" s="11">
        <f>IF($A790="","",YEAR($A790))</f>
        <v/>
      </c>
      <c r="C790" s="11">
        <f>IF($A790="","",MONTH($A790))</f>
        <v/>
      </c>
      <c r="D790" s="6" t="n"/>
      <c r="E790" s="6" t="n"/>
      <c r="F790" s="6" t="n"/>
      <c r="G790" s="6" t="n"/>
      <c r="H790" s="6" t="n"/>
      <c r="I790" s="8" t="n"/>
      <c r="J790" s="12">
        <f>IF($I790="","",IF($H790="U$D",$I790,IFERROR($I790/VLOOKUP($B790*100+$C790,CONFIG!$I$5:$J$60,2,FALSE),"sin cotiz")))</f>
        <v/>
      </c>
      <c r="K790" s="6" t="n"/>
      <c r="L790" s="6" t="n"/>
      <c r="M790" s="6" t="n"/>
    </row>
    <row r="791">
      <c r="A791" s="10" t="n"/>
      <c r="B791" s="11">
        <f>IF($A791="","",YEAR($A791))</f>
        <v/>
      </c>
      <c r="C791" s="11">
        <f>IF($A791="","",MONTH($A791))</f>
        <v/>
      </c>
      <c r="D791" s="6" t="n"/>
      <c r="E791" s="6" t="n"/>
      <c r="F791" s="6" t="n"/>
      <c r="G791" s="6" t="n"/>
      <c r="H791" s="6" t="n"/>
      <c r="I791" s="8" t="n"/>
      <c r="J791" s="12">
        <f>IF($I791="","",IF($H791="U$D",$I791,IFERROR($I791/VLOOKUP($B791*100+$C791,CONFIG!$I$5:$J$60,2,FALSE),"sin cotiz")))</f>
        <v/>
      </c>
      <c r="K791" s="6" t="n"/>
      <c r="L791" s="6" t="n"/>
      <c r="M791" s="6" t="n"/>
    </row>
    <row r="792">
      <c r="A792" s="10" t="n"/>
      <c r="B792" s="11">
        <f>IF($A792="","",YEAR($A792))</f>
        <v/>
      </c>
      <c r="C792" s="11">
        <f>IF($A792="","",MONTH($A792))</f>
        <v/>
      </c>
      <c r="D792" s="6" t="n"/>
      <c r="E792" s="6" t="n"/>
      <c r="F792" s="6" t="n"/>
      <c r="G792" s="6" t="n"/>
      <c r="H792" s="6" t="n"/>
      <c r="I792" s="8" t="n"/>
      <c r="J792" s="12">
        <f>IF($I792="","",IF($H792="U$D",$I792,IFERROR($I792/VLOOKUP($B792*100+$C792,CONFIG!$I$5:$J$60,2,FALSE),"sin cotiz")))</f>
        <v/>
      </c>
      <c r="K792" s="6" t="n"/>
      <c r="L792" s="6" t="n"/>
      <c r="M792" s="6" t="n"/>
    </row>
    <row r="793">
      <c r="A793" s="10" t="n"/>
      <c r="B793" s="11">
        <f>IF($A793="","",YEAR($A793))</f>
        <v/>
      </c>
      <c r="C793" s="11">
        <f>IF($A793="","",MONTH($A793))</f>
        <v/>
      </c>
      <c r="D793" s="6" t="n"/>
      <c r="E793" s="6" t="n"/>
      <c r="F793" s="6" t="n"/>
      <c r="G793" s="6" t="n"/>
      <c r="H793" s="6" t="n"/>
      <c r="I793" s="8" t="n"/>
      <c r="J793" s="12">
        <f>IF($I793="","",IF($H793="U$D",$I793,IFERROR($I793/VLOOKUP($B793*100+$C793,CONFIG!$I$5:$J$60,2,FALSE),"sin cotiz")))</f>
        <v/>
      </c>
      <c r="K793" s="6" t="n"/>
      <c r="L793" s="6" t="n"/>
      <c r="M793" s="6" t="n"/>
    </row>
    <row r="794">
      <c r="A794" s="10" t="n"/>
      <c r="B794" s="11">
        <f>IF($A794="","",YEAR($A794))</f>
        <v/>
      </c>
      <c r="C794" s="11">
        <f>IF($A794="","",MONTH($A794))</f>
        <v/>
      </c>
      <c r="D794" s="6" t="n"/>
      <c r="E794" s="6" t="n"/>
      <c r="F794" s="6" t="n"/>
      <c r="G794" s="6" t="n"/>
      <c r="H794" s="6" t="n"/>
      <c r="I794" s="8" t="n"/>
      <c r="J794" s="12">
        <f>IF($I794="","",IF($H794="U$D",$I794,IFERROR($I794/VLOOKUP($B794*100+$C794,CONFIG!$I$5:$J$60,2,FALSE),"sin cotiz")))</f>
        <v/>
      </c>
      <c r="K794" s="6" t="n"/>
      <c r="L794" s="6" t="n"/>
      <c r="M794" s="6" t="n"/>
    </row>
    <row r="795">
      <c r="A795" s="10" t="n"/>
      <c r="B795" s="11">
        <f>IF($A795="","",YEAR($A795))</f>
        <v/>
      </c>
      <c r="C795" s="11">
        <f>IF($A795="","",MONTH($A795))</f>
        <v/>
      </c>
      <c r="D795" s="6" t="n"/>
      <c r="E795" s="6" t="n"/>
      <c r="F795" s="6" t="n"/>
      <c r="G795" s="6" t="n"/>
      <c r="H795" s="6" t="n"/>
      <c r="I795" s="8" t="n"/>
      <c r="J795" s="12">
        <f>IF($I795="","",IF($H795="U$D",$I795,IFERROR($I795/VLOOKUP($B795*100+$C795,CONFIG!$I$5:$J$60,2,FALSE),"sin cotiz")))</f>
        <v/>
      </c>
      <c r="K795" s="6" t="n"/>
      <c r="L795" s="6" t="n"/>
      <c r="M795" s="6" t="n"/>
    </row>
    <row r="796">
      <c r="A796" s="10" t="n"/>
      <c r="B796" s="11">
        <f>IF($A796="","",YEAR($A796))</f>
        <v/>
      </c>
      <c r="C796" s="11">
        <f>IF($A796="","",MONTH($A796))</f>
        <v/>
      </c>
      <c r="D796" s="6" t="n"/>
      <c r="E796" s="6" t="n"/>
      <c r="F796" s="6" t="n"/>
      <c r="G796" s="6" t="n"/>
      <c r="H796" s="6" t="n"/>
      <c r="I796" s="8" t="n"/>
      <c r="J796" s="12">
        <f>IF($I796="","",IF($H796="U$D",$I796,IFERROR($I796/VLOOKUP($B796*100+$C796,CONFIG!$I$5:$J$60,2,FALSE),"sin cotiz")))</f>
        <v/>
      </c>
      <c r="K796" s="6" t="n"/>
      <c r="L796" s="6" t="n"/>
      <c r="M796" s="6" t="n"/>
    </row>
    <row r="797">
      <c r="A797" s="10" t="n"/>
      <c r="B797" s="11">
        <f>IF($A797="","",YEAR($A797))</f>
        <v/>
      </c>
      <c r="C797" s="11">
        <f>IF($A797="","",MONTH($A797))</f>
        <v/>
      </c>
      <c r="D797" s="6" t="n"/>
      <c r="E797" s="6" t="n"/>
      <c r="F797" s="6" t="n"/>
      <c r="G797" s="6" t="n"/>
      <c r="H797" s="6" t="n"/>
      <c r="I797" s="8" t="n"/>
      <c r="J797" s="12">
        <f>IF($I797="","",IF($H797="U$D",$I797,IFERROR($I797/VLOOKUP($B797*100+$C797,CONFIG!$I$5:$J$60,2,FALSE),"sin cotiz")))</f>
        <v/>
      </c>
      <c r="K797" s="6" t="n"/>
      <c r="L797" s="6" t="n"/>
      <c r="M797" s="6" t="n"/>
    </row>
    <row r="798">
      <c r="A798" s="10" t="n"/>
      <c r="B798" s="11">
        <f>IF($A798="","",YEAR($A798))</f>
        <v/>
      </c>
      <c r="C798" s="11">
        <f>IF($A798="","",MONTH($A798))</f>
        <v/>
      </c>
      <c r="D798" s="6" t="n"/>
      <c r="E798" s="6" t="n"/>
      <c r="F798" s="6" t="n"/>
      <c r="G798" s="6" t="n"/>
      <c r="H798" s="6" t="n"/>
      <c r="I798" s="8" t="n"/>
      <c r="J798" s="12">
        <f>IF($I798="","",IF($H798="U$D",$I798,IFERROR($I798/VLOOKUP($B798*100+$C798,CONFIG!$I$5:$J$60,2,FALSE),"sin cotiz")))</f>
        <v/>
      </c>
      <c r="K798" s="6" t="n"/>
      <c r="L798" s="6" t="n"/>
      <c r="M798" s="6" t="n"/>
    </row>
    <row r="799">
      <c r="A799" s="10" t="n"/>
      <c r="B799" s="11">
        <f>IF($A799="","",YEAR($A799))</f>
        <v/>
      </c>
      <c r="C799" s="11">
        <f>IF($A799="","",MONTH($A799))</f>
        <v/>
      </c>
      <c r="D799" s="6" t="n"/>
      <c r="E799" s="6" t="n"/>
      <c r="F799" s="6" t="n"/>
      <c r="G799" s="6" t="n"/>
      <c r="H799" s="6" t="n"/>
      <c r="I799" s="8" t="n"/>
      <c r="J799" s="12">
        <f>IF($I799="","",IF($H799="U$D",$I799,IFERROR($I799/VLOOKUP($B799*100+$C799,CONFIG!$I$5:$J$60,2,FALSE),"sin cotiz")))</f>
        <v/>
      </c>
      <c r="K799" s="6" t="n"/>
      <c r="L799" s="6" t="n"/>
      <c r="M799" s="6" t="n"/>
    </row>
    <row r="800">
      <c r="A800" s="10" t="n"/>
      <c r="B800" s="11">
        <f>IF($A800="","",YEAR($A800))</f>
        <v/>
      </c>
      <c r="C800" s="11">
        <f>IF($A800="","",MONTH($A800))</f>
        <v/>
      </c>
      <c r="D800" s="6" t="n"/>
      <c r="E800" s="6" t="n"/>
      <c r="F800" s="6" t="n"/>
      <c r="G800" s="6" t="n"/>
      <c r="H800" s="6" t="n"/>
      <c r="I800" s="8" t="n"/>
      <c r="J800" s="12">
        <f>IF($I800="","",IF($H800="U$D",$I800,IFERROR($I800/VLOOKUP($B800*100+$C800,CONFIG!$I$5:$J$60,2,FALSE),"sin cotiz")))</f>
        <v/>
      </c>
      <c r="K800" s="6" t="n"/>
      <c r="L800" s="6" t="n"/>
      <c r="M800" s="6" t="n"/>
    </row>
    <row r="801">
      <c r="A801" s="10" t="n"/>
      <c r="B801" s="11">
        <f>IF($A801="","",YEAR($A801))</f>
        <v/>
      </c>
      <c r="C801" s="11">
        <f>IF($A801="","",MONTH($A801))</f>
        <v/>
      </c>
      <c r="D801" s="6" t="n"/>
      <c r="E801" s="6" t="n"/>
      <c r="F801" s="6" t="n"/>
      <c r="G801" s="6" t="n"/>
      <c r="H801" s="6" t="n"/>
      <c r="I801" s="8" t="n"/>
      <c r="J801" s="12">
        <f>IF($I801="","",IF($H801="U$D",$I801,IFERROR($I801/VLOOKUP($B801*100+$C801,CONFIG!$I$5:$J$60,2,FALSE),"sin cotiz")))</f>
        <v/>
      </c>
      <c r="K801" s="6" t="n"/>
      <c r="L801" s="6" t="n"/>
      <c r="M801" s="6" t="n"/>
    </row>
    <row r="802">
      <c r="A802" s="10" t="n"/>
      <c r="B802" s="11">
        <f>IF($A802="","",YEAR($A802))</f>
        <v/>
      </c>
      <c r="C802" s="11">
        <f>IF($A802="","",MONTH($A802))</f>
        <v/>
      </c>
      <c r="D802" s="6" t="n"/>
      <c r="E802" s="6" t="n"/>
      <c r="F802" s="6" t="n"/>
      <c r="G802" s="6" t="n"/>
      <c r="H802" s="6" t="n"/>
      <c r="I802" s="8" t="n"/>
      <c r="J802" s="12">
        <f>IF($I802="","",IF($H802="U$D",$I802,IFERROR($I802/VLOOKUP($B802*100+$C802,CONFIG!$I$5:$J$60,2,FALSE),"sin cotiz")))</f>
        <v/>
      </c>
      <c r="K802" s="6" t="n"/>
      <c r="L802" s="6" t="n"/>
      <c r="M802" s="6" t="n"/>
    </row>
    <row r="803">
      <c r="A803" s="10" t="n"/>
      <c r="B803" s="11">
        <f>IF($A803="","",YEAR($A803))</f>
        <v/>
      </c>
      <c r="C803" s="11">
        <f>IF($A803="","",MONTH($A803))</f>
        <v/>
      </c>
      <c r="D803" s="6" t="n"/>
      <c r="E803" s="6" t="n"/>
      <c r="F803" s="6" t="n"/>
      <c r="G803" s="6" t="n"/>
      <c r="H803" s="6" t="n"/>
      <c r="I803" s="8" t="n"/>
      <c r="J803" s="12">
        <f>IF($I803="","",IF($H803="U$D",$I803,IFERROR($I803/VLOOKUP($B803*100+$C803,CONFIG!$I$5:$J$60,2,FALSE),"sin cotiz")))</f>
        <v/>
      </c>
      <c r="K803" s="6" t="n"/>
      <c r="L803" s="6" t="n"/>
      <c r="M803" s="6" t="n"/>
    </row>
    <row r="804">
      <c r="A804" s="10" t="n"/>
      <c r="B804" s="11">
        <f>IF($A804="","",YEAR($A804))</f>
        <v/>
      </c>
      <c r="C804" s="11">
        <f>IF($A804="","",MONTH($A804))</f>
        <v/>
      </c>
      <c r="D804" s="6" t="n"/>
      <c r="E804" s="6" t="n"/>
      <c r="F804" s="6" t="n"/>
      <c r="G804" s="6" t="n"/>
      <c r="H804" s="6" t="n"/>
      <c r="I804" s="8" t="n"/>
      <c r="J804" s="12">
        <f>IF($I804="","",IF($H804="U$D",$I804,IFERROR($I804/VLOOKUP($B804*100+$C804,CONFIG!$I$5:$J$60,2,FALSE),"sin cotiz")))</f>
        <v/>
      </c>
      <c r="K804" s="6" t="n"/>
      <c r="L804" s="6" t="n"/>
      <c r="M804" s="6" t="n"/>
    </row>
  </sheetData>
  <mergeCells count="2">
    <mergeCell ref="A2:M2"/>
    <mergeCell ref="A1:M1"/>
  </mergeCells>
  <dataValidations count="6">
    <dataValidation sqref="D5:D804" showDropDown="0" showInputMessage="0" showErrorMessage="0" allowBlank="1" type="list">
      <formula1>"Gasto,Ingreso"</formula1>
    </dataValidation>
    <dataValidation sqref="E5:E804" showDropDown="0" showInputMessage="0" showErrorMessage="0" allowBlank="1" type="list">
      <formula1>=TodasCategorias</formula1>
    </dataValidation>
    <dataValidation sqref="G5:G804" showDropDown="0" showInputMessage="0" showErrorMessage="0" allowBlank="1" type="list">
      <formula1>=MediosPago</formula1>
    </dataValidation>
    <dataValidation sqref="H5:H804" showDropDown="0" showInputMessage="0" showErrorMessage="0" allowBlank="1" type="list">
      <formula1>"$,U$D"</formula1>
    </dataValidation>
    <dataValidation sqref="K5:K804" showDropDown="0" showInputMessage="0" showErrorMessage="0" allowBlank="1" type="list">
      <formula1>"Fijo,Variable"</formula1>
    </dataValidation>
    <dataValidation sqref="L5:L804" showDropDown="0" showInputMessage="0" showErrorMessage="0" allowBlank="1" type="list">
      <formula1>"Pagado,Pendiente"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9" customWidth="1" min="4" max="4"/>
    <col width="14" customWidth="1" min="5" max="5"/>
    <col width="18" customWidth="1" min="6" max="6"/>
    <col width="9" customWidth="1" min="7" max="7"/>
    <col width="18" customWidth="1" min="8" max="8"/>
    <col width="26" customWidth="1" min="9" max="9"/>
  </cols>
  <sheetData>
    <row r="1" ht="26" customHeight="1">
      <c r="A1" s="1" t="inlineStr">
        <is>
          <t>GASTOS FIJOS MENSUALES</t>
        </is>
      </c>
    </row>
    <row r="2">
      <c r="A2" s="4" t="inlineStr">
        <is>
          <t>Los que se repiten todos los meses. Sirve de checklist: mira que ninguno se te escape al cargar MOVIMIENTOS.</t>
        </is>
      </c>
    </row>
    <row r="4" ht="30" customHeight="1">
      <c r="A4" s="5" t="inlineStr">
        <is>
          <t>Concepto</t>
        </is>
      </c>
      <c r="B4" s="5" t="inlineStr">
        <is>
          <t>Categoria</t>
        </is>
      </c>
      <c r="C4" s="5" t="inlineStr">
        <is>
          <t>Importe</t>
        </is>
      </c>
      <c r="D4" s="5" t="inlineStr">
        <is>
          <t>Moneda</t>
        </is>
      </c>
      <c r="E4" s="5" t="inlineStr">
        <is>
          <t>Dia de Vencimiento</t>
        </is>
      </c>
      <c r="F4" s="5" t="inlineStr">
        <is>
          <t>Medio de Pago</t>
        </is>
      </c>
      <c r="G4" s="5" t="inlineStr">
        <is>
          <t>Activo</t>
        </is>
      </c>
      <c r="H4" s="5" t="inlineStr">
        <is>
          <t>Importe U$D estimado</t>
        </is>
      </c>
      <c r="I4" s="5" t="inlineStr">
        <is>
          <t>Notas</t>
        </is>
      </c>
    </row>
    <row r="5">
      <c r="A5" s="6" t="inlineStr">
        <is>
          <t>Alquiler oficina</t>
        </is>
      </c>
      <c r="B5" s="6" t="inlineStr">
        <is>
          <t>Vivienda</t>
        </is>
      </c>
      <c r="C5" s="8" t="n">
        <v>850000</v>
      </c>
      <c r="D5" s="6" t="inlineStr">
        <is>
          <t>$</t>
        </is>
      </c>
      <c r="E5" s="6" t="n">
        <v>10</v>
      </c>
      <c r="F5" s="6" t="inlineStr">
        <is>
          <t>Transferencia</t>
        </is>
      </c>
      <c r="G5" s="6" t="inlineStr">
        <is>
          <t>Si</t>
        </is>
      </c>
      <c r="H5" s="12">
        <f>IF($C5="","",IF($D5="U$D",$C5,IFERROR($C5/VLOOKUP(MAX(CONFIG!$I$5:$I$60),CONFIG!$I$5:$J$60,2,FALSE),"")))</f>
        <v/>
      </c>
      <c r="I5" s="6" t="n"/>
    </row>
    <row r="6">
      <c r="A6" s="6" t="inlineStr">
        <is>
          <t>Monotributo</t>
        </is>
      </c>
      <c r="B6" s="6" t="inlineStr">
        <is>
          <t>Monotributo / AFIP</t>
        </is>
      </c>
      <c r="C6" s="8" t="n">
        <v>48000</v>
      </c>
      <c r="D6" s="6" t="inlineStr">
        <is>
          <t>$</t>
        </is>
      </c>
      <c r="E6" s="6" t="n">
        <v>20</v>
      </c>
      <c r="F6" s="6" t="inlineStr">
        <is>
          <t>Debito Automatico</t>
        </is>
      </c>
      <c r="G6" s="6" t="inlineStr">
        <is>
          <t>Si</t>
        </is>
      </c>
      <c r="H6" s="12">
        <f>IF($C6="","",IF($D6="U$D",$C6,IFERROR($C6/VLOOKUP(MAX(CONFIG!$I$5:$I$60),CONFIG!$I$5:$J$60,2,FALSE),"")))</f>
        <v/>
      </c>
      <c r="I6" s="6" t="n"/>
    </row>
    <row r="7">
      <c r="A7" s="6" t="inlineStr">
        <is>
          <t>Contadora</t>
        </is>
      </c>
      <c r="B7" s="6" t="inlineStr">
        <is>
          <t>Honorarios Profesionales</t>
        </is>
      </c>
      <c r="C7" s="8" t="n">
        <v>120000</v>
      </c>
      <c r="D7" s="6" t="inlineStr">
        <is>
          <t>$</t>
        </is>
      </c>
      <c r="E7" s="6" t="n">
        <v>10</v>
      </c>
      <c r="F7" s="6" t="inlineStr">
        <is>
          <t>Transferencia</t>
        </is>
      </c>
      <c r="G7" s="6" t="inlineStr">
        <is>
          <t>Si</t>
        </is>
      </c>
      <c r="H7" s="12">
        <f>IF($C7="","",IF($D7="U$D",$C7,IFERROR($C7/VLOOKUP(MAX(CONFIG!$I$5:$I$60),CONFIG!$I$5:$J$60,2,FALSE),"")))</f>
        <v/>
      </c>
      <c r="I7" s="6" t="n"/>
    </row>
    <row r="8">
      <c r="A8" s="6" t="inlineStr">
        <is>
          <t>Internet + celulares</t>
        </is>
      </c>
      <c r="B8" s="6" t="inlineStr">
        <is>
          <t>Servicios</t>
        </is>
      </c>
      <c r="C8" s="8" t="n">
        <v>75000</v>
      </c>
      <c r="D8" s="6" t="inlineStr">
        <is>
          <t>$</t>
        </is>
      </c>
      <c r="E8" s="6" t="n">
        <v>15</v>
      </c>
      <c r="F8" s="6" t="inlineStr">
        <is>
          <t>Debito Automatico</t>
        </is>
      </c>
      <c r="G8" s="6" t="inlineStr">
        <is>
          <t>Si</t>
        </is>
      </c>
      <c r="H8" s="12">
        <f>IF($C8="","",IF($D8="U$D",$C8,IFERROR($C8/VLOOKUP(MAX(CONFIG!$I$5:$I$60),CONFIG!$I$5:$J$60,2,FALSE),"")))</f>
        <v/>
      </c>
      <c r="I8" s="6" t="n"/>
    </row>
    <row r="9">
      <c r="A9" s="6" t="n"/>
      <c r="B9" s="6" t="n"/>
      <c r="C9" s="8" t="n"/>
      <c r="D9" s="6" t="n"/>
      <c r="E9" s="6" t="n"/>
      <c r="F9" s="6" t="n"/>
      <c r="G9" s="6" t="n"/>
      <c r="H9" s="12">
        <f>IF($C9="","",IF($D9="U$D",$C9,IFERROR($C9/VLOOKUP(MAX(CONFIG!$I$5:$I$60),CONFIG!$I$5:$J$60,2,FALSE),"")))</f>
        <v/>
      </c>
      <c r="I9" s="6" t="n"/>
    </row>
    <row r="10">
      <c r="A10" s="6" t="n"/>
      <c r="B10" s="6" t="n"/>
      <c r="C10" s="8" t="n"/>
      <c r="D10" s="6" t="n"/>
      <c r="E10" s="6" t="n"/>
      <c r="F10" s="6" t="n"/>
      <c r="G10" s="6" t="n"/>
      <c r="H10" s="12">
        <f>IF($C10="","",IF($D10="U$D",$C10,IFERROR($C10/VLOOKUP(MAX(CONFIG!$I$5:$I$60),CONFIG!$I$5:$J$60,2,FALSE),"")))</f>
        <v/>
      </c>
      <c r="I10" s="6" t="n"/>
    </row>
    <row r="11">
      <c r="A11" s="6" t="n"/>
      <c r="B11" s="6" t="n"/>
      <c r="C11" s="8" t="n"/>
      <c r="D11" s="6" t="n"/>
      <c r="E11" s="6" t="n"/>
      <c r="F11" s="6" t="n"/>
      <c r="G11" s="6" t="n"/>
      <c r="H11" s="12">
        <f>IF($C11="","",IF($D11="U$D",$C11,IFERROR($C11/VLOOKUP(MAX(CONFIG!$I$5:$I$60),CONFIG!$I$5:$J$60,2,FALSE),"")))</f>
        <v/>
      </c>
      <c r="I11" s="6" t="n"/>
    </row>
    <row r="12">
      <c r="A12" s="6" t="n"/>
      <c r="B12" s="6" t="n"/>
      <c r="C12" s="8" t="n"/>
      <c r="D12" s="6" t="n"/>
      <c r="E12" s="6" t="n"/>
      <c r="F12" s="6" t="n"/>
      <c r="G12" s="6" t="n"/>
      <c r="H12" s="12">
        <f>IF($C12="","",IF($D12="U$D",$C12,IFERROR($C12/VLOOKUP(MAX(CONFIG!$I$5:$I$60),CONFIG!$I$5:$J$60,2,FALSE),"")))</f>
        <v/>
      </c>
      <c r="I12" s="6" t="n"/>
    </row>
    <row r="13">
      <c r="A13" s="6" t="n"/>
      <c r="B13" s="6" t="n"/>
      <c r="C13" s="8" t="n"/>
      <c r="D13" s="6" t="n"/>
      <c r="E13" s="6" t="n"/>
      <c r="F13" s="6" t="n"/>
      <c r="G13" s="6" t="n"/>
      <c r="H13" s="12">
        <f>IF($C13="","",IF($D13="U$D",$C13,IFERROR($C13/VLOOKUP(MAX(CONFIG!$I$5:$I$60),CONFIG!$I$5:$J$60,2,FALSE),"")))</f>
        <v/>
      </c>
      <c r="I13" s="6" t="n"/>
    </row>
    <row r="14">
      <c r="A14" s="6" t="n"/>
      <c r="B14" s="6" t="n"/>
      <c r="C14" s="8" t="n"/>
      <c r="D14" s="6" t="n"/>
      <c r="E14" s="6" t="n"/>
      <c r="F14" s="6" t="n"/>
      <c r="G14" s="6" t="n"/>
      <c r="H14" s="12">
        <f>IF($C14="","",IF($D14="U$D",$C14,IFERROR($C14/VLOOKUP(MAX(CONFIG!$I$5:$I$60),CONFIG!$I$5:$J$60,2,FALSE),"")))</f>
        <v/>
      </c>
      <c r="I14" s="6" t="n"/>
    </row>
    <row r="15">
      <c r="A15" s="6" t="n"/>
      <c r="B15" s="6" t="n"/>
      <c r="C15" s="8" t="n"/>
      <c r="D15" s="6" t="n"/>
      <c r="E15" s="6" t="n"/>
      <c r="F15" s="6" t="n"/>
      <c r="G15" s="6" t="n"/>
      <c r="H15" s="12">
        <f>IF($C15="","",IF($D15="U$D",$C15,IFERROR($C15/VLOOKUP(MAX(CONFIG!$I$5:$I$60),CONFIG!$I$5:$J$60,2,FALSE),"")))</f>
        <v/>
      </c>
      <c r="I15" s="6" t="n"/>
    </row>
    <row r="16">
      <c r="A16" s="6" t="n"/>
      <c r="B16" s="6" t="n"/>
      <c r="C16" s="8" t="n"/>
      <c r="D16" s="6" t="n"/>
      <c r="E16" s="6" t="n"/>
      <c r="F16" s="6" t="n"/>
      <c r="G16" s="6" t="n"/>
      <c r="H16" s="12">
        <f>IF($C16="","",IF($D16="U$D",$C16,IFERROR($C16/VLOOKUP(MAX(CONFIG!$I$5:$I$60),CONFIG!$I$5:$J$60,2,FALSE),"")))</f>
        <v/>
      </c>
      <c r="I16" s="6" t="n"/>
    </row>
    <row r="17">
      <c r="A17" s="6" t="n"/>
      <c r="B17" s="6" t="n"/>
      <c r="C17" s="8" t="n"/>
      <c r="D17" s="6" t="n"/>
      <c r="E17" s="6" t="n"/>
      <c r="F17" s="6" t="n"/>
      <c r="G17" s="6" t="n"/>
      <c r="H17" s="12">
        <f>IF($C17="","",IF($D17="U$D",$C17,IFERROR($C17/VLOOKUP(MAX(CONFIG!$I$5:$I$60),CONFIG!$I$5:$J$60,2,FALSE),"")))</f>
        <v/>
      </c>
      <c r="I17" s="6" t="n"/>
    </row>
    <row r="18">
      <c r="A18" s="6" t="n"/>
      <c r="B18" s="6" t="n"/>
      <c r="C18" s="8" t="n"/>
      <c r="D18" s="6" t="n"/>
      <c r="E18" s="6" t="n"/>
      <c r="F18" s="6" t="n"/>
      <c r="G18" s="6" t="n"/>
      <c r="H18" s="12">
        <f>IF($C18="","",IF($D18="U$D",$C18,IFERROR($C18/VLOOKUP(MAX(CONFIG!$I$5:$I$60),CONFIG!$I$5:$J$60,2,FALSE),"")))</f>
        <v/>
      </c>
      <c r="I18" s="6" t="n"/>
    </row>
    <row r="19">
      <c r="A19" s="6" t="n"/>
      <c r="B19" s="6" t="n"/>
      <c r="C19" s="8" t="n"/>
      <c r="D19" s="6" t="n"/>
      <c r="E19" s="6" t="n"/>
      <c r="F19" s="6" t="n"/>
      <c r="G19" s="6" t="n"/>
      <c r="H19" s="12">
        <f>IF($C19="","",IF($D19="U$D",$C19,IFERROR($C19/VLOOKUP(MAX(CONFIG!$I$5:$I$60),CONFIG!$I$5:$J$60,2,FALSE),"")))</f>
        <v/>
      </c>
      <c r="I19" s="6" t="n"/>
    </row>
    <row r="20">
      <c r="A20" s="6" t="n"/>
      <c r="B20" s="6" t="n"/>
      <c r="C20" s="8" t="n"/>
      <c r="D20" s="6" t="n"/>
      <c r="E20" s="6" t="n"/>
      <c r="F20" s="6" t="n"/>
      <c r="G20" s="6" t="n"/>
      <c r="H20" s="12">
        <f>IF($C20="","",IF($D20="U$D",$C20,IFERROR($C20/VLOOKUP(MAX(CONFIG!$I$5:$I$60),CONFIG!$I$5:$J$60,2,FALSE),"")))</f>
        <v/>
      </c>
      <c r="I20" s="6" t="n"/>
    </row>
    <row r="21">
      <c r="A21" s="6" t="n"/>
      <c r="B21" s="6" t="n"/>
      <c r="C21" s="8" t="n"/>
      <c r="D21" s="6" t="n"/>
      <c r="E21" s="6" t="n"/>
      <c r="F21" s="6" t="n"/>
      <c r="G21" s="6" t="n"/>
      <c r="H21" s="12">
        <f>IF($C21="","",IF($D21="U$D",$C21,IFERROR($C21/VLOOKUP(MAX(CONFIG!$I$5:$I$60),CONFIG!$I$5:$J$60,2,FALSE),"")))</f>
        <v/>
      </c>
      <c r="I21" s="6" t="n"/>
    </row>
    <row r="22">
      <c r="A22" s="6" t="n"/>
      <c r="B22" s="6" t="n"/>
      <c r="C22" s="8" t="n"/>
      <c r="D22" s="6" t="n"/>
      <c r="E22" s="6" t="n"/>
      <c r="F22" s="6" t="n"/>
      <c r="G22" s="6" t="n"/>
      <c r="H22" s="12">
        <f>IF($C22="","",IF($D22="U$D",$C22,IFERROR($C22/VLOOKUP(MAX(CONFIG!$I$5:$I$60),CONFIG!$I$5:$J$60,2,FALSE),"")))</f>
        <v/>
      </c>
      <c r="I22" s="6" t="n"/>
    </row>
    <row r="23">
      <c r="A23" s="6" t="n"/>
      <c r="B23" s="6" t="n"/>
      <c r="C23" s="8" t="n"/>
      <c r="D23" s="6" t="n"/>
      <c r="E23" s="6" t="n"/>
      <c r="F23" s="6" t="n"/>
      <c r="G23" s="6" t="n"/>
      <c r="H23" s="12">
        <f>IF($C23="","",IF($D23="U$D",$C23,IFERROR($C23/VLOOKUP(MAX(CONFIG!$I$5:$I$60),CONFIG!$I$5:$J$60,2,FALSE),"")))</f>
        <v/>
      </c>
      <c r="I23" s="6" t="n"/>
    </row>
    <row r="24">
      <c r="A24" s="6" t="n"/>
      <c r="B24" s="6" t="n"/>
      <c r="C24" s="8" t="n"/>
      <c r="D24" s="6" t="n"/>
      <c r="E24" s="6" t="n"/>
      <c r="F24" s="6" t="n"/>
      <c r="G24" s="6" t="n"/>
      <c r="H24" s="12">
        <f>IF($C24="","",IF($D24="U$D",$C24,IFERROR($C24/VLOOKUP(MAX(CONFIG!$I$5:$I$60),CONFIG!$I$5:$J$60,2,FALSE),"")))</f>
        <v/>
      </c>
      <c r="I24" s="6" t="n"/>
    </row>
    <row r="25">
      <c r="A25" s="6" t="n"/>
      <c r="B25" s="6" t="n"/>
      <c r="C25" s="8" t="n"/>
      <c r="D25" s="6" t="n"/>
      <c r="E25" s="6" t="n"/>
      <c r="F25" s="6" t="n"/>
      <c r="G25" s="6" t="n"/>
      <c r="H25" s="12">
        <f>IF($C25="","",IF($D25="U$D",$C25,IFERROR($C25/VLOOKUP(MAX(CONFIG!$I$5:$I$60),CONFIG!$I$5:$J$60,2,FALSE),"")))</f>
        <v/>
      </c>
      <c r="I25" s="6" t="n"/>
    </row>
    <row r="26">
      <c r="A26" s="6" t="n"/>
      <c r="B26" s="6" t="n"/>
      <c r="C26" s="8" t="n"/>
      <c r="D26" s="6" t="n"/>
      <c r="E26" s="6" t="n"/>
      <c r="F26" s="6" t="n"/>
      <c r="G26" s="6" t="n"/>
      <c r="H26" s="12">
        <f>IF($C26="","",IF($D26="U$D",$C26,IFERROR($C26/VLOOKUP(MAX(CONFIG!$I$5:$I$60),CONFIG!$I$5:$J$60,2,FALSE),"")))</f>
        <v/>
      </c>
      <c r="I26" s="6" t="n"/>
    </row>
    <row r="27">
      <c r="A27" s="6" t="n"/>
      <c r="B27" s="6" t="n"/>
      <c r="C27" s="8" t="n"/>
      <c r="D27" s="6" t="n"/>
      <c r="E27" s="6" t="n"/>
      <c r="F27" s="6" t="n"/>
      <c r="G27" s="6" t="n"/>
      <c r="H27" s="12">
        <f>IF($C27="","",IF($D27="U$D",$C27,IFERROR($C27/VLOOKUP(MAX(CONFIG!$I$5:$I$60),CONFIG!$I$5:$J$60,2,FALSE),"")))</f>
        <v/>
      </c>
      <c r="I27" s="6" t="n"/>
    </row>
    <row r="28">
      <c r="A28" s="6" t="n"/>
      <c r="B28" s="6" t="n"/>
      <c r="C28" s="8" t="n"/>
      <c r="D28" s="6" t="n"/>
      <c r="E28" s="6" t="n"/>
      <c r="F28" s="6" t="n"/>
      <c r="G28" s="6" t="n"/>
      <c r="H28" s="12">
        <f>IF($C28="","",IF($D28="U$D",$C28,IFERROR($C28/VLOOKUP(MAX(CONFIG!$I$5:$I$60),CONFIG!$I$5:$J$60,2,FALSE),"")))</f>
        <v/>
      </c>
      <c r="I28" s="6" t="n"/>
    </row>
    <row r="29">
      <c r="A29" s="6" t="n"/>
      <c r="B29" s="6" t="n"/>
      <c r="C29" s="8" t="n"/>
      <c r="D29" s="6" t="n"/>
      <c r="E29" s="6" t="n"/>
      <c r="F29" s="6" t="n"/>
      <c r="G29" s="6" t="n"/>
      <c r="H29" s="12">
        <f>IF($C29="","",IF($D29="U$D",$C29,IFERROR($C29/VLOOKUP(MAX(CONFIG!$I$5:$I$60),CONFIG!$I$5:$J$60,2,FALSE),"")))</f>
        <v/>
      </c>
      <c r="I29" s="6" t="n"/>
    </row>
    <row r="30">
      <c r="A30" s="6" t="n"/>
      <c r="B30" s="6" t="n"/>
      <c r="C30" s="8" t="n"/>
      <c r="D30" s="6" t="n"/>
      <c r="E30" s="6" t="n"/>
      <c r="F30" s="6" t="n"/>
      <c r="G30" s="6" t="n"/>
      <c r="H30" s="12">
        <f>IF($C30="","",IF($D30="U$D",$C30,IFERROR($C30/VLOOKUP(MAX(CONFIG!$I$5:$I$60),CONFIG!$I$5:$J$60,2,FALSE),"")))</f>
        <v/>
      </c>
      <c r="I30" s="6" t="n"/>
    </row>
    <row r="31">
      <c r="A31" s="6" t="n"/>
      <c r="B31" s="6" t="n"/>
      <c r="C31" s="8" t="n"/>
      <c r="D31" s="6" t="n"/>
      <c r="E31" s="6" t="n"/>
      <c r="F31" s="6" t="n"/>
      <c r="G31" s="6" t="n"/>
      <c r="H31" s="12">
        <f>IF($C31="","",IF($D31="U$D",$C31,IFERROR($C31/VLOOKUP(MAX(CONFIG!$I$5:$I$60),CONFIG!$I$5:$J$60,2,FALSE),"")))</f>
        <v/>
      </c>
      <c r="I31" s="6" t="n"/>
    </row>
    <row r="32">
      <c r="A32" s="6" t="n"/>
      <c r="B32" s="6" t="n"/>
      <c r="C32" s="8" t="n"/>
      <c r="D32" s="6" t="n"/>
      <c r="E32" s="6" t="n"/>
      <c r="F32" s="6" t="n"/>
      <c r="G32" s="6" t="n"/>
      <c r="H32" s="12">
        <f>IF($C32="","",IF($D32="U$D",$C32,IFERROR($C32/VLOOKUP(MAX(CONFIG!$I$5:$I$60),CONFIG!$I$5:$J$60,2,FALSE),"")))</f>
        <v/>
      </c>
      <c r="I32" s="6" t="n"/>
    </row>
    <row r="33">
      <c r="A33" s="6" t="n"/>
      <c r="B33" s="6" t="n"/>
      <c r="C33" s="8" t="n"/>
      <c r="D33" s="6" t="n"/>
      <c r="E33" s="6" t="n"/>
      <c r="F33" s="6" t="n"/>
      <c r="G33" s="6" t="n"/>
      <c r="H33" s="12">
        <f>IF($C33="","",IF($D33="U$D",$C33,IFERROR($C33/VLOOKUP(MAX(CONFIG!$I$5:$I$60),CONFIG!$I$5:$J$60,2,FALSE),"")))</f>
        <v/>
      </c>
      <c r="I33" s="6" t="n"/>
    </row>
    <row r="34">
      <c r="A34" s="6" t="n"/>
      <c r="B34" s="6" t="n"/>
      <c r="C34" s="8" t="n"/>
      <c r="D34" s="6" t="n"/>
      <c r="E34" s="6" t="n"/>
      <c r="F34" s="6" t="n"/>
      <c r="G34" s="6" t="n"/>
      <c r="H34" s="12">
        <f>IF($C34="","",IF($D34="U$D",$C34,IFERROR($C34/VLOOKUP(MAX(CONFIG!$I$5:$I$60),CONFIG!$I$5:$J$60,2,FALSE),"")))</f>
        <v/>
      </c>
      <c r="I34" s="6" t="n"/>
    </row>
    <row r="35">
      <c r="A35" s="6" t="n"/>
      <c r="B35" s="6" t="n"/>
      <c r="C35" s="8" t="n"/>
      <c r="D35" s="6" t="n"/>
      <c r="E35" s="6" t="n"/>
      <c r="F35" s="6" t="n"/>
      <c r="G35" s="6" t="n"/>
      <c r="H35" s="12">
        <f>IF($C35="","",IF($D35="U$D",$C35,IFERROR($C35/VLOOKUP(MAX(CONFIG!$I$5:$I$60),CONFIG!$I$5:$J$60,2,FALSE),"")))</f>
        <v/>
      </c>
      <c r="I35" s="6" t="n"/>
    </row>
    <row r="36">
      <c r="A36" s="6" t="n"/>
      <c r="B36" s="6" t="n"/>
      <c r="C36" s="8" t="n"/>
      <c r="D36" s="6" t="n"/>
      <c r="E36" s="6" t="n"/>
      <c r="F36" s="6" t="n"/>
      <c r="G36" s="6" t="n"/>
      <c r="H36" s="12">
        <f>IF($C36="","",IF($D36="U$D",$C36,IFERROR($C36/VLOOKUP(MAX(CONFIG!$I$5:$I$60),CONFIG!$I$5:$J$60,2,FALSE),"")))</f>
        <v/>
      </c>
      <c r="I36" s="6" t="n"/>
    </row>
    <row r="37">
      <c r="A37" s="6" t="n"/>
      <c r="B37" s="6" t="n"/>
      <c r="C37" s="8" t="n"/>
      <c r="D37" s="6" t="n"/>
      <c r="E37" s="6" t="n"/>
      <c r="F37" s="6" t="n"/>
      <c r="G37" s="6" t="n"/>
      <c r="H37" s="12">
        <f>IF($C37="","",IF($D37="U$D",$C37,IFERROR($C37/VLOOKUP(MAX(CONFIG!$I$5:$I$60),CONFIG!$I$5:$J$60,2,FALSE),"")))</f>
        <v/>
      </c>
      <c r="I37" s="6" t="n"/>
    </row>
    <row r="38">
      <c r="A38" s="6" t="n"/>
      <c r="B38" s="6" t="n"/>
      <c r="C38" s="8" t="n"/>
      <c r="D38" s="6" t="n"/>
      <c r="E38" s="6" t="n"/>
      <c r="F38" s="6" t="n"/>
      <c r="G38" s="6" t="n"/>
      <c r="H38" s="12">
        <f>IF($C38="","",IF($D38="U$D",$C38,IFERROR($C38/VLOOKUP(MAX(CONFIG!$I$5:$I$60),CONFIG!$I$5:$J$60,2,FALSE),"")))</f>
        <v/>
      </c>
      <c r="I38" s="6" t="n"/>
    </row>
    <row r="39">
      <c r="A39" s="6" t="n"/>
      <c r="B39" s="6" t="n"/>
      <c r="C39" s="8" t="n"/>
      <c r="D39" s="6" t="n"/>
      <c r="E39" s="6" t="n"/>
      <c r="F39" s="6" t="n"/>
      <c r="G39" s="6" t="n"/>
      <c r="H39" s="12">
        <f>IF($C39="","",IF($D39="U$D",$C39,IFERROR($C39/VLOOKUP(MAX(CONFIG!$I$5:$I$60),CONFIG!$I$5:$J$60,2,FALSE),"")))</f>
        <v/>
      </c>
      <c r="I39" s="6" t="n"/>
    </row>
    <row r="40">
      <c r="A40" s="6" t="n"/>
      <c r="B40" s="6" t="n"/>
      <c r="C40" s="8" t="n"/>
      <c r="D40" s="6" t="n"/>
      <c r="E40" s="6" t="n"/>
      <c r="F40" s="6" t="n"/>
      <c r="G40" s="6" t="n"/>
      <c r="H40" s="12">
        <f>IF($C40="","",IF($D40="U$D",$C40,IFERROR($C40/VLOOKUP(MAX(CONFIG!$I$5:$I$60),CONFIG!$I$5:$J$60,2,FALSE),"")))</f>
        <v/>
      </c>
      <c r="I40" s="6" t="n"/>
    </row>
    <row r="41">
      <c r="A41" s="6" t="n"/>
      <c r="B41" s="6" t="n"/>
      <c r="C41" s="8" t="n"/>
      <c r="D41" s="6" t="n"/>
      <c r="E41" s="6" t="n"/>
      <c r="F41" s="6" t="n"/>
      <c r="G41" s="6" t="n"/>
      <c r="H41" s="12">
        <f>IF($C41="","",IF($D41="U$D",$C41,IFERROR($C41/VLOOKUP(MAX(CONFIG!$I$5:$I$60),CONFIG!$I$5:$J$60,2,FALSE),"")))</f>
        <v/>
      </c>
      <c r="I41" s="6" t="n"/>
    </row>
    <row r="42">
      <c r="A42" s="6" t="n"/>
      <c r="B42" s="6" t="n"/>
      <c r="C42" s="8" t="n"/>
      <c r="D42" s="6" t="n"/>
      <c r="E42" s="6" t="n"/>
      <c r="F42" s="6" t="n"/>
      <c r="G42" s="6" t="n"/>
      <c r="H42" s="12">
        <f>IF($C42="","",IF($D42="U$D",$C42,IFERROR($C42/VLOOKUP(MAX(CONFIG!$I$5:$I$60),CONFIG!$I$5:$J$60,2,FALSE),"")))</f>
        <v/>
      </c>
      <c r="I42" s="6" t="n"/>
    </row>
    <row r="43">
      <c r="A43" s="6" t="n"/>
      <c r="B43" s="6" t="n"/>
      <c r="C43" s="8" t="n"/>
      <c r="D43" s="6" t="n"/>
      <c r="E43" s="6" t="n"/>
      <c r="F43" s="6" t="n"/>
      <c r="G43" s="6" t="n"/>
      <c r="H43" s="12">
        <f>IF($C43="","",IF($D43="U$D",$C43,IFERROR($C43/VLOOKUP(MAX(CONFIG!$I$5:$I$60),CONFIG!$I$5:$J$60,2,FALSE),"")))</f>
        <v/>
      </c>
      <c r="I43" s="6" t="n"/>
    </row>
    <row r="44">
      <c r="A44" s="6" t="n"/>
      <c r="B44" s="6" t="n"/>
      <c r="C44" s="8" t="n"/>
      <c r="D44" s="6" t="n"/>
      <c r="E44" s="6" t="n"/>
      <c r="F44" s="6" t="n"/>
      <c r="G44" s="6" t="n"/>
      <c r="H44" s="12">
        <f>IF($C44="","",IF($D44="U$D",$C44,IFERROR($C44/VLOOKUP(MAX(CONFIG!$I$5:$I$60),CONFIG!$I$5:$J$60,2,FALSE),"")))</f>
        <v/>
      </c>
      <c r="I44" s="6" t="n"/>
    </row>
    <row r="45">
      <c r="A45" s="6" t="n"/>
      <c r="B45" s="6" t="n"/>
      <c r="C45" s="8" t="n"/>
      <c r="D45" s="6" t="n"/>
      <c r="E45" s="6" t="n"/>
      <c r="F45" s="6" t="n"/>
      <c r="G45" s="6" t="n"/>
      <c r="H45" s="12">
        <f>IF($C45="","",IF($D45="U$D",$C45,IFERROR($C45/VLOOKUP(MAX(CONFIG!$I$5:$I$60),CONFIG!$I$5:$J$60,2,FALSE),"")))</f>
        <v/>
      </c>
      <c r="I45" s="6" t="n"/>
    </row>
    <row r="46">
      <c r="A46" s="6" t="n"/>
      <c r="B46" s="6" t="n"/>
      <c r="C46" s="8" t="n"/>
      <c r="D46" s="6" t="n"/>
      <c r="E46" s="6" t="n"/>
      <c r="F46" s="6" t="n"/>
      <c r="G46" s="6" t="n"/>
      <c r="H46" s="12">
        <f>IF($C46="","",IF($D46="U$D",$C46,IFERROR($C46/VLOOKUP(MAX(CONFIG!$I$5:$I$60),CONFIG!$I$5:$J$60,2,FALSE),"")))</f>
        <v/>
      </c>
      <c r="I46" s="6" t="n"/>
    </row>
    <row r="47">
      <c r="A47" s="6" t="n"/>
      <c r="B47" s="6" t="n"/>
      <c r="C47" s="8" t="n"/>
      <c r="D47" s="6" t="n"/>
      <c r="E47" s="6" t="n"/>
      <c r="F47" s="6" t="n"/>
      <c r="G47" s="6" t="n"/>
      <c r="H47" s="12">
        <f>IF($C47="","",IF($D47="U$D",$C47,IFERROR($C47/VLOOKUP(MAX(CONFIG!$I$5:$I$60),CONFIG!$I$5:$J$60,2,FALSE),"")))</f>
        <v/>
      </c>
      <c r="I47" s="6" t="n"/>
    </row>
    <row r="48">
      <c r="A48" s="6" t="n"/>
      <c r="B48" s="6" t="n"/>
      <c r="C48" s="8" t="n"/>
      <c r="D48" s="6" t="n"/>
      <c r="E48" s="6" t="n"/>
      <c r="F48" s="6" t="n"/>
      <c r="G48" s="6" t="n"/>
      <c r="H48" s="12">
        <f>IF($C48="","",IF($D48="U$D",$C48,IFERROR($C48/VLOOKUP(MAX(CONFIG!$I$5:$I$60),CONFIG!$I$5:$J$60,2,FALSE),"")))</f>
        <v/>
      </c>
      <c r="I48" s="6" t="n"/>
    </row>
    <row r="49">
      <c r="A49" s="6" t="n"/>
      <c r="B49" s="6" t="n"/>
      <c r="C49" s="8" t="n"/>
      <c r="D49" s="6" t="n"/>
      <c r="E49" s="6" t="n"/>
      <c r="F49" s="6" t="n"/>
      <c r="G49" s="6" t="n"/>
      <c r="H49" s="12">
        <f>IF($C49="","",IF($D49="U$D",$C49,IFERROR($C49/VLOOKUP(MAX(CONFIG!$I$5:$I$60),CONFIG!$I$5:$J$60,2,FALSE),"")))</f>
        <v/>
      </c>
      <c r="I49" s="6" t="n"/>
    </row>
    <row r="50">
      <c r="A50" s="6" t="n"/>
      <c r="B50" s="6" t="n"/>
      <c r="C50" s="8" t="n"/>
      <c r="D50" s="6" t="n"/>
      <c r="E50" s="6" t="n"/>
      <c r="F50" s="6" t="n"/>
      <c r="G50" s="6" t="n"/>
      <c r="H50" s="12">
        <f>IF($C50="","",IF($D50="U$D",$C50,IFERROR($C50/VLOOKUP(MAX(CONFIG!$I$5:$I$60),CONFIG!$I$5:$J$60,2,FALSE),"")))</f>
        <v/>
      </c>
      <c r="I50" s="6" t="n"/>
    </row>
    <row r="51">
      <c r="A51" s="6" t="n"/>
      <c r="B51" s="6" t="n"/>
      <c r="C51" s="8" t="n"/>
      <c r="D51" s="6" t="n"/>
      <c r="E51" s="6" t="n"/>
      <c r="F51" s="6" t="n"/>
      <c r="G51" s="6" t="n"/>
      <c r="H51" s="12">
        <f>IF($C51="","",IF($D51="U$D",$C51,IFERROR($C51/VLOOKUP(MAX(CONFIG!$I$5:$I$60),CONFIG!$I$5:$J$60,2,FALSE),"")))</f>
        <v/>
      </c>
      <c r="I51" s="6" t="n"/>
    </row>
    <row r="52">
      <c r="A52" s="6" t="n"/>
      <c r="B52" s="6" t="n"/>
      <c r="C52" s="8" t="n"/>
      <c r="D52" s="6" t="n"/>
      <c r="E52" s="6" t="n"/>
      <c r="F52" s="6" t="n"/>
      <c r="G52" s="6" t="n"/>
      <c r="H52" s="12">
        <f>IF($C52="","",IF($D52="U$D",$C52,IFERROR($C52/VLOOKUP(MAX(CONFIG!$I$5:$I$60),CONFIG!$I$5:$J$60,2,FALSE),"")))</f>
        <v/>
      </c>
      <c r="I52" s="6" t="n"/>
    </row>
    <row r="53">
      <c r="A53" s="6" t="n"/>
      <c r="B53" s="6" t="n"/>
      <c r="C53" s="8" t="n"/>
      <c r="D53" s="6" t="n"/>
      <c r="E53" s="6" t="n"/>
      <c r="F53" s="6" t="n"/>
      <c r="G53" s="6" t="n"/>
      <c r="H53" s="12">
        <f>IF($C53="","",IF($D53="U$D",$C53,IFERROR($C53/VLOOKUP(MAX(CONFIG!$I$5:$I$60),CONFIG!$I$5:$J$60,2,FALSE),"")))</f>
        <v/>
      </c>
      <c r="I53" s="6" t="n"/>
    </row>
    <row r="54">
      <c r="A54" s="6" t="n"/>
      <c r="B54" s="6" t="n"/>
      <c r="C54" s="8" t="n"/>
      <c r="D54" s="6" t="n"/>
      <c r="E54" s="6" t="n"/>
      <c r="F54" s="6" t="n"/>
      <c r="G54" s="6" t="n"/>
      <c r="H54" s="12">
        <f>IF($C54="","",IF($D54="U$D",$C54,IFERROR($C54/VLOOKUP(MAX(CONFIG!$I$5:$I$60),CONFIG!$I$5:$J$60,2,FALSE),"")))</f>
        <v/>
      </c>
      <c r="I54" s="6" t="n"/>
    </row>
    <row r="55">
      <c r="A55" s="6" t="n"/>
      <c r="B55" s="6" t="n"/>
      <c r="C55" s="8" t="n"/>
      <c r="D55" s="6" t="n"/>
      <c r="E55" s="6" t="n"/>
      <c r="F55" s="6" t="n"/>
      <c r="G55" s="6" t="n"/>
      <c r="H55" s="12">
        <f>IF($C55="","",IF($D55="U$D",$C55,IFERROR($C55/VLOOKUP(MAX(CONFIG!$I$5:$I$60),CONFIG!$I$5:$J$60,2,FALSE),"")))</f>
        <v/>
      </c>
      <c r="I55" s="6" t="n"/>
    </row>
    <row r="56">
      <c r="A56" s="6" t="n"/>
      <c r="B56" s="6" t="n"/>
      <c r="C56" s="8" t="n"/>
      <c r="D56" s="6" t="n"/>
      <c r="E56" s="6" t="n"/>
      <c r="F56" s="6" t="n"/>
      <c r="G56" s="6" t="n"/>
      <c r="H56" s="12">
        <f>IF($C56="","",IF($D56="U$D",$C56,IFERROR($C56/VLOOKUP(MAX(CONFIG!$I$5:$I$60),CONFIG!$I$5:$J$60,2,FALSE),"")))</f>
        <v/>
      </c>
      <c r="I56" s="6" t="n"/>
    </row>
    <row r="57">
      <c r="A57" s="6" t="n"/>
      <c r="B57" s="6" t="n"/>
      <c r="C57" s="8" t="n"/>
      <c r="D57" s="6" t="n"/>
      <c r="E57" s="6" t="n"/>
      <c r="F57" s="6" t="n"/>
      <c r="G57" s="6" t="n"/>
      <c r="H57" s="12">
        <f>IF($C57="","",IF($D57="U$D",$C57,IFERROR($C57/VLOOKUP(MAX(CONFIG!$I$5:$I$60),CONFIG!$I$5:$J$60,2,FALSE),"")))</f>
        <v/>
      </c>
      <c r="I57" s="6" t="n"/>
    </row>
    <row r="58">
      <c r="A58" s="6" t="n"/>
      <c r="B58" s="6" t="n"/>
      <c r="C58" s="8" t="n"/>
      <c r="D58" s="6" t="n"/>
      <c r="E58" s="6" t="n"/>
      <c r="F58" s="6" t="n"/>
      <c r="G58" s="6" t="n"/>
      <c r="H58" s="12">
        <f>IF($C58="","",IF($D58="U$D",$C58,IFERROR($C58/VLOOKUP(MAX(CONFIG!$I$5:$I$60),CONFIG!$I$5:$J$60,2,FALSE),"")))</f>
        <v/>
      </c>
      <c r="I58" s="6" t="n"/>
    </row>
    <row r="59">
      <c r="A59" s="6" t="n"/>
      <c r="B59" s="6" t="n"/>
      <c r="C59" s="8" t="n"/>
      <c r="D59" s="6" t="n"/>
      <c r="E59" s="6" t="n"/>
      <c r="F59" s="6" t="n"/>
      <c r="G59" s="6" t="n"/>
      <c r="H59" s="12">
        <f>IF($C59="","",IF($D59="U$D",$C59,IFERROR($C59/VLOOKUP(MAX(CONFIG!$I$5:$I$60),CONFIG!$I$5:$J$60,2,FALSE),"")))</f>
        <v/>
      </c>
      <c r="I59" s="6" t="n"/>
    </row>
    <row r="60">
      <c r="A60" s="6" t="n"/>
      <c r="B60" s="6" t="n"/>
      <c r="C60" s="8" t="n"/>
      <c r="D60" s="6" t="n"/>
      <c r="E60" s="6" t="n"/>
      <c r="F60" s="6" t="n"/>
      <c r="G60" s="6" t="n"/>
      <c r="H60" s="12">
        <f>IF($C60="","",IF($D60="U$D",$C60,IFERROR($C60/VLOOKUP(MAX(CONFIG!$I$5:$I$60),CONFIG!$I$5:$J$60,2,FALSE),"")))</f>
        <v/>
      </c>
      <c r="I60" s="6" t="n"/>
    </row>
    <row r="61">
      <c r="A61" s="6" t="n"/>
      <c r="B61" s="6" t="n"/>
      <c r="C61" s="8" t="n"/>
      <c r="D61" s="6" t="n"/>
      <c r="E61" s="6" t="n"/>
      <c r="F61" s="6" t="n"/>
      <c r="G61" s="6" t="n"/>
      <c r="H61" s="12">
        <f>IF($C61="","",IF($D61="U$D",$C61,IFERROR($C61/VLOOKUP(MAX(CONFIG!$I$5:$I$60),CONFIG!$I$5:$J$60,2,FALSE),"")))</f>
        <v/>
      </c>
      <c r="I61" s="6" t="n"/>
    </row>
    <row r="62">
      <c r="A62" s="6" t="n"/>
      <c r="B62" s="6" t="n"/>
      <c r="C62" s="8" t="n"/>
      <c r="D62" s="6" t="n"/>
      <c r="E62" s="6" t="n"/>
      <c r="F62" s="6" t="n"/>
      <c r="G62" s="6" t="n"/>
      <c r="H62" s="12">
        <f>IF($C62="","",IF($D62="U$D",$C62,IFERROR($C62/VLOOKUP(MAX(CONFIG!$I$5:$I$60),CONFIG!$I$5:$J$60,2,FALSE),"")))</f>
        <v/>
      </c>
      <c r="I62" s="6" t="n"/>
    </row>
    <row r="63">
      <c r="A63" s="6" t="n"/>
      <c r="B63" s="6" t="n"/>
      <c r="C63" s="8" t="n"/>
      <c r="D63" s="6" t="n"/>
      <c r="E63" s="6" t="n"/>
      <c r="F63" s="6" t="n"/>
      <c r="G63" s="6" t="n"/>
      <c r="H63" s="12">
        <f>IF($C63="","",IF($D63="U$D",$C63,IFERROR($C63/VLOOKUP(MAX(CONFIG!$I$5:$I$60),CONFIG!$I$5:$J$60,2,FALSE),"")))</f>
        <v/>
      </c>
      <c r="I63" s="6" t="n"/>
    </row>
    <row r="64">
      <c r="A64" s="6" t="n"/>
      <c r="B64" s="6" t="n"/>
      <c r="C64" s="8" t="n"/>
      <c r="D64" s="6" t="n"/>
      <c r="E64" s="6" t="n"/>
      <c r="F64" s="6" t="n"/>
      <c r="G64" s="6" t="n"/>
      <c r="H64" s="12">
        <f>IF($C64="","",IF($D64="U$D",$C64,IFERROR($C64/VLOOKUP(MAX(CONFIG!$I$5:$I$60),CONFIG!$I$5:$J$60,2,FALSE),"")))</f>
        <v/>
      </c>
      <c r="I64" s="6" t="n"/>
    </row>
    <row r="66">
      <c r="A66" s="13" t="inlineStr">
        <is>
          <t>TOTAL FIJOS ACTIVOS ($)</t>
        </is>
      </c>
      <c r="C66" s="14">
        <f>SUMIFS($C$5:$C$64,$G$5:$G$64,"Si",$D$5:$D$64,"$")</f>
        <v/>
      </c>
    </row>
    <row r="67">
      <c r="A67" s="13" t="inlineStr">
        <is>
          <t>TOTAL FIJOS ACTIVOS (U$D)</t>
        </is>
      </c>
      <c r="C67" s="14">
        <f>SUMIFS($C$5:$C$64,$G$5:$G$64,"Si",$D$5:$D$64,"U$D")</f>
        <v/>
      </c>
    </row>
  </sheetData>
  <mergeCells count="2">
    <mergeCell ref="A1:I1"/>
    <mergeCell ref="A2:I2"/>
  </mergeCells>
  <dataValidations count="4">
    <dataValidation sqref="B5:B64" showDropDown="0" showInputMessage="0" showErrorMessage="0" allowBlank="1" type="list">
      <formula1>=CategoriasGasto</formula1>
    </dataValidation>
    <dataValidation sqref="D5:D64" showDropDown="0" showInputMessage="0" showErrorMessage="0" allowBlank="1" type="list">
      <formula1>"$,U$D"</formula1>
    </dataValidation>
    <dataValidation sqref="F5:F64" showDropDown="0" showInputMessage="0" showErrorMessage="0" allowBlank="1" type="list">
      <formula1>=MediosPago</formula1>
    </dataValidation>
    <dataValidation sqref="G5:G6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14" customWidth="1" min="5" max="5"/>
    <col width="9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3" customWidth="1" min="12" max="12"/>
  </cols>
  <sheetData>
    <row r="1" ht="26" customHeight="1">
      <c r="A1" s="1" t="inlineStr">
        <is>
          <t>TARJETAS Y COMPRAS EN CUOTAS</t>
        </is>
      </c>
    </row>
    <row r="2">
      <c r="A2" s="4" t="inlineStr">
        <is>
          <t>Cargá la compra una sola vez y la planilla te dice cuanto pagaste, cuanto falta y en que mes termina.</t>
        </is>
      </c>
    </row>
    <row r="4" ht="30" customHeight="1">
      <c r="A4" s="5" t="inlineStr">
        <is>
          <t>Concepto</t>
        </is>
      </c>
      <c r="B4" s="5" t="inlineStr">
        <is>
          <t>Tarjeta / Acreedor</t>
        </is>
      </c>
      <c r="C4" s="5" t="inlineStr">
        <is>
          <t>Fecha de Compra</t>
        </is>
      </c>
      <c r="D4" s="5" t="inlineStr">
        <is>
          <t>Cant. Cuotas</t>
        </is>
      </c>
      <c r="E4" s="5" t="inlineStr">
        <is>
          <t>Valor Cuota</t>
        </is>
      </c>
      <c r="F4" s="5" t="inlineStr">
        <is>
          <t>Moneda</t>
        </is>
      </c>
      <c r="G4" s="5" t="inlineStr">
        <is>
          <t>Total</t>
        </is>
      </c>
      <c r="H4" s="5" t="inlineStr">
        <is>
          <t>Cuotas Pagadas</t>
        </is>
      </c>
      <c r="I4" s="5" t="inlineStr">
        <is>
          <t>Pagado</t>
        </is>
      </c>
      <c r="J4" s="5" t="inlineStr">
        <is>
          <t>Saldo</t>
        </is>
      </c>
      <c r="K4" s="5" t="inlineStr">
        <is>
          <t>Ultima Cuota</t>
        </is>
      </c>
      <c r="L4" s="5" t="inlineStr">
        <is>
          <t>Estado</t>
        </is>
      </c>
    </row>
    <row r="5">
      <c r="A5" s="6" t="inlineStr">
        <is>
          <t>Peugeot Partner</t>
        </is>
      </c>
      <c r="B5" s="6" t="inlineStr">
        <is>
          <t>Banco Galicia</t>
        </is>
      </c>
      <c r="C5" s="15">
        <f>DATE(2025,11,10)</f>
        <v/>
      </c>
      <c r="D5" s="6" t="n">
        <v>12</v>
      </c>
      <c r="E5" s="16" t="n">
        <v>350000</v>
      </c>
      <c r="F5" s="6" t="inlineStr">
        <is>
          <t>$</t>
        </is>
      </c>
      <c r="G5" s="12">
        <f>IF($D5="","",$D5*$E5)</f>
        <v/>
      </c>
      <c r="H5" s="6" t="n">
        <v>3</v>
      </c>
      <c r="I5" s="12">
        <f>IF($H5="","",$H5*$E5)</f>
        <v/>
      </c>
      <c r="J5" s="12">
        <f>IF($D5="","",($D5-N($H5))*$E5)</f>
        <v/>
      </c>
      <c r="K5" s="17">
        <f>IF($C5="","",EDATE($C5,$D5-1))</f>
        <v/>
      </c>
      <c r="L5" s="18">
        <f>IF($D5="","",IF(N($H5)&gt;=$D5,"Cancelado","Vigente"))</f>
        <v/>
      </c>
    </row>
    <row r="6">
      <c r="A6" s="6" t="inlineStr">
        <is>
          <t>Notebook</t>
        </is>
      </c>
      <c r="B6" s="6" t="inlineStr">
        <is>
          <t>Visa Santander</t>
        </is>
      </c>
      <c r="C6" s="15">
        <f>DATE(2026,1,20)</f>
        <v/>
      </c>
      <c r="D6" s="6" t="n">
        <v>6</v>
      </c>
      <c r="E6" s="16" t="n">
        <v>180000</v>
      </c>
      <c r="F6" s="6" t="inlineStr">
        <is>
          <t>$</t>
        </is>
      </c>
      <c r="G6" s="12">
        <f>IF($D6="","",$D6*$E6)</f>
        <v/>
      </c>
      <c r="H6" s="6" t="n">
        <v>0</v>
      </c>
      <c r="I6" s="12">
        <f>IF($H6="","",$H6*$E6)</f>
        <v/>
      </c>
      <c r="J6" s="12">
        <f>IF($D6="","",($D6-N($H6))*$E6)</f>
        <v/>
      </c>
      <c r="K6" s="17">
        <f>IF($C6="","",EDATE($C6,$D6-1))</f>
        <v/>
      </c>
      <c r="L6" s="18">
        <f>IF($D6="","",IF(N($H6)&gt;=$D6,"Cancelado","Vigente"))</f>
        <v/>
      </c>
    </row>
    <row r="7">
      <c r="A7" s="19" t="n"/>
      <c r="B7" s="19" t="n"/>
      <c r="C7" s="15" t="n"/>
      <c r="D7" s="19" t="n"/>
      <c r="E7" s="16" t="n"/>
      <c r="F7" s="19" t="n"/>
      <c r="G7" s="12">
        <f>IF($D7="","",$D7*$E7)</f>
        <v/>
      </c>
      <c r="H7" s="19" t="n"/>
      <c r="I7" s="12">
        <f>IF($H7="","",$H7*$E7)</f>
        <v/>
      </c>
      <c r="J7" s="12">
        <f>IF($D7="","",($D7-N($H7))*$E7)</f>
        <v/>
      </c>
      <c r="K7" s="17">
        <f>IF($C7="","",EDATE($C7,$D7-1))</f>
        <v/>
      </c>
      <c r="L7" s="18">
        <f>IF($D7="","",IF(N($H7)&gt;=$D7,"Cancelado","Vigente"))</f>
        <v/>
      </c>
    </row>
    <row r="8">
      <c r="A8" s="19" t="n"/>
      <c r="B8" s="19" t="n"/>
      <c r="C8" s="15" t="n"/>
      <c r="D8" s="19" t="n"/>
      <c r="E8" s="16" t="n"/>
      <c r="F8" s="19" t="n"/>
      <c r="G8" s="12">
        <f>IF($D8="","",$D8*$E8)</f>
        <v/>
      </c>
      <c r="H8" s="19" t="n"/>
      <c r="I8" s="12">
        <f>IF($H8="","",$H8*$E8)</f>
        <v/>
      </c>
      <c r="J8" s="12">
        <f>IF($D8="","",($D8-N($H8))*$E8)</f>
        <v/>
      </c>
      <c r="K8" s="17">
        <f>IF($C8="","",EDATE($C8,$D8-1))</f>
        <v/>
      </c>
      <c r="L8" s="18">
        <f>IF($D8="","",IF(N($H8)&gt;=$D8,"Cancelado","Vigente"))</f>
        <v/>
      </c>
    </row>
    <row r="9">
      <c r="A9" s="19" t="n"/>
      <c r="B9" s="19" t="n"/>
      <c r="C9" s="15" t="n"/>
      <c r="D9" s="19" t="n"/>
      <c r="E9" s="16" t="n"/>
      <c r="F9" s="19" t="n"/>
      <c r="G9" s="12">
        <f>IF($D9="","",$D9*$E9)</f>
        <v/>
      </c>
      <c r="H9" s="19" t="n"/>
      <c r="I9" s="12">
        <f>IF($H9="","",$H9*$E9)</f>
        <v/>
      </c>
      <c r="J9" s="12">
        <f>IF($D9="","",($D9-N($H9))*$E9)</f>
        <v/>
      </c>
      <c r="K9" s="17">
        <f>IF($C9="","",EDATE($C9,$D9-1))</f>
        <v/>
      </c>
      <c r="L9" s="18">
        <f>IF($D9="","",IF(N($H9)&gt;=$D9,"Cancelado","Vigente"))</f>
        <v/>
      </c>
    </row>
    <row r="10">
      <c r="A10" s="19" t="n"/>
      <c r="B10" s="19" t="n"/>
      <c r="C10" s="15" t="n"/>
      <c r="D10" s="19" t="n"/>
      <c r="E10" s="16" t="n"/>
      <c r="F10" s="19" t="n"/>
      <c r="G10" s="12">
        <f>IF($D10="","",$D10*$E10)</f>
        <v/>
      </c>
      <c r="H10" s="19" t="n"/>
      <c r="I10" s="12">
        <f>IF($H10="","",$H10*$E10)</f>
        <v/>
      </c>
      <c r="J10" s="12">
        <f>IF($D10="","",($D10-N($H10))*$E10)</f>
        <v/>
      </c>
      <c r="K10" s="17">
        <f>IF($C10="","",EDATE($C10,$D10-1))</f>
        <v/>
      </c>
      <c r="L10" s="18">
        <f>IF($D10="","",IF(N($H10)&gt;=$D10,"Cancelado","Vigente"))</f>
        <v/>
      </c>
    </row>
    <row r="11">
      <c r="A11" s="19" t="n"/>
      <c r="B11" s="19" t="n"/>
      <c r="C11" s="15" t="n"/>
      <c r="D11" s="19" t="n"/>
      <c r="E11" s="16" t="n"/>
      <c r="F11" s="19" t="n"/>
      <c r="G11" s="12">
        <f>IF($D11="","",$D11*$E11)</f>
        <v/>
      </c>
      <c r="H11" s="19" t="n"/>
      <c r="I11" s="12">
        <f>IF($H11="","",$H11*$E11)</f>
        <v/>
      </c>
      <c r="J11" s="12">
        <f>IF($D11="","",($D11-N($H11))*$E11)</f>
        <v/>
      </c>
      <c r="K11" s="17">
        <f>IF($C11="","",EDATE($C11,$D11-1))</f>
        <v/>
      </c>
      <c r="L11" s="18">
        <f>IF($D11="","",IF(N($H11)&gt;=$D11,"Cancelado","Vigente"))</f>
        <v/>
      </c>
    </row>
    <row r="12">
      <c r="A12" s="19" t="n"/>
      <c r="B12" s="19" t="n"/>
      <c r="C12" s="15" t="n"/>
      <c r="D12" s="19" t="n"/>
      <c r="E12" s="16" t="n"/>
      <c r="F12" s="19" t="n"/>
      <c r="G12" s="12">
        <f>IF($D12="","",$D12*$E12)</f>
        <v/>
      </c>
      <c r="H12" s="19" t="n"/>
      <c r="I12" s="12">
        <f>IF($H12="","",$H12*$E12)</f>
        <v/>
      </c>
      <c r="J12" s="12">
        <f>IF($D12="","",($D12-N($H12))*$E12)</f>
        <v/>
      </c>
      <c r="K12" s="17">
        <f>IF($C12="","",EDATE($C12,$D12-1))</f>
        <v/>
      </c>
      <c r="L12" s="18">
        <f>IF($D12="","",IF(N($H12)&gt;=$D12,"Cancelado","Vigente"))</f>
        <v/>
      </c>
    </row>
    <row r="13">
      <c r="A13" s="19" t="n"/>
      <c r="B13" s="19" t="n"/>
      <c r="C13" s="15" t="n"/>
      <c r="D13" s="19" t="n"/>
      <c r="E13" s="16" t="n"/>
      <c r="F13" s="19" t="n"/>
      <c r="G13" s="12">
        <f>IF($D13="","",$D13*$E13)</f>
        <v/>
      </c>
      <c r="H13" s="19" t="n"/>
      <c r="I13" s="12">
        <f>IF($H13="","",$H13*$E13)</f>
        <v/>
      </c>
      <c r="J13" s="12">
        <f>IF($D13="","",($D13-N($H13))*$E13)</f>
        <v/>
      </c>
      <c r="K13" s="17">
        <f>IF($C13="","",EDATE($C13,$D13-1))</f>
        <v/>
      </c>
      <c r="L13" s="18">
        <f>IF($D13="","",IF(N($H13)&gt;=$D13,"Cancelado","Vigente"))</f>
        <v/>
      </c>
    </row>
    <row r="14">
      <c r="A14" s="19" t="n"/>
      <c r="B14" s="19" t="n"/>
      <c r="C14" s="15" t="n"/>
      <c r="D14" s="19" t="n"/>
      <c r="E14" s="16" t="n"/>
      <c r="F14" s="19" t="n"/>
      <c r="G14" s="12">
        <f>IF($D14="","",$D14*$E14)</f>
        <v/>
      </c>
      <c r="H14" s="19" t="n"/>
      <c r="I14" s="12">
        <f>IF($H14="","",$H14*$E14)</f>
        <v/>
      </c>
      <c r="J14" s="12">
        <f>IF($D14="","",($D14-N($H14))*$E14)</f>
        <v/>
      </c>
      <c r="K14" s="17">
        <f>IF($C14="","",EDATE($C14,$D14-1))</f>
        <v/>
      </c>
      <c r="L14" s="18">
        <f>IF($D14="","",IF(N($H14)&gt;=$D14,"Cancelado","Vigente"))</f>
        <v/>
      </c>
    </row>
    <row r="15">
      <c r="A15" s="19" t="n"/>
      <c r="B15" s="19" t="n"/>
      <c r="C15" s="15" t="n"/>
      <c r="D15" s="19" t="n"/>
      <c r="E15" s="16" t="n"/>
      <c r="F15" s="19" t="n"/>
      <c r="G15" s="12">
        <f>IF($D15="","",$D15*$E15)</f>
        <v/>
      </c>
      <c r="H15" s="19" t="n"/>
      <c r="I15" s="12">
        <f>IF($H15="","",$H15*$E15)</f>
        <v/>
      </c>
      <c r="J15" s="12">
        <f>IF($D15="","",($D15-N($H15))*$E15)</f>
        <v/>
      </c>
      <c r="K15" s="17">
        <f>IF($C15="","",EDATE($C15,$D15-1))</f>
        <v/>
      </c>
      <c r="L15" s="18">
        <f>IF($D15="","",IF(N($H15)&gt;=$D15,"Cancelado","Vigente"))</f>
        <v/>
      </c>
    </row>
    <row r="16">
      <c r="A16" s="19" t="n"/>
      <c r="B16" s="19" t="n"/>
      <c r="C16" s="15" t="n"/>
      <c r="D16" s="19" t="n"/>
      <c r="E16" s="16" t="n"/>
      <c r="F16" s="19" t="n"/>
      <c r="G16" s="12">
        <f>IF($D16="","",$D16*$E16)</f>
        <v/>
      </c>
      <c r="H16" s="19" t="n"/>
      <c r="I16" s="12">
        <f>IF($H16="","",$H16*$E16)</f>
        <v/>
      </c>
      <c r="J16" s="12">
        <f>IF($D16="","",($D16-N($H16))*$E16)</f>
        <v/>
      </c>
      <c r="K16" s="17">
        <f>IF($C16="","",EDATE($C16,$D16-1))</f>
        <v/>
      </c>
      <c r="L16" s="18">
        <f>IF($D16="","",IF(N($H16)&gt;=$D16,"Cancelado","Vigente"))</f>
        <v/>
      </c>
    </row>
    <row r="17">
      <c r="A17" s="19" t="n"/>
      <c r="B17" s="19" t="n"/>
      <c r="C17" s="15" t="n"/>
      <c r="D17" s="19" t="n"/>
      <c r="E17" s="16" t="n"/>
      <c r="F17" s="19" t="n"/>
      <c r="G17" s="12">
        <f>IF($D17="","",$D17*$E17)</f>
        <v/>
      </c>
      <c r="H17" s="19" t="n"/>
      <c r="I17" s="12">
        <f>IF($H17="","",$H17*$E17)</f>
        <v/>
      </c>
      <c r="J17" s="12">
        <f>IF($D17="","",($D17-N($H17))*$E17)</f>
        <v/>
      </c>
      <c r="K17" s="17">
        <f>IF($C17="","",EDATE($C17,$D17-1))</f>
        <v/>
      </c>
      <c r="L17" s="18">
        <f>IF($D17="","",IF(N($H17)&gt;=$D17,"Cancelado","Vigente"))</f>
        <v/>
      </c>
    </row>
    <row r="18">
      <c r="A18" s="19" t="n"/>
      <c r="B18" s="19" t="n"/>
      <c r="C18" s="15" t="n"/>
      <c r="D18" s="19" t="n"/>
      <c r="E18" s="16" t="n"/>
      <c r="F18" s="19" t="n"/>
      <c r="G18" s="12">
        <f>IF($D18="","",$D18*$E18)</f>
        <v/>
      </c>
      <c r="H18" s="19" t="n"/>
      <c r="I18" s="12">
        <f>IF($H18="","",$H18*$E18)</f>
        <v/>
      </c>
      <c r="J18" s="12">
        <f>IF($D18="","",($D18-N($H18))*$E18)</f>
        <v/>
      </c>
      <c r="K18" s="17">
        <f>IF($C18="","",EDATE($C18,$D18-1))</f>
        <v/>
      </c>
      <c r="L18" s="18">
        <f>IF($D18="","",IF(N($H18)&gt;=$D18,"Cancelado","Vigente"))</f>
        <v/>
      </c>
    </row>
    <row r="19">
      <c r="A19" s="19" t="n"/>
      <c r="B19" s="19" t="n"/>
      <c r="C19" s="15" t="n"/>
      <c r="D19" s="19" t="n"/>
      <c r="E19" s="16" t="n"/>
      <c r="F19" s="19" t="n"/>
      <c r="G19" s="12">
        <f>IF($D19="","",$D19*$E19)</f>
        <v/>
      </c>
      <c r="H19" s="19" t="n"/>
      <c r="I19" s="12">
        <f>IF($H19="","",$H19*$E19)</f>
        <v/>
      </c>
      <c r="J19" s="12">
        <f>IF($D19="","",($D19-N($H19))*$E19)</f>
        <v/>
      </c>
      <c r="K19" s="17">
        <f>IF($C19="","",EDATE($C19,$D19-1))</f>
        <v/>
      </c>
      <c r="L19" s="18">
        <f>IF($D19="","",IF(N($H19)&gt;=$D19,"Cancelado","Vigente"))</f>
        <v/>
      </c>
    </row>
    <row r="20">
      <c r="A20" s="19" t="n"/>
      <c r="B20" s="19" t="n"/>
      <c r="C20" s="15" t="n"/>
      <c r="D20" s="19" t="n"/>
      <c r="E20" s="16" t="n"/>
      <c r="F20" s="19" t="n"/>
      <c r="G20" s="12">
        <f>IF($D20="","",$D20*$E20)</f>
        <v/>
      </c>
      <c r="H20" s="19" t="n"/>
      <c r="I20" s="12">
        <f>IF($H20="","",$H20*$E20)</f>
        <v/>
      </c>
      <c r="J20" s="12">
        <f>IF($D20="","",($D20-N($H20))*$E20)</f>
        <v/>
      </c>
      <c r="K20" s="17">
        <f>IF($C20="","",EDATE($C20,$D20-1))</f>
        <v/>
      </c>
      <c r="L20" s="18">
        <f>IF($D20="","",IF(N($H20)&gt;=$D20,"Cancelado","Vigente"))</f>
        <v/>
      </c>
    </row>
    <row r="21">
      <c r="A21" s="19" t="n"/>
      <c r="B21" s="19" t="n"/>
      <c r="C21" s="15" t="n"/>
      <c r="D21" s="19" t="n"/>
      <c r="E21" s="16" t="n"/>
      <c r="F21" s="19" t="n"/>
      <c r="G21" s="12">
        <f>IF($D21="","",$D21*$E21)</f>
        <v/>
      </c>
      <c r="H21" s="19" t="n"/>
      <c r="I21" s="12">
        <f>IF($H21="","",$H21*$E21)</f>
        <v/>
      </c>
      <c r="J21" s="12">
        <f>IF($D21="","",($D21-N($H21))*$E21)</f>
        <v/>
      </c>
      <c r="K21" s="17">
        <f>IF($C21="","",EDATE($C21,$D21-1))</f>
        <v/>
      </c>
      <c r="L21" s="18">
        <f>IF($D21="","",IF(N($H21)&gt;=$D21,"Cancelado","Vigente"))</f>
        <v/>
      </c>
    </row>
    <row r="22">
      <c r="A22" s="19" t="n"/>
      <c r="B22" s="19" t="n"/>
      <c r="C22" s="15" t="n"/>
      <c r="D22" s="19" t="n"/>
      <c r="E22" s="16" t="n"/>
      <c r="F22" s="19" t="n"/>
      <c r="G22" s="12">
        <f>IF($D22="","",$D22*$E22)</f>
        <v/>
      </c>
      <c r="H22" s="19" t="n"/>
      <c r="I22" s="12">
        <f>IF($H22="","",$H22*$E22)</f>
        <v/>
      </c>
      <c r="J22" s="12">
        <f>IF($D22="","",($D22-N($H22))*$E22)</f>
        <v/>
      </c>
      <c r="K22" s="17">
        <f>IF($C22="","",EDATE($C22,$D22-1))</f>
        <v/>
      </c>
      <c r="L22" s="18">
        <f>IF($D22="","",IF(N($H22)&gt;=$D22,"Cancelado","Vigente"))</f>
        <v/>
      </c>
    </row>
    <row r="23">
      <c r="A23" s="19" t="n"/>
      <c r="B23" s="19" t="n"/>
      <c r="C23" s="15" t="n"/>
      <c r="D23" s="19" t="n"/>
      <c r="E23" s="16" t="n"/>
      <c r="F23" s="19" t="n"/>
      <c r="G23" s="12">
        <f>IF($D23="","",$D23*$E23)</f>
        <v/>
      </c>
      <c r="H23" s="19" t="n"/>
      <c r="I23" s="12">
        <f>IF($H23="","",$H23*$E23)</f>
        <v/>
      </c>
      <c r="J23" s="12">
        <f>IF($D23="","",($D23-N($H23))*$E23)</f>
        <v/>
      </c>
      <c r="K23" s="17">
        <f>IF($C23="","",EDATE($C23,$D23-1))</f>
        <v/>
      </c>
      <c r="L23" s="18">
        <f>IF($D23="","",IF(N($H23)&gt;=$D23,"Cancelado","Vigente"))</f>
        <v/>
      </c>
    </row>
    <row r="24">
      <c r="A24" s="19" t="n"/>
      <c r="B24" s="19" t="n"/>
      <c r="C24" s="15" t="n"/>
      <c r="D24" s="19" t="n"/>
      <c r="E24" s="16" t="n"/>
      <c r="F24" s="19" t="n"/>
      <c r="G24" s="12">
        <f>IF($D24="","",$D24*$E24)</f>
        <v/>
      </c>
      <c r="H24" s="19" t="n"/>
      <c r="I24" s="12">
        <f>IF($H24="","",$H24*$E24)</f>
        <v/>
      </c>
      <c r="J24" s="12">
        <f>IF($D24="","",($D24-N($H24))*$E24)</f>
        <v/>
      </c>
      <c r="K24" s="17">
        <f>IF($C24="","",EDATE($C24,$D24-1))</f>
        <v/>
      </c>
      <c r="L24" s="18">
        <f>IF($D24="","",IF(N($H24)&gt;=$D24,"Cancelado","Vigente"))</f>
        <v/>
      </c>
    </row>
    <row r="25">
      <c r="A25" s="19" t="n"/>
      <c r="B25" s="19" t="n"/>
      <c r="C25" s="15" t="n"/>
      <c r="D25" s="19" t="n"/>
      <c r="E25" s="16" t="n"/>
      <c r="F25" s="19" t="n"/>
      <c r="G25" s="12">
        <f>IF($D25="","",$D25*$E25)</f>
        <v/>
      </c>
      <c r="H25" s="19" t="n"/>
      <c r="I25" s="12">
        <f>IF($H25="","",$H25*$E25)</f>
        <v/>
      </c>
      <c r="J25" s="12">
        <f>IF($D25="","",($D25-N($H25))*$E25)</f>
        <v/>
      </c>
      <c r="K25" s="17">
        <f>IF($C25="","",EDATE($C25,$D25-1))</f>
        <v/>
      </c>
      <c r="L25" s="18">
        <f>IF($D25="","",IF(N($H25)&gt;=$D25,"Cancelado","Vigente"))</f>
        <v/>
      </c>
    </row>
    <row r="26">
      <c r="A26" s="19" t="n"/>
      <c r="B26" s="19" t="n"/>
      <c r="C26" s="15" t="n"/>
      <c r="D26" s="19" t="n"/>
      <c r="E26" s="16" t="n"/>
      <c r="F26" s="19" t="n"/>
      <c r="G26" s="12">
        <f>IF($D26="","",$D26*$E26)</f>
        <v/>
      </c>
      <c r="H26" s="19" t="n"/>
      <c r="I26" s="12">
        <f>IF($H26="","",$H26*$E26)</f>
        <v/>
      </c>
      <c r="J26" s="12">
        <f>IF($D26="","",($D26-N($H26))*$E26)</f>
        <v/>
      </c>
      <c r="K26" s="17">
        <f>IF($C26="","",EDATE($C26,$D26-1))</f>
        <v/>
      </c>
      <c r="L26" s="18">
        <f>IF($D26="","",IF(N($H26)&gt;=$D26,"Cancelado","Vigente"))</f>
        <v/>
      </c>
    </row>
    <row r="27">
      <c r="A27" s="19" t="n"/>
      <c r="B27" s="19" t="n"/>
      <c r="C27" s="15" t="n"/>
      <c r="D27" s="19" t="n"/>
      <c r="E27" s="16" t="n"/>
      <c r="F27" s="19" t="n"/>
      <c r="G27" s="12">
        <f>IF($D27="","",$D27*$E27)</f>
        <v/>
      </c>
      <c r="H27" s="19" t="n"/>
      <c r="I27" s="12">
        <f>IF($H27="","",$H27*$E27)</f>
        <v/>
      </c>
      <c r="J27" s="12">
        <f>IF($D27="","",($D27-N($H27))*$E27)</f>
        <v/>
      </c>
      <c r="K27" s="17">
        <f>IF($C27="","",EDATE($C27,$D27-1))</f>
        <v/>
      </c>
      <c r="L27" s="18">
        <f>IF($D27="","",IF(N($H27)&gt;=$D27,"Cancelado","Vigente"))</f>
        <v/>
      </c>
    </row>
    <row r="28">
      <c r="A28" s="19" t="n"/>
      <c r="B28" s="19" t="n"/>
      <c r="C28" s="15" t="n"/>
      <c r="D28" s="19" t="n"/>
      <c r="E28" s="16" t="n"/>
      <c r="F28" s="19" t="n"/>
      <c r="G28" s="12">
        <f>IF($D28="","",$D28*$E28)</f>
        <v/>
      </c>
      <c r="H28" s="19" t="n"/>
      <c r="I28" s="12">
        <f>IF($H28="","",$H28*$E28)</f>
        <v/>
      </c>
      <c r="J28" s="12">
        <f>IF($D28="","",($D28-N($H28))*$E28)</f>
        <v/>
      </c>
      <c r="K28" s="17">
        <f>IF($C28="","",EDATE($C28,$D28-1))</f>
        <v/>
      </c>
      <c r="L28" s="18">
        <f>IF($D28="","",IF(N($H28)&gt;=$D28,"Cancelado","Vigente"))</f>
        <v/>
      </c>
    </row>
    <row r="29">
      <c r="A29" s="19" t="n"/>
      <c r="B29" s="19" t="n"/>
      <c r="C29" s="15" t="n"/>
      <c r="D29" s="19" t="n"/>
      <c r="E29" s="16" t="n"/>
      <c r="F29" s="19" t="n"/>
      <c r="G29" s="12">
        <f>IF($D29="","",$D29*$E29)</f>
        <v/>
      </c>
      <c r="H29" s="19" t="n"/>
      <c r="I29" s="12">
        <f>IF($H29="","",$H29*$E29)</f>
        <v/>
      </c>
      <c r="J29" s="12">
        <f>IF($D29="","",($D29-N($H29))*$E29)</f>
        <v/>
      </c>
      <c r="K29" s="17">
        <f>IF($C29="","",EDATE($C29,$D29-1))</f>
        <v/>
      </c>
      <c r="L29" s="18">
        <f>IF($D29="","",IF(N($H29)&gt;=$D29,"Cancelado","Vigente"))</f>
        <v/>
      </c>
    </row>
    <row r="30">
      <c r="A30" s="19" t="n"/>
      <c r="B30" s="19" t="n"/>
      <c r="C30" s="15" t="n"/>
      <c r="D30" s="19" t="n"/>
      <c r="E30" s="16" t="n"/>
      <c r="F30" s="19" t="n"/>
      <c r="G30" s="12">
        <f>IF($D30="","",$D30*$E30)</f>
        <v/>
      </c>
      <c r="H30" s="19" t="n"/>
      <c r="I30" s="12">
        <f>IF($H30="","",$H30*$E30)</f>
        <v/>
      </c>
      <c r="J30" s="12">
        <f>IF($D30="","",($D30-N($H30))*$E30)</f>
        <v/>
      </c>
      <c r="K30" s="17">
        <f>IF($C30="","",EDATE($C30,$D30-1))</f>
        <v/>
      </c>
      <c r="L30" s="18">
        <f>IF($D30="","",IF(N($H30)&gt;=$D30,"Cancelado","Vigente"))</f>
        <v/>
      </c>
    </row>
    <row r="31">
      <c r="A31" s="19" t="n"/>
      <c r="B31" s="19" t="n"/>
      <c r="C31" s="15" t="n"/>
      <c r="D31" s="19" t="n"/>
      <c r="E31" s="16" t="n"/>
      <c r="F31" s="19" t="n"/>
      <c r="G31" s="12">
        <f>IF($D31="","",$D31*$E31)</f>
        <v/>
      </c>
      <c r="H31" s="19" t="n"/>
      <c r="I31" s="12">
        <f>IF($H31="","",$H31*$E31)</f>
        <v/>
      </c>
      <c r="J31" s="12">
        <f>IF($D31="","",($D31-N($H31))*$E31)</f>
        <v/>
      </c>
      <c r="K31" s="17">
        <f>IF($C31="","",EDATE($C31,$D31-1))</f>
        <v/>
      </c>
      <c r="L31" s="18">
        <f>IF($D31="","",IF(N($H31)&gt;=$D31,"Cancelado","Vigente"))</f>
        <v/>
      </c>
    </row>
    <row r="32">
      <c r="A32" s="19" t="n"/>
      <c r="B32" s="19" t="n"/>
      <c r="C32" s="15" t="n"/>
      <c r="D32" s="19" t="n"/>
      <c r="E32" s="16" t="n"/>
      <c r="F32" s="19" t="n"/>
      <c r="G32" s="12">
        <f>IF($D32="","",$D32*$E32)</f>
        <v/>
      </c>
      <c r="H32" s="19" t="n"/>
      <c r="I32" s="12">
        <f>IF($H32="","",$H32*$E32)</f>
        <v/>
      </c>
      <c r="J32" s="12">
        <f>IF($D32="","",($D32-N($H32))*$E32)</f>
        <v/>
      </c>
      <c r="K32" s="17">
        <f>IF($C32="","",EDATE($C32,$D32-1))</f>
        <v/>
      </c>
      <c r="L32" s="18">
        <f>IF($D32="","",IF(N($H32)&gt;=$D32,"Cancelado","Vigente"))</f>
        <v/>
      </c>
    </row>
    <row r="33">
      <c r="A33" s="19" t="n"/>
      <c r="B33" s="19" t="n"/>
      <c r="C33" s="15" t="n"/>
      <c r="D33" s="19" t="n"/>
      <c r="E33" s="16" t="n"/>
      <c r="F33" s="19" t="n"/>
      <c r="G33" s="12">
        <f>IF($D33="","",$D33*$E33)</f>
        <v/>
      </c>
      <c r="H33" s="19" t="n"/>
      <c r="I33" s="12">
        <f>IF($H33="","",$H33*$E33)</f>
        <v/>
      </c>
      <c r="J33" s="12">
        <f>IF($D33="","",($D33-N($H33))*$E33)</f>
        <v/>
      </c>
      <c r="K33" s="17">
        <f>IF($C33="","",EDATE($C33,$D33-1))</f>
        <v/>
      </c>
      <c r="L33" s="18">
        <f>IF($D33="","",IF(N($H33)&gt;=$D33,"Cancelado","Vigente"))</f>
        <v/>
      </c>
    </row>
    <row r="34">
      <c r="A34" s="19" t="n"/>
      <c r="B34" s="19" t="n"/>
      <c r="C34" s="15" t="n"/>
      <c r="D34" s="19" t="n"/>
      <c r="E34" s="16" t="n"/>
      <c r="F34" s="19" t="n"/>
      <c r="G34" s="12">
        <f>IF($D34="","",$D34*$E34)</f>
        <v/>
      </c>
      <c r="H34" s="19" t="n"/>
      <c r="I34" s="12">
        <f>IF($H34="","",$H34*$E34)</f>
        <v/>
      </c>
      <c r="J34" s="12">
        <f>IF($D34="","",($D34-N($H34))*$E34)</f>
        <v/>
      </c>
      <c r="K34" s="17">
        <f>IF($C34="","",EDATE($C34,$D34-1))</f>
        <v/>
      </c>
      <c r="L34" s="18">
        <f>IF($D34="","",IF(N($H34)&gt;=$D34,"Cancelado","Vigente"))</f>
        <v/>
      </c>
    </row>
    <row r="35">
      <c r="A35" s="19" t="n"/>
      <c r="B35" s="19" t="n"/>
      <c r="C35" s="15" t="n"/>
      <c r="D35" s="19" t="n"/>
      <c r="E35" s="16" t="n"/>
      <c r="F35" s="19" t="n"/>
      <c r="G35" s="12">
        <f>IF($D35="","",$D35*$E35)</f>
        <v/>
      </c>
      <c r="H35" s="19" t="n"/>
      <c r="I35" s="12">
        <f>IF($H35="","",$H35*$E35)</f>
        <v/>
      </c>
      <c r="J35" s="12">
        <f>IF($D35="","",($D35-N($H35))*$E35)</f>
        <v/>
      </c>
      <c r="K35" s="17">
        <f>IF($C35="","",EDATE($C35,$D35-1))</f>
        <v/>
      </c>
      <c r="L35" s="18">
        <f>IF($D35="","",IF(N($H35)&gt;=$D35,"Cancelado","Vigente"))</f>
        <v/>
      </c>
    </row>
    <row r="36">
      <c r="A36" s="19" t="n"/>
      <c r="B36" s="19" t="n"/>
      <c r="C36" s="15" t="n"/>
      <c r="D36" s="19" t="n"/>
      <c r="E36" s="16" t="n"/>
      <c r="F36" s="19" t="n"/>
      <c r="G36" s="12">
        <f>IF($D36="","",$D36*$E36)</f>
        <v/>
      </c>
      <c r="H36" s="19" t="n"/>
      <c r="I36" s="12">
        <f>IF($H36="","",$H36*$E36)</f>
        <v/>
      </c>
      <c r="J36" s="12">
        <f>IF($D36="","",($D36-N($H36))*$E36)</f>
        <v/>
      </c>
      <c r="K36" s="17">
        <f>IF($C36="","",EDATE($C36,$D36-1))</f>
        <v/>
      </c>
      <c r="L36" s="18">
        <f>IF($D36="","",IF(N($H36)&gt;=$D36,"Cancelado","Vigente"))</f>
        <v/>
      </c>
    </row>
    <row r="37">
      <c r="A37" s="19" t="n"/>
      <c r="B37" s="19" t="n"/>
      <c r="C37" s="15" t="n"/>
      <c r="D37" s="19" t="n"/>
      <c r="E37" s="16" t="n"/>
      <c r="F37" s="19" t="n"/>
      <c r="G37" s="12">
        <f>IF($D37="","",$D37*$E37)</f>
        <v/>
      </c>
      <c r="H37" s="19" t="n"/>
      <c r="I37" s="12">
        <f>IF($H37="","",$H37*$E37)</f>
        <v/>
      </c>
      <c r="J37" s="12">
        <f>IF($D37="","",($D37-N($H37))*$E37)</f>
        <v/>
      </c>
      <c r="K37" s="17">
        <f>IF($C37="","",EDATE($C37,$D37-1))</f>
        <v/>
      </c>
      <c r="L37" s="18">
        <f>IF($D37="","",IF(N($H37)&gt;=$D37,"Cancelado","Vigente"))</f>
        <v/>
      </c>
    </row>
    <row r="38">
      <c r="A38" s="19" t="n"/>
      <c r="B38" s="19" t="n"/>
      <c r="C38" s="15" t="n"/>
      <c r="D38" s="19" t="n"/>
      <c r="E38" s="16" t="n"/>
      <c r="F38" s="19" t="n"/>
      <c r="G38" s="12">
        <f>IF($D38="","",$D38*$E38)</f>
        <v/>
      </c>
      <c r="H38" s="19" t="n"/>
      <c r="I38" s="12">
        <f>IF($H38="","",$H38*$E38)</f>
        <v/>
      </c>
      <c r="J38" s="12">
        <f>IF($D38="","",($D38-N($H38))*$E38)</f>
        <v/>
      </c>
      <c r="K38" s="17">
        <f>IF($C38="","",EDATE($C38,$D38-1))</f>
        <v/>
      </c>
      <c r="L38" s="18">
        <f>IF($D38="","",IF(N($H38)&gt;=$D38,"Cancelado","Vigente"))</f>
        <v/>
      </c>
    </row>
    <row r="39">
      <c r="A39" s="19" t="n"/>
      <c r="B39" s="19" t="n"/>
      <c r="C39" s="15" t="n"/>
      <c r="D39" s="19" t="n"/>
      <c r="E39" s="16" t="n"/>
      <c r="F39" s="19" t="n"/>
      <c r="G39" s="12">
        <f>IF($D39="","",$D39*$E39)</f>
        <v/>
      </c>
      <c r="H39" s="19" t="n"/>
      <c r="I39" s="12">
        <f>IF($H39="","",$H39*$E39)</f>
        <v/>
      </c>
      <c r="J39" s="12">
        <f>IF($D39="","",($D39-N($H39))*$E39)</f>
        <v/>
      </c>
      <c r="K39" s="17">
        <f>IF($C39="","",EDATE($C39,$D39-1))</f>
        <v/>
      </c>
      <c r="L39" s="18">
        <f>IF($D39="","",IF(N($H39)&gt;=$D39,"Cancelado","Vigente"))</f>
        <v/>
      </c>
    </row>
    <row r="40">
      <c r="A40" s="19" t="n"/>
      <c r="B40" s="19" t="n"/>
      <c r="C40" s="15" t="n"/>
      <c r="D40" s="19" t="n"/>
      <c r="E40" s="16" t="n"/>
      <c r="F40" s="19" t="n"/>
      <c r="G40" s="12">
        <f>IF($D40="","",$D40*$E40)</f>
        <v/>
      </c>
      <c r="H40" s="19" t="n"/>
      <c r="I40" s="12">
        <f>IF($H40="","",$H40*$E40)</f>
        <v/>
      </c>
      <c r="J40" s="12">
        <f>IF($D40="","",($D40-N($H40))*$E40)</f>
        <v/>
      </c>
      <c r="K40" s="17">
        <f>IF($C40="","",EDATE($C40,$D40-1))</f>
        <v/>
      </c>
      <c r="L40" s="18">
        <f>IF($D40="","",IF(N($H40)&gt;=$D40,"Cancelado","Vigente"))</f>
        <v/>
      </c>
    </row>
    <row r="41">
      <c r="A41" s="19" t="n"/>
      <c r="B41" s="19" t="n"/>
      <c r="C41" s="15" t="n"/>
      <c r="D41" s="19" t="n"/>
      <c r="E41" s="16" t="n"/>
      <c r="F41" s="19" t="n"/>
      <c r="G41" s="12">
        <f>IF($D41="","",$D41*$E41)</f>
        <v/>
      </c>
      <c r="H41" s="19" t="n"/>
      <c r="I41" s="12">
        <f>IF($H41="","",$H41*$E41)</f>
        <v/>
      </c>
      <c r="J41" s="12">
        <f>IF($D41="","",($D41-N($H41))*$E41)</f>
        <v/>
      </c>
      <c r="K41" s="17">
        <f>IF($C41="","",EDATE($C41,$D41-1))</f>
        <v/>
      </c>
      <c r="L41" s="18">
        <f>IF($D41="","",IF(N($H41)&gt;=$D41,"Cancelado","Vigente"))</f>
        <v/>
      </c>
    </row>
    <row r="42">
      <c r="A42" s="19" t="n"/>
      <c r="B42" s="19" t="n"/>
      <c r="C42" s="15" t="n"/>
      <c r="D42" s="19" t="n"/>
      <c r="E42" s="16" t="n"/>
      <c r="F42" s="19" t="n"/>
      <c r="G42" s="12">
        <f>IF($D42="","",$D42*$E42)</f>
        <v/>
      </c>
      <c r="H42" s="19" t="n"/>
      <c r="I42" s="12">
        <f>IF($H42="","",$H42*$E42)</f>
        <v/>
      </c>
      <c r="J42" s="12">
        <f>IF($D42="","",($D42-N($H42))*$E42)</f>
        <v/>
      </c>
      <c r="K42" s="17">
        <f>IF($C42="","",EDATE($C42,$D42-1))</f>
        <v/>
      </c>
      <c r="L42" s="18">
        <f>IF($D42="","",IF(N($H42)&gt;=$D42,"Cancelado","Vigente"))</f>
        <v/>
      </c>
    </row>
    <row r="43">
      <c r="A43" s="19" t="n"/>
      <c r="B43" s="19" t="n"/>
      <c r="C43" s="15" t="n"/>
      <c r="D43" s="19" t="n"/>
      <c r="E43" s="16" t="n"/>
      <c r="F43" s="19" t="n"/>
      <c r="G43" s="12">
        <f>IF($D43="","",$D43*$E43)</f>
        <v/>
      </c>
      <c r="H43" s="19" t="n"/>
      <c r="I43" s="12">
        <f>IF($H43="","",$H43*$E43)</f>
        <v/>
      </c>
      <c r="J43" s="12">
        <f>IF($D43="","",($D43-N($H43))*$E43)</f>
        <v/>
      </c>
      <c r="K43" s="17">
        <f>IF($C43="","",EDATE($C43,$D43-1))</f>
        <v/>
      </c>
      <c r="L43" s="18">
        <f>IF($D43="","",IF(N($H43)&gt;=$D43,"Cancelado","Vigente"))</f>
        <v/>
      </c>
    </row>
    <row r="44">
      <c r="A44" s="19" t="n"/>
      <c r="B44" s="19" t="n"/>
      <c r="C44" s="15" t="n"/>
      <c r="D44" s="19" t="n"/>
      <c r="E44" s="16" t="n"/>
      <c r="F44" s="19" t="n"/>
      <c r="G44" s="12">
        <f>IF($D44="","",$D44*$E44)</f>
        <v/>
      </c>
      <c r="H44" s="19" t="n"/>
      <c r="I44" s="12">
        <f>IF($H44="","",$H44*$E44)</f>
        <v/>
      </c>
      <c r="J44" s="12">
        <f>IF($D44="","",($D44-N($H44))*$E44)</f>
        <v/>
      </c>
      <c r="K44" s="17">
        <f>IF($C44="","",EDATE($C44,$D44-1))</f>
        <v/>
      </c>
      <c r="L44" s="18">
        <f>IF($D44="","",IF(N($H44)&gt;=$D44,"Cancelado","Vigente"))</f>
        <v/>
      </c>
    </row>
    <row r="45">
      <c r="A45" s="19" t="n"/>
      <c r="B45" s="19" t="n"/>
      <c r="C45" s="15" t="n"/>
      <c r="D45" s="19" t="n"/>
      <c r="E45" s="16" t="n"/>
      <c r="F45" s="19" t="n"/>
      <c r="G45" s="12">
        <f>IF($D45="","",$D45*$E45)</f>
        <v/>
      </c>
      <c r="H45" s="19" t="n"/>
      <c r="I45" s="12">
        <f>IF($H45="","",$H45*$E45)</f>
        <v/>
      </c>
      <c r="J45" s="12">
        <f>IF($D45="","",($D45-N($H45))*$E45)</f>
        <v/>
      </c>
      <c r="K45" s="17">
        <f>IF($C45="","",EDATE($C45,$D45-1))</f>
        <v/>
      </c>
      <c r="L45" s="18">
        <f>IF($D45="","",IF(N($H45)&gt;=$D45,"Cancelado","Vigente"))</f>
        <v/>
      </c>
    </row>
    <row r="46">
      <c r="A46" s="19" t="n"/>
      <c r="B46" s="19" t="n"/>
      <c r="C46" s="15" t="n"/>
      <c r="D46" s="19" t="n"/>
      <c r="E46" s="16" t="n"/>
      <c r="F46" s="19" t="n"/>
      <c r="G46" s="12">
        <f>IF($D46="","",$D46*$E46)</f>
        <v/>
      </c>
      <c r="H46" s="19" t="n"/>
      <c r="I46" s="12">
        <f>IF($H46="","",$H46*$E46)</f>
        <v/>
      </c>
      <c r="J46" s="12">
        <f>IF($D46="","",($D46-N($H46))*$E46)</f>
        <v/>
      </c>
      <c r="K46" s="17">
        <f>IF($C46="","",EDATE($C46,$D46-1))</f>
        <v/>
      </c>
      <c r="L46" s="18">
        <f>IF($D46="","",IF(N($H46)&gt;=$D46,"Cancelado","Vigente"))</f>
        <v/>
      </c>
    </row>
    <row r="47">
      <c r="A47" s="19" t="n"/>
      <c r="B47" s="19" t="n"/>
      <c r="C47" s="15" t="n"/>
      <c r="D47" s="19" t="n"/>
      <c r="E47" s="16" t="n"/>
      <c r="F47" s="19" t="n"/>
      <c r="G47" s="12">
        <f>IF($D47="","",$D47*$E47)</f>
        <v/>
      </c>
      <c r="H47" s="19" t="n"/>
      <c r="I47" s="12">
        <f>IF($H47="","",$H47*$E47)</f>
        <v/>
      </c>
      <c r="J47" s="12">
        <f>IF($D47="","",($D47-N($H47))*$E47)</f>
        <v/>
      </c>
      <c r="K47" s="17">
        <f>IF($C47="","",EDATE($C47,$D47-1))</f>
        <v/>
      </c>
      <c r="L47" s="18">
        <f>IF($D47="","",IF(N($H47)&gt;=$D47,"Cancelado","Vigente"))</f>
        <v/>
      </c>
    </row>
    <row r="48">
      <c r="A48" s="19" t="n"/>
      <c r="B48" s="19" t="n"/>
      <c r="C48" s="15" t="n"/>
      <c r="D48" s="19" t="n"/>
      <c r="E48" s="16" t="n"/>
      <c r="F48" s="19" t="n"/>
      <c r="G48" s="12">
        <f>IF($D48="","",$D48*$E48)</f>
        <v/>
      </c>
      <c r="H48" s="19" t="n"/>
      <c r="I48" s="12">
        <f>IF($H48="","",$H48*$E48)</f>
        <v/>
      </c>
      <c r="J48" s="12">
        <f>IF($D48="","",($D48-N($H48))*$E48)</f>
        <v/>
      </c>
      <c r="K48" s="17">
        <f>IF($C48="","",EDATE($C48,$D48-1))</f>
        <v/>
      </c>
      <c r="L48" s="18">
        <f>IF($D48="","",IF(N($H48)&gt;=$D48,"Cancelado","Vigente"))</f>
        <v/>
      </c>
    </row>
    <row r="49">
      <c r="A49" s="19" t="n"/>
      <c r="B49" s="19" t="n"/>
      <c r="C49" s="15" t="n"/>
      <c r="D49" s="19" t="n"/>
      <c r="E49" s="16" t="n"/>
      <c r="F49" s="19" t="n"/>
      <c r="G49" s="12">
        <f>IF($D49="","",$D49*$E49)</f>
        <v/>
      </c>
      <c r="H49" s="19" t="n"/>
      <c r="I49" s="12">
        <f>IF($H49="","",$H49*$E49)</f>
        <v/>
      </c>
      <c r="J49" s="12">
        <f>IF($D49="","",($D49-N($H49))*$E49)</f>
        <v/>
      </c>
      <c r="K49" s="17">
        <f>IF($C49="","",EDATE($C49,$D49-1))</f>
        <v/>
      </c>
      <c r="L49" s="18">
        <f>IF($D49="","",IF(N($H49)&gt;=$D49,"Cancelado","Vigente"))</f>
        <v/>
      </c>
    </row>
    <row r="50">
      <c r="A50" s="19" t="n"/>
      <c r="B50" s="19" t="n"/>
      <c r="C50" s="15" t="n"/>
      <c r="D50" s="19" t="n"/>
      <c r="E50" s="16" t="n"/>
      <c r="F50" s="19" t="n"/>
      <c r="G50" s="12">
        <f>IF($D50="","",$D50*$E50)</f>
        <v/>
      </c>
      <c r="H50" s="19" t="n"/>
      <c r="I50" s="12">
        <f>IF($H50="","",$H50*$E50)</f>
        <v/>
      </c>
      <c r="J50" s="12">
        <f>IF($D50="","",($D50-N($H50))*$E50)</f>
        <v/>
      </c>
      <c r="K50" s="17">
        <f>IF($C50="","",EDATE($C50,$D50-1))</f>
        <v/>
      </c>
      <c r="L50" s="18">
        <f>IF($D50="","",IF(N($H50)&gt;=$D50,"Cancelado","Vigente"))</f>
        <v/>
      </c>
    </row>
    <row r="51">
      <c r="A51" s="19" t="n"/>
      <c r="B51" s="19" t="n"/>
      <c r="C51" s="15" t="n"/>
      <c r="D51" s="19" t="n"/>
      <c r="E51" s="16" t="n"/>
      <c r="F51" s="19" t="n"/>
      <c r="G51" s="12">
        <f>IF($D51="","",$D51*$E51)</f>
        <v/>
      </c>
      <c r="H51" s="19" t="n"/>
      <c r="I51" s="12">
        <f>IF($H51="","",$H51*$E51)</f>
        <v/>
      </c>
      <c r="J51" s="12">
        <f>IF($D51="","",($D51-N($H51))*$E51)</f>
        <v/>
      </c>
      <c r="K51" s="17">
        <f>IF($C51="","",EDATE($C51,$D51-1))</f>
        <v/>
      </c>
      <c r="L51" s="18">
        <f>IF($D51="","",IF(N($H51)&gt;=$D51,"Cancelado","Vigente"))</f>
        <v/>
      </c>
    </row>
    <row r="52">
      <c r="A52" s="19" t="n"/>
      <c r="B52" s="19" t="n"/>
      <c r="C52" s="15" t="n"/>
      <c r="D52" s="19" t="n"/>
      <c r="E52" s="16" t="n"/>
      <c r="F52" s="19" t="n"/>
      <c r="G52" s="12">
        <f>IF($D52="","",$D52*$E52)</f>
        <v/>
      </c>
      <c r="H52" s="19" t="n"/>
      <c r="I52" s="12">
        <f>IF($H52="","",$H52*$E52)</f>
        <v/>
      </c>
      <c r="J52" s="12">
        <f>IF($D52="","",($D52-N($H52))*$E52)</f>
        <v/>
      </c>
      <c r="K52" s="17">
        <f>IF($C52="","",EDATE($C52,$D52-1))</f>
        <v/>
      </c>
      <c r="L52" s="18">
        <f>IF($D52="","",IF(N($H52)&gt;=$D52,"Cancelado","Vigente"))</f>
        <v/>
      </c>
    </row>
    <row r="53">
      <c r="A53" s="19" t="n"/>
      <c r="B53" s="19" t="n"/>
      <c r="C53" s="15" t="n"/>
      <c r="D53" s="19" t="n"/>
      <c r="E53" s="16" t="n"/>
      <c r="F53" s="19" t="n"/>
      <c r="G53" s="12">
        <f>IF($D53="","",$D53*$E53)</f>
        <v/>
      </c>
      <c r="H53" s="19" t="n"/>
      <c r="I53" s="12">
        <f>IF($H53="","",$H53*$E53)</f>
        <v/>
      </c>
      <c r="J53" s="12">
        <f>IF($D53="","",($D53-N($H53))*$E53)</f>
        <v/>
      </c>
      <c r="K53" s="17">
        <f>IF($C53="","",EDATE($C53,$D53-1))</f>
        <v/>
      </c>
      <c r="L53" s="18">
        <f>IF($D53="","",IF(N($H53)&gt;=$D53,"Cancelado","Vigente"))</f>
        <v/>
      </c>
    </row>
    <row r="54">
      <c r="A54" s="19" t="n"/>
      <c r="B54" s="19" t="n"/>
      <c r="C54" s="15" t="n"/>
      <c r="D54" s="19" t="n"/>
      <c r="E54" s="16" t="n"/>
      <c r="F54" s="19" t="n"/>
      <c r="G54" s="12">
        <f>IF($D54="","",$D54*$E54)</f>
        <v/>
      </c>
      <c r="H54" s="19" t="n"/>
      <c r="I54" s="12">
        <f>IF($H54="","",$H54*$E54)</f>
        <v/>
      </c>
      <c r="J54" s="12">
        <f>IF($D54="","",($D54-N($H54))*$E54)</f>
        <v/>
      </c>
      <c r="K54" s="17">
        <f>IF($C54="","",EDATE($C54,$D54-1))</f>
        <v/>
      </c>
      <c r="L54" s="18">
        <f>IF($D54="","",IF(N($H54)&gt;=$D54,"Cancelado","Vigente"))</f>
        <v/>
      </c>
    </row>
    <row r="55">
      <c r="A55" s="19" t="n"/>
      <c r="B55" s="19" t="n"/>
      <c r="C55" s="15" t="n"/>
      <c r="D55" s="19" t="n"/>
      <c r="E55" s="16" t="n"/>
      <c r="F55" s="19" t="n"/>
      <c r="G55" s="12">
        <f>IF($D55="","",$D55*$E55)</f>
        <v/>
      </c>
      <c r="H55" s="19" t="n"/>
      <c r="I55" s="12">
        <f>IF($H55="","",$H55*$E55)</f>
        <v/>
      </c>
      <c r="J55" s="12">
        <f>IF($D55="","",($D55-N($H55))*$E55)</f>
        <v/>
      </c>
      <c r="K55" s="17">
        <f>IF($C55="","",EDATE($C55,$D55-1))</f>
        <v/>
      </c>
      <c r="L55" s="18">
        <f>IF($D55="","",IF(N($H55)&gt;=$D55,"Cancelado","Vigente"))</f>
        <v/>
      </c>
    </row>
    <row r="56">
      <c r="A56" s="19" t="n"/>
      <c r="B56" s="19" t="n"/>
      <c r="C56" s="15" t="n"/>
      <c r="D56" s="19" t="n"/>
      <c r="E56" s="16" t="n"/>
      <c r="F56" s="19" t="n"/>
      <c r="G56" s="12">
        <f>IF($D56="","",$D56*$E56)</f>
        <v/>
      </c>
      <c r="H56" s="19" t="n"/>
      <c r="I56" s="12">
        <f>IF($H56="","",$H56*$E56)</f>
        <v/>
      </c>
      <c r="J56" s="12">
        <f>IF($D56="","",($D56-N($H56))*$E56)</f>
        <v/>
      </c>
      <c r="K56" s="17">
        <f>IF($C56="","",EDATE($C56,$D56-1))</f>
        <v/>
      </c>
      <c r="L56" s="18">
        <f>IF($D56="","",IF(N($H56)&gt;=$D56,"Cancelado","Vigente"))</f>
        <v/>
      </c>
    </row>
    <row r="57">
      <c r="A57" s="19" t="n"/>
      <c r="B57" s="19" t="n"/>
      <c r="C57" s="15" t="n"/>
      <c r="D57" s="19" t="n"/>
      <c r="E57" s="16" t="n"/>
      <c r="F57" s="19" t="n"/>
      <c r="G57" s="12">
        <f>IF($D57="","",$D57*$E57)</f>
        <v/>
      </c>
      <c r="H57" s="19" t="n"/>
      <c r="I57" s="12">
        <f>IF($H57="","",$H57*$E57)</f>
        <v/>
      </c>
      <c r="J57" s="12">
        <f>IF($D57="","",($D57-N($H57))*$E57)</f>
        <v/>
      </c>
      <c r="K57" s="17">
        <f>IF($C57="","",EDATE($C57,$D57-1))</f>
        <v/>
      </c>
      <c r="L57" s="18">
        <f>IF($D57="","",IF(N($H57)&gt;=$D57,"Cancelado","Vigente"))</f>
        <v/>
      </c>
    </row>
    <row r="58">
      <c r="A58" s="19" t="n"/>
      <c r="B58" s="19" t="n"/>
      <c r="C58" s="15" t="n"/>
      <c r="D58" s="19" t="n"/>
      <c r="E58" s="16" t="n"/>
      <c r="F58" s="19" t="n"/>
      <c r="G58" s="12">
        <f>IF($D58="","",$D58*$E58)</f>
        <v/>
      </c>
      <c r="H58" s="19" t="n"/>
      <c r="I58" s="12">
        <f>IF($H58="","",$H58*$E58)</f>
        <v/>
      </c>
      <c r="J58" s="12">
        <f>IF($D58="","",($D58-N($H58))*$E58)</f>
        <v/>
      </c>
      <c r="K58" s="17">
        <f>IF($C58="","",EDATE($C58,$D58-1))</f>
        <v/>
      </c>
      <c r="L58" s="18">
        <f>IF($D58="","",IF(N($H58)&gt;=$D58,"Cancelado","Vigente"))</f>
        <v/>
      </c>
    </row>
    <row r="59">
      <c r="A59" s="19" t="n"/>
      <c r="B59" s="19" t="n"/>
      <c r="C59" s="15" t="n"/>
      <c r="D59" s="19" t="n"/>
      <c r="E59" s="16" t="n"/>
      <c r="F59" s="19" t="n"/>
      <c r="G59" s="12">
        <f>IF($D59="","",$D59*$E59)</f>
        <v/>
      </c>
      <c r="H59" s="19" t="n"/>
      <c r="I59" s="12">
        <f>IF($H59="","",$H59*$E59)</f>
        <v/>
      </c>
      <c r="J59" s="12">
        <f>IF($D59="","",($D59-N($H59))*$E59)</f>
        <v/>
      </c>
      <c r="K59" s="17">
        <f>IF($C59="","",EDATE($C59,$D59-1))</f>
        <v/>
      </c>
      <c r="L59" s="18">
        <f>IF($D59="","",IF(N($H59)&gt;=$D59,"Cancelado","Vigente"))</f>
        <v/>
      </c>
    </row>
    <row r="60">
      <c r="A60" s="19" t="n"/>
      <c r="B60" s="19" t="n"/>
      <c r="C60" s="15" t="n"/>
      <c r="D60" s="19" t="n"/>
      <c r="E60" s="16" t="n"/>
      <c r="F60" s="19" t="n"/>
      <c r="G60" s="12">
        <f>IF($D60="","",$D60*$E60)</f>
        <v/>
      </c>
      <c r="H60" s="19" t="n"/>
      <c r="I60" s="12">
        <f>IF($H60="","",$H60*$E60)</f>
        <v/>
      </c>
      <c r="J60" s="12">
        <f>IF($D60="","",($D60-N($H60))*$E60)</f>
        <v/>
      </c>
      <c r="K60" s="17">
        <f>IF($C60="","",EDATE($C60,$D60-1))</f>
        <v/>
      </c>
      <c r="L60" s="18">
        <f>IF($D60="","",IF(N($H60)&gt;=$D60,"Cancelado","Vigente"))</f>
        <v/>
      </c>
    </row>
    <row r="61">
      <c r="A61" s="19" t="n"/>
      <c r="B61" s="19" t="n"/>
      <c r="C61" s="15" t="n"/>
      <c r="D61" s="19" t="n"/>
      <c r="E61" s="16" t="n"/>
      <c r="F61" s="19" t="n"/>
      <c r="G61" s="12">
        <f>IF($D61="","",$D61*$E61)</f>
        <v/>
      </c>
      <c r="H61" s="19" t="n"/>
      <c r="I61" s="12">
        <f>IF($H61="","",$H61*$E61)</f>
        <v/>
      </c>
      <c r="J61" s="12">
        <f>IF($D61="","",($D61-N($H61))*$E61)</f>
        <v/>
      </c>
      <c r="K61" s="17">
        <f>IF($C61="","",EDATE($C61,$D61-1))</f>
        <v/>
      </c>
      <c r="L61" s="18">
        <f>IF($D61="","",IF(N($H61)&gt;=$D61,"Cancelado","Vigente"))</f>
        <v/>
      </c>
    </row>
    <row r="62">
      <c r="A62" s="19" t="n"/>
      <c r="B62" s="19" t="n"/>
      <c r="C62" s="15" t="n"/>
      <c r="D62" s="19" t="n"/>
      <c r="E62" s="16" t="n"/>
      <c r="F62" s="19" t="n"/>
      <c r="G62" s="12">
        <f>IF($D62="","",$D62*$E62)</f>
        <v/>
      </c>
      <c r="H62" s="19" t="n"/>
      <c r="I62" s="12">
        <f>IF($H62="","",$H62*$E62)</f>
        <v/>
      </c>
      <c r="J62" s="12">
        <f>IF($D62="","",($D62-N($H62))*$E62)</f>
        <v/>
      </c>
      <c r="K62" s="17">
        <f>IF($C62="","",EDATE($C62,$D62-1))</f>
        <v/>
      </c>
      <c r="L62" s="18">
        <f>IF($D62="","",IF(N($H62)&gt;=$D62,"Cancelado","Vigente"))</f>
        <v/>
      </c>
    </row>
    <row r="63">
      <c r="A63" s="19" t="n"/>
      <c r="B63" s="19" t="n"/>
      <c r="C63" s="15" t="n"/>
      <c r="D63" s="19" t="n"/>
      <c r="E63" s="16" t="n"/>
      <c r="F63" s="19" t="n"/>
      <c r="G63" s="12">
        <f>IF($D63="","",$D63*$E63)</f>
        <v/>
      </c>
      <c r="H63" s="19" t="n"/>
      <c r="I63" s="12">
        <f>IF($H63="","",$H63*$E63)</f>
        <v/>
      </c>
      <c r="J63" s="12">
        <f>IF($D63="","",($D63-N($H63))*$E63)</f>
        <v/>
      </c>
      <c r="K63" s="17">
        <f>IF($C63="","",EDATE($C63,$D63-1))</f>
        <v/>
      </c>
      <c r="L63" s="18">
        <f>IF($D63="","",IF(N($H63)&gt;=$D63,"Cancelado","Vigente"))</f>
        <v/>
      </c>
    </row>
    <row r="64">
      <c r="A64" s="19" t="n"/>
      <c r="B64" s="19" t="n"/>
      <c r="C64" s="15" t="n"/>
      <c r="D64" s="19" t="n"/>
      <c r="E64" s="16" t="n"/>
      <c r="F64" s="19" t="n"/>
      <c r="G64" s="12">
        <f>IF($D64="","",$D64*$E64)</f>
        <v/>
      </c>
      <c r="H64" s="19" t="n"/>
      <c r="I64" s="12">
        <f>IF($H64="","",$H64*$E64)</f>
        <v/>
      </c>
      <c r="J64" s="12">
        <f>IF($D64="","",($D64-N($H64))*$E64)</f>
        <v/>
      </c>
      <c r="K64" s="17">
        <f>IF($C64="","",EDATE($C64,$D64-1))</f>
        <v/>
      </c>
      <c r="L64" s="18">
        <f>IF($D64="","",IF(N($H64)&gt;=$D64,"Cancelado","Vigente"))</f>
        <v/>
      </c>
    </row>
    <row r="65">
      <c r="A65" s="19" t="n"/>
      <c r="B65" s="19" t="n"/>
      <c r="C65" s="15" t="n"/>
      <c r="D65" s="19" t="n"/>
      <c r="E65" s="16" t="n"/>
      <c r="F65" s="19" t="n"/>
      <c r="G65" s="12">
        <f>IF($D65="","",$D65*$E65)</f>
        <v/>
      </c>
      <c r="H65" s="19" t="n"/>
      <c r="I65" s="12">
        <f>IF($H65="","",$H65*$E65)</f>
        <v/>
      </c>
      <c r="J65" s="12">
        <f>IF($D65="","",($D65-N($H65))*$E65)</f>
        <v/>
      </c>
      <c r="K65" s="17">
        <f>IF($C65="","",EDATE($C65,$D65-1))</f>
        <v/>
      </c>
      <c r="L65" s="18">
        <f>IF($D65="","",IF(N($H65)&gt;=$D65,"Cancelado","Vigente"))</f>
        <v/>
      </c>
    </row>
    <row r="66">
      <c r="A66" s="19" t="n"/>
      <c r="B66" s="19" t="n"/>
      <c r="C66" s="15" t="n"/>
      <c r="D66" s="19" t="n"/>
      <c r="E66" s="16" t="n"/>
      <c r="F66" s="19" t="n"/>
      <c r="G66" s="12">
        <f>IF($D66="","",$D66*$E66)</f>
        <v/>
      </c>
      <c r="H66" s="19" t="n"/>
      <c r="I66" s="12">
        <f>IF($H66="","",$H66*$E66)</f>
        <v/>
      </c>
      <c r="J66" s="12">
        <f>IF($D66="","",($D66-N($H66))*$E66)</f>
        <v/>
      </c>
      <c r="K66" s="17">
        <f>IF($C66="","",EDATE($C66,$D66-1))</f>
        <v/>
      </c>
      <c r="L66" s="18">
        <f>IF($D66="","",IF(N($H66)&gt;=$D66,"Cancelado","Vigente"))</f>
        <v/>
      </c>
    </row>
    <row r="67">
      <c r="A67" s="19" t="n"/>
      <c r="B67" s="19" t="n"/>
      <c r="C67" s="15" t="n"/>
      <c r="D67" s="19" t="n"/>
      <c r="E67" s="16" t="n"/>
      <c r="F67" s="19" t="n"/>
      <c r="G67" s="12">
        <f>IF($D67="","",$D67*$E67)</f>
        <v/>
      </c>
      <c r="H67" s="19" t="n"/>
      <c r="I67" s="12">
        <f>IF($H67="","",$H67*$E67)</f>
        <v/>
      </c>
      <c r="J67" s="12">
        <f>IF($D67="","",($D67-N($H67))*$E67)</f>
        <v/>
      </c>
      <c r="K67" s="17">
        <f>IF($C67="","",EDATE($C67,$D67-1))</f>
        <v/>
      </c>
      <c r="L67" s="18">
        <f>IF($D67="","",IF(N($H67)&gt;=$D67,"Cancelado","Vigente"))</f>
        <v/>
      </c>
    </row>
    <row r="68">
      <c r="A68" s="19" t="n"/>
      <c r="B68" s="19" t="n"/>
      <c r="C68" s="15" t="n"/>
      <c r="D68" s="19" t="n"/>
      <c r="E68" s="16" t="n"/>
      <c r="F68" s="19" t="n"/>
      <c r="G68" s="12">
        <f>IF($D68="","",$D68*$E68)</f>
        <v/>
      </c>
      <c r="H68" s="19" t="n"/>
      <c r="I68" s="12">
        <f>IF($H68="","",$H68*$E68)</f>
        <v/>
      </c>
      <c r="J68" s="12">
        <f>IF($D68="","",($D68-N($H68))*$E68)</f>
        <v/>
      </c>
      <c r="K68" s="17">
        <f>IF($C68="","",EDATE($C68,$D68-1))</f>
        <v/>
      </c>
      <c r="L68" s="18">
        <f>IF($D68="","",IF(N($H68)&gt;=$D68,"Cancelado","Vigente"))</f>
        <v/>
      </c>
    </row>
    <row r="69">
      <c r="A69" s="19" t="n"/>
      <c r="B69" s="19" t="n"/>
      <c r="C69" s="15" t="n"/>
      <c r="D69" s="19" t="n"/>
      <c r="E69" s="16" t="n"/>
      <c r="F69" s="19" t="n"/>
      <c r="G69" s="12">
        <f>IF($D69="","",$D69*$E69)</f>
        <v/>
      </c>
      <c r="H69" s="19" t="n"/>
      <c r="I69" s="12">
        <f>IF($H69="","",$H69*$E69)</f>
        <v/>
      </c>
      <c r="J69" s="12">
        <f>IF($D69="","",($D69-N($H69))*$E69)</f>
        <v/>
      </c>
      <c r="K69" s="17">
        <f>IF($C69="","",EDATE($C69,$D69-1))</f>
        <v/>
      </c>
      <c r="L69" s="18">
        <f>IF($D69="","",IF(N($H69)&gt;=$D69,"Cancelado","Vigente"))</f>
        <v/>
      </c>
    </row>
    <row r="70">
      <c r="A70" s="19" t="n"/>
      <c r="B70" s="19" t="n"/>
      <c r="C70" s="15" t="n"/>
      <c r="D70" s="19" t="n"/>
      <c r="E70" s="16" t="n"/>
      <c r="F70" s="19" t="n"/>
      <c r="G70" s="12">
        <f>IF($D70="","",$D70*$E70)</f>
        <v/>
      </c>
      <c r="H70" s="19" t="n"/>
      <c r="I70" s="12">
        <f>IF($H70="","",$H70*$E70)</f>
        <v/>
      </c>
      <c r="J70" s="12">
        <f>IF($D70="","",($D70-N($H70))*$E70)</f>
        <v/>
      </c>
      <c r="K70" s="17">
        <f>IF($C70="","",EDATE($C70,$D70-1))</f>
        <v/>
      </c>
      <c r="L70" s="18">
        <f>IF($D70="","",IF(N($H70)&gt;=$D70,"Cancelado","Vigente"))</f>
        <v/>
      </c>
    </row>
    <row r="71">
      <c r="A71" s="19" t="n"/>
      <c r="B71" s="19" t="n"/>
      <c r="C71" s="15" t="n"/>
      <c r="D71" s="19" t="n"/>
      <c r="E71" s="16" t="n"/>
      <c r="F71" s="19" t="n"/>
      <c r="G71" s="12">
        <f>IF($D71="","",$D71*$E71)</f>
        <v/>
      </c>
      <c r="H71" s="19" t="n"/>
      <c r="I71" s="12">
        <f>IF($H71="","",$H71*$E71)</f>
        <v/>
      </c>
      <c r="J71" s="12">
        <f>IF($D71="","",($D71-N($H71))*$E71)</f>
        <v/>
      </c>
      <c r="K71" s="17">
        <f>IF($C71="","",EDATE($C71,$D71-1))</f>
        <v/>
      </c>
      <c r="L71" s="18">
        <f>IF($D71="","",IF(N($H71)&gt;=$D71,"Cancelado","Vigente"))</f>
        <v/>
      </c>
    </row>
    <row r="72">
      <c r="A72" s="19" t="n"/>
      <c r="B72" s="19" t="n"/>
      <c r="C72" s="15" t="n"/>
      <c r="D72" s="19" t="n"/>
      <c r="E72" s="16" t="n"/>
      <c r="F72" s="19" t="n"/>
      <c r="G72" s="12">
        <f>IF($D72="","",$D72*$E72)</f>
        <v/>
      </c>
      <c r="H72" s="19" t="n"/>
      <c r="I72" s="12">
        <f>IF($H72="","",$H72*$E72)</f>
        <v/>
      </c>
      <c r="J72" s="12">
        <f>IF($D72="","",($D72-N($H72))*$E72)</f>
        <v/>
      </c>
      <c r="K72" s="17">
        <f>IF($C72="","",EDATE($C72,$D72-1))</f>
        <v/>
      </c>
      <c r="L72" s="18">
        <f>IF($D72="","",IF(N($H72)&gt;=$D72,"Cancelado","Vigente"))</f>
        <v/>
      </c>
    </row>
    <row r="73">
      <c r="A73" s="19" t="n"/>
      <c r="B73" s="19" t="n"/>
      <c r="C73" s="15" t="n"/>
      <c r="D73" s="19" t="n"/>
      <c r="E73" s="16" t="n"/>
      <c r="F73" s="19" t="n"/>
      <c r="G73" s="12">
        <f>IF($D73="","",$D73*$E73)</f>
        <v/>
      </c>
      <c r="H73" s="19" t="n"/>
      <c r="I73" s="12">
        <f>IF($H73="","",$H73*$E73)</f>
        <v/>
      </c>
      <c r="J73" s="12">
        <f>IF($D73="","",($D73-N($H73))*$E73)</f>
        <v/>
      </c>
      <c r="K73" s="17">
        <f>IF($C73="","",EDATE($C73,$D73-1))</f>
        <v/>
      </c>
      <c r="L73" s="18">
        <f>IF($D73="","",IF(N($H73)&gt;=$D73,"Cancelado","Vigente"))</f>
        <v/>
      </c>
    </row>
    <row r="74">
      <c r="A74" s="19" t="n"/>
      <c r="B74" s="19" t="n"/>
      <c r="C74" s="15" t="n"/>
      <c r="D74" s="19" t="n"/>
      <c r="E74" s="16" t="n"/>
      <c r="F74" s="19" t="n"/>
      <c r="G74" s="12">
        <f>IF($D74="","",$D74*$E74)</f>
        <v/>
      </c>
      <c r="H74" s="19" t="n"/>
      <c r="I74" s="12">
        <f>IF($H74="","",$H74*$E74)</f>
        <v/>
      </c>
      <c r="J74" s="12">
        <f>IF($D74="","",($D74-N($H74))*$E74)</f>
        <v/>
      </c>
      <c r="K74" s="17">
        <f>IF($C74="","",EDATE($C74,$D74-1))</f>
        <v/>
      </c>
      <c r="L74" s="18">
        <f>IF($D74="","",IF(N($H74)&gt;=$D74,"Cancelado","Vigente"))</f>
        <v/>
      </c>
    </row>
    <row r="75">
      <c r="A75" s="19" t="n"/>
      <c r="B75" s="19" t="n"/>
      <c r="C75" s="15" t="n"/>
      <c r="D75" s="19" t="n"/>
      <c r="E75" s="16" t="n"/>
      <c r="F75" s="19" t="n"/>
      <c r="G75" s="12">
        <f>IF($D75="","",$D75*$E75)</f>
        <v/>
      </c>
      <c r="H75" s="19" t="n"/>
      <c r="I75" s="12">
        <f>IF($H75="","",$H75*$E75)</f>
        <v/>
      </c>
      <c r="J75" s="12">
        <f>IF($D75="","",($D75-N($H75))*$E75)</f>
        <v/>
      </c>
      <c r="K75" s="17">
        <f>IF($C75="","",EDATE($C75,$D75-1))</f>
        <v/>
      </c>
      <c r="L75" s="18">
        <f>IF($D75="","",IF(N($H75)&gt;=$D75,"Cancelado","Vigente"))</f>
        <v/>
      </c>
    </row>
    <row r="76">
      <c r="A76" s="19" t="n"/>
      <c r="B76" s="19" t="n"/>
      <c r="C76" s="15" t="n"/>
      <c r="D76" s="19" t="n"/>
      <c r="E76" s="16" t="n"/>
      <c r="F76" s="19" t="n"/>
      <c r="G76" s="12">
        <f>IF($D76="","",$D76*$E76)</f>
        <v/>
      </c>
      <c r="H76" s="19" t="n"/>
      <c r="I76" s="12">
        <f>IF($H76="","",$H76*$E76)</f>
        <v/>
      </c>
      <c r="J76" s="12">
        <f>IF($D76="","",($D76-N($H76))*$E76)</f>
        <v/>
      </c>
      <c r="K76" s="17">
        <f>IF($C76="","",EDATE($C76,$D76-1))</f>
        <v/>
      </c>
      <c r="L76" s="18">
        <f>IF($D76="","",IF(N($H76)&gt;=$D76,"Cancelado","Vigente"))</f>
        <v/>
      </c>
    </row>
    <row r="77">
      <c r="A77" s="19" t="n"/>
      <c r="B77" s="19" t="n"/>
      <c r="C77" s="15" t="n"/>
      <c r="D77" s="19" t="n"/>
      <c r="E77" s="16" t="n"/>
      <c r="F77" s="19" t="n"/>
      <c r="G77" s="12">
        <f>IF($D77="","",$D77*$E77)</f>
        <v/>
      </c>
      <c r="H77" s="19" t="n"/>
      <c r="I77" s="12">
        <f>IF($H77="","",$H77*$E77)</f>
        <v/>
      </c>
      <c r="J77" s="12">
        <f>IF($D77="","",($D77-N($H77))*$E77)</f>
        <v/>
      </c>
      <c r="K77" s="17">
        <f>IF($C77="","",EDATE($C77,$D77-1))</f>
        <v/>
      </c>
      <c r="L77" s="18">
        <f>IF($D77="","",IF(N($H77)&gt;=$D77,"Cancelado","Vigente"))</f>
        <v/>
      </c>
    </row>
    <row r="78">
      <c r="A78" s="19" t="n"/>
      <c r="B78" s="19" t="n"/>
      <c r="C78" s="15" t="n"/>
      <c r="D78" s="19" t="n"/>
      <c r="E78" s="16" t="n"/>
      <c r="F78" s="19" t="n"/>
      <c r="G78" s="12">
        <f>IF($D78="","",$D78*$E78)</f>
        <v/>
      </c>
      <c r="H78" s="19" t="n"/>
      <c r="I78" s="12">
        <f>IF($H78="","",$H78*$E78)</f>
        <v/>
      </c>
      <c r="J78" s="12">
        <f>IF($D78="","",($D78-N($H78))*$E78)</f>
        <v/>
      </c>
      <c r="K78" s="17">
        <f>IF($C78="","",EDATE($C78,$D78-1))</f>
        <v/>
      </c>
      <c r="L78" s="18">
        <f>IF($D78="","",IF(N($H78)&gt;=$D78,"Cancelado","Vigente"))</f>
        <v/>
      </c>
    </row>
    <row r="79">
      <c r="A79" s="19" t="n"/>
      <c r="B79" s="19" t="n"/>
      <c r="C79" s="15" t="n"/>
      <c r="D79" s="19" t="n"/>
      <c r="E79" s="16" t="n"/>
      <c r="F79" s="19" t="n"/>
      <c r="G79" s="12">
        <f>IF($D79="","",$D79*$E79)</f>
        <v/>
      </c>
      <c r="H79" s="19" t="n"/>
      <c r="I79" s="12">
        <f>IF($H79="","",$H79*$E79)</f>
        <v/>
      </c>
      <c r="J79" s="12">
        <f>IF($D79="","",($D79-N($H79))*$E79)</f>
        <v/>
      </c>
      <c r="K79" s="17">
        <f>IF($C79="","",EDATE($C79,$D79-1))</f>
        <v/>
      </c>
      <c r="L79" s="18">
        <f>IF($D79="","",IF(N($H79)&gt;=$D79,"Cancelado","Vigente"))</f>
        <v/>
      </c>
    </row>
    <row r="80">
      <c r="A80" s="19" t="n"/>
      <c r="B80" s="19" t="n"/>
      <c r="C80" s="15" t="n"/>
      <c r="D80" s="19" t="n"/>
      <c r="E80" s="16" t="n"/>
      <c r="F80" s="19" t="n"/>
      <c r="G80" s="12">
        <f>IF($D80="","",$D80*$E80)</f>
        <v/>
      </c>
      <c r="H80" s="19" t="n"/>
      <c r="I80" s="12">
        <f>IF($H80="","",$H80*$E80)</f>
        <v/>
      </c>
      <c r="J80" s="12">
        <f>IF($D80="","",($D80-N($H80))*$E80)</f>
        <v/>
      </c>
      <c r="K80" s="17">
        <f>IF($C80="","",EDATE($C80,$D80-1))</f>
        <v/>
      </c>
      <c r="L80" s="18">
        <f>IF($D80="","",IF(N($H80)&gt;=$D80,"Cancelado","Vigente"))</f>
        <v/>
      </c>
    </row>
    <row r="81">
      <c r="A81" s="19" t="n"/>
      <c r="B81" s="19" t="n"/>
      <c r="C81" s="15" t="n"/>
      <c r="D81" s="19" t="n"/>
      <c r="E81" s="16" t="n"/>
      <c r="F81" s="19" t="n"/>
      <c r="G81" s="12">
        <f>IF($D81="","",$D81*$E81)</f>
        <v/>
      </c>
      <c r="H81" s="19" t="n"/>
      <c r="I81" s="12">
        <f>IF($H81="","",$H81*$E81)</f>
        <v/>
      </c>
      <c r="J81" s="12">
        <f>IF($D81="","",($D81-N($H81))*$E81)</f>
        <v/>
      </c>
      <c r="K81" s="17">
        <f>IF($C81="","",EDATE($C81,$D81-1))</f>
        <v/>
      </c>
      <c r="L81" s="18">
        <f>IF($D81="","",IF(N($H81)&gt;=$D81,"Cancelado","Vigente"))</f>
        <v/>
      </c>
    </row>
    <row r="82">
      <c r="A82" s="19" t="n"/>
      <c r="B82" s="19" t="n"/>
      <c r="C82" s="15" t="n"/>
      <c r="D82" s="19" t="n"/>
      <c r="E82" s="16" t="n"/>
      <c r="F82" s="19" t="n"/>
      <c r="G82" s="12">
        <f>IF($D82="","",$D82*$E82)</f>
        <v/>
      </c>
      <c r="H82" s="19" t="n"/>
      <c r="I82" s="12">
        <f>IF($H82="","",$H82*$E82)</f>
        <v/>
      </c>
      <c r="J82" s="12">
        <f>IF($D82="","",($D82-N($H82))*$E82)</f>
        <v/>
      </c>
      <c r="K82" s="17">
        <f>IF($C82="","",EDATE($C82,$D82-1))</f>
        <v/>
      </c>
      <c r="L82" s="18">
        <f>IF($D82="","",IF(N($H82)&gt;=$D82,"Cancelado","Vigente"))</f>
        <v/>
      </c>
    </row>
    <row r="83">
      <c r="A83" s="19" t="n"/>
      <c r="B83" s="19" t="n"/>
      <c r="C83" s="15" t="n"/>
      <c r="D83" s="19" t="n"/>
      <c r="E83" s="16" t="n"/>
      <c r="F83" s="19" t="n"/>
      <c r="G83" s="12">
        <f>IF($D83="","",$D83*$E83)</f>
        <v/>
      </c>
      <c r="H83" s="19" t="n"/>
      <c r="I83" s="12">
        <f>IF($H83="","",$H83*$E83)</f>
        <v/>
      </c>
      <c r="J83" s="12">
        <f>IF($D83="","",($D83-N($H83))*$E83)</f>
        <v/>
      </c>
      <c r="K83" s="17">
        <f>IF($C83="","",EDATE($C83,$D83-1))</f>
        <v/>
      </c>
      <c r="L83" s="18">
        <f>IF($D83="","",IF(N($H83)&gt;=$D83,"Cancelado","Vigente"))</f>
        <v/>
      </c>
    </row>
    <row r="84">
      <c r="A84" s="19" t="n"/>
      <c r="B84" s="19" t="n"/>
      <c r="C84" s="15" t="n"/>
      <c r="D84" s="19" t="n"/>
      <c r="E84" s="16" t="n"/>
      <c r="F84" s="19" t="n"/>
      <c r="G84" s="12">
        <f>IF($D84="","",$D84*$E84)</f>
        <v/>
      </c>
      <c r="H84" s="19" t="n"/>
      <c r="I84" s="12">
        <f>IF($H84="","",$H84*$E84)</f>
        <v/>
      </c>
      <c r="J84" s="12">
        <f>IF($D84="","",($D84-N($H84))*$E84)</f>
        <v/>
      </c>
      <c r="K84" s="17">
        <f>IF($C84="","",EDATE($C84,$D84-1))</f>
        <v/>
      </c>
      <c r="L84" s="18">
        <f>IF($D84="","",IF(N($H84)&gt;=$D84,"Cancelado","Vigente"))</f>
        <v/>
      </c>
    </row>
    <row r="87">
      <c r="A87" s="13" t="inlineStr">
        <is>
          <t>SALDO TOTAL EN CUOTAS ($)</t>
        </is>
      </c>
      <c r="J87" s="14">
        <f>SUMIFS($J$5:$J$84,$F$5:$F$84,"$")</f>
        <v/>
      </c>
    </row>
    <row r="88">
      <c r="A88" s="13" t="inlineStr">
        <is>
          <t>SALDO TOTAL EN CUOTAS (U$D)</t>
        </is>
      </c>
      <c r="J88" s="14">
        <f>SUMIFS($J$5:$J$84,$F$5:$F$84,"U$D")</f>
        <v/>
      </c>
    </row>
  </sheetData>
  <mergeCells count="2">
    <mergeCell ref="A2:L2"/>
    <mergeCell ref="A1:L1"/>
  </mergeCells>
  <dataValidations count="1">
    <dataValidation sqref="F5:F84" showDropDown="0" showInputMessage="0" showErrorMessage="0" allowBlank="1" type="list">
      <formula1>"$,U$D"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26" customHeight="1">
      <c r="A1" s="1" t="inlineStr">
        <is>
          <t>RESUMEN MENSUAL POR CATEGORIA</t>
        </is>
      </c>
    </row>
    <row r="2">
      <c r="A2" s="4" t="inlineStr">
        <is>
          <t>Todo sale solo de MOVIMIENTOS. Cambia el año de la celda amarilla y se recalcula entero.</t>
        </is>
      </c>
    </row>
    <row r="3">
      <c r="A3" s="13" t="inlineStr">
        <is>
          <t>AÑO:</t>
        </is>
      </c>
      <c r="B3" s="20" t="n">
        <v>2026</v>
      </c>
      <c r="C3" s="9" t="inlineStr">
        <is>
          <t>&lt;- cambia el año aca</t>
        </is>
      </c>
    </row>
    <row r="5">
      <c r="A5" s="9" t="inlineStr">
        <is>
          <t>mes nro</t>
        </is>
      </c>
      <c r="B5" s="21" t="n">
        <v>1</v>
      </c>
      <c r="C5" s="21" t="n">
        <v>2</v>
      </c>
      <c r="D5" s="21" t="n">
        <v>3</v>
      </c>
      <c r="E5" s="21" t="n">
        <v>4</v>
      </c>
      <c r="F5" s="21" t="n">
        <v>5</v>
      </c>
      <c r="G5" s="21" t="n">
        <v>6</v>
      </c>
      <c r="H5" s="21" t="n">
        <v>7</v>
      </c>
      <c r="I5" s="21" t="n">
        <v>8</v>
      </c>
      <c r="J5" s="21" t="n">
        <v>9</v>
      </c>
      <c r="K5" s="21" t="n">
        <v>10</v>
      </c>
      <c r="L5" s="21" t="n">
        <v>11</v>
      </c>
      <c r="M5" s="21" t="n">
        <v>12</v>
      </c>
    </row>
    <row r="6" ht="30" customHeight="1">
      <c r="A6" s="5" t="inlineStr">
        <is>
          <t>CATEGORIA</t>
        </is>
      </c>
      <c r="B6" s="5" t="inlineStr">
        <is>
          <t>Enero</t>
        </is>
      </c>
      <c r="C6" s="5" t="inlineStr">
        <is>
          <t>Febrero</t>
        </is>
      </c>
      <c r="D6" s="5" t="inlineStr">
        <is>
          <t>Marzo</t>
        </is>
      </c>
      <c r="E6" s="5" t="inlineStr">
        <is>
          <t>Abril</t>
        </is>
      </c>
      <c r="F6" s="5" t="inlineStr">
        <is>
          <t>Mayo</t>
        </is>
      </c>
      <c r="G6" s="5" t="inlineStr">
        <is>
          <t>Junio</t>
        </is>
      </c>
      <c r="H6" s="5" t="inlineStr">
        <is>
          <t>Julio</t>
        </is>
      </c>
      <c r="I6" s="5" t="inlineStr">
        <is>
          <t>Agosto</t>
        </is>
      </c>
      <c r="J6" s="5" t="inlineStr">
        <is>
          <t>Septiembre</t>
        </is>
      </c>
      <c r="K6" s="5" t="inlineStr">
        <is>
          <t>Octubre</t>
        </is>
      </c>
      <c r="L6" s="5" t="inlineStr">
        <is>
          <t>Noviembre</t>
        </is>
      </c>
      <c r="M6" s="5" t="inlineStr">
        <is>
          <t>Diciembre</t>
        </is>
      </c>
      <c r="N6" s="5" t="inlineStr">
        <is>
          <t>TOTAL AÑO</t>
        </is>
      </c>
    </row>
    <row r="7">
      <c r="A7" s="6" t="inlineStr">
        <is>
          <t>Vivienda</t>
        </is>
      </c>
      <c r="B7" s="22">
        <f>SUMIFS(MOVIMIENTOS!$J:$J,MOVIMIENTOS!$E:$E,$A7,MOVIMIENTOS!$B:$B,$B$3,MOVIMIENTOS!$C:$C,B$5,MOVIMIENTOS!$D:$D,"Gasto")</f>
        <v/>
      </c>
      <c r="C7" s="22">
        <f>SUMIFS(MOVIMIENTOS!$J:$J,MOVIMIENTOS!$E:$E,$A7,MOVIMIENTOS!$B:$B,$B$3,MOVIMIENTOS!$C:$C,C$5,MOVIMIENTOS!$D:$D,"Gasto")</f>
        <v/>
      </c>
      <c r="D7" s="22">
        <f>SUMIFS(MOVIMIENTOS!$J:$J,MOVIMIENTOS!$E:$E,$A7,MOVIMIENTOS!$B:$B,$B$3,MOVIMIENTOS!$C:$C,D$5,MOVIMIENTOS!$D:$D,"Gasto")</f>
        <v/>
      </c>
      <c r="E7" s="22">
        <f>SUMIFS(MOVIMIENTOS!$J:$J,MOVIMIENTOS!$E:$E,$A7,MOVIMIENTOS!$B:$B,$B$3,MOVIMIENTOS!$C:$C,E$5,MOVIMIENTOS!$D:$D,"Gasto")</f>
        <v/>
      </c>
      <c r="F7" s="22">
        <f>SUMIFS(MOVIMIENTOS!$J:$J,MOVIMIENTOS!$E:$E,$A7,MOVIMIENTOS!$B:$B,$B$3,MOVIMIENTOS!$C:$C,F$5,MOVIMIENTOS!$D:$D,"Gasto")</f>
        <v/>
      </c>
      <c r="G7" s="22">
        <f>SUMIFS(MOVIMIENTOS!$J:$J,MOVIMIENTOS!$E:$E,$A7,MOVIMIENTOS!$B:$B,$B$3,MOVIMIENTOS!$C:$C,G$5,MOVIMIENTOS!$D:$D,"Gasto")</f>
        <v/>
      </c>
      <c r="H7" s="22">
        <f>SUMIFS(MOVIMIENTOS!$J:$J,MOVIMIENTOS!$E:$E,$A7,MOVIMIENTOS!$B:$B,$B$3,MOVIMIENTOS!$C:$C,H$5,MOVIMIENTOS!$D:$D,"Gasto")</f>
        <v/>
      </c>
      <c r="I7" s="22">
        <f>SUMIFS(MOVIMIENTOS!$J:$J,MOVIMIENTOS!$E:$E,$A7,MOVIMIENTOS!$B:$B,$B$3,MOVIMIENTOS!$C:$C,I$5,MOVIMIENTOS!$D:$D,"Gasto")</f>
        <v/>
      </c>
      <c r="J7" s="22">
        <f>SUMIFS(MOVIMIENTOS!$J:$J,MOVIMIENTOS!$E:$E,$A7,MOVIMIENTOS!$B:$B,$B$3,MOVIMIENTOS!$C:$C,J$5,MOVIMIENTOS!$D:$D,"Gasto")</f>
        <v/>
      </c>
      <c r="K7" s="22">
        <f>SUMIFS(MOVIMIENTOS!$J:$J,MOVIMIENTOS!$E:$E,$A7,MOVIMIENTOS!$B:$B,$B$3,MOVIMIENTOS!$C:$C,K$5,MOVIMIENTOS!$D:$D,"Gasto")</f>
        <v/>
      </c>
      <c r="L7" s="22">
        <f>SUMIFS(MOVIMIENTOS!$J:$J,MOVIMIENTOS!$E:$E,$A7,MOVIMIENTOS!$B:$B,$B$3,MOVIMIENTOS!$C:$C,L$5,MOVIMIENTOS!$D:$D,"Gasto")</f>
        <v/>
      </c>
      <c r="M7" s="22">
        <f>SUMIFS(MOVIMIENTOS!$J:$J,MOVIMIENTOS!$E:$E,$A7,MOVIMIENTOS!$B:$B,$B$3,MOVIMIENTOS!$C:$C,M$5,MOVIMIENTOS!$D:$D,"Gasto")</f>
        <v/>
      </c>
      <c r="N7" s="23">
        <f>SUM($B7:$M7)</f>
        <v/>
      </c>
    </row>
    <row r="8">
      <c r="A8" s="6" t="inlineStr">
        <is>
          <t>Servicios</t>
        </is>
      </c>
      <c r="B8" s="22">
        <f>SUMIFS(MOVIMIENTOS!$J:$J,MOVIMIENTOS!$E:$E,$A8,MOVIMIENTOS!$B:$B,$B$3,MOVIMIENTOS!$C:$C,B$5,MOVIMIENTOS!$D:$D,"Gasto")</f>
        <v/>
      </c>
      <c r="C8" s="22">
        <f>SUMIFS(MOVIMIENTOS!$J:$J,MOVIMIENTOS!$E:$E,$A8,MOVIMIENTOS!$B:$B,$B$3,MOVIMIENTOS!$C:$C,C$5,MOVIMIENTOS!$D:$D,"Gasto")</f>
        <v/>
      </c>
      <c r="D8" s="22">
        <f>SUMIFS(MOVIMIENTOS!$J:$J,MOVIMIENTOS!$E:$E,$A8,MOVIMIENTOS!$B:$B,$B$3,MOVIMIENTOS!$C:$C,D$5,MOVIMIENTOS!$D:$D,"Gasto")</f>
        <v/>
      </c>
      <c r="E8" s="22">
        <f>SUMIFS(MOVIMIENTOS!$J:$J,MOVIMIENTOS!$E:$E,$A8,MOVIMIENTOS!$B:$B,$B$3,MOVIMIENTOS!$C:$C,E$5,MOVIMIENTOS!$D:$D,"Gasto")</f>
        <v/>
      </c>
      <c r="F8" s="22">
        <f>SUMIFS(MOVIMIENTOS!$J:$J,MOVIMIENTOS!$E:$E,$A8,MOVIMIENTOS!$B:$B,$B$3,MOVIMIENTOS!$C:$C,F$5,MOVIMIENTOS!$D:$D,"Gasto")</f>
        <v/>
      </c>
      <c r="G8" s="22">
        <f>SUMIFS(MOVIMIENTOS!$J:$J,MOVIMIENTOS!$E:$E,$A8,MOVIMIENTOS!$B:$B,$B$3,MOVIMIENTOS!$C:$C,G$5,MOVIMIENTOS!$D:$D,"Gasto")</f>
        <v/>
      </c>
      <c r="H8" s="22">
        <f>SUMIFS(MOVIMIENTOS!$J:$J,MOVIMIENTOS!$E:$E,$A8,MOVIMIENTOS!$B:$B,$B$3,MOVIMIENTOS!$C:$C,H$5,MOVIMIENTOS!$D:$D,"Gasto")</f>
        <v/>
      </c>
      <c r="I8" s="22">
        <f>SUMIFS(MOVIMIENTOS!$J:$J,MOVIMIENTOS!$E:$E,$A8,MOVIMIENTOS!$B:$B,$B$3,MOVIMIENTOS!$C:$C,I$5,MOVIMIENTOS!$D:$D,"Gasto")</f>
        <v/>
      </c>
      <c r="J8" s="22">
        <f>SUMIFS(MOVIMIENTOS!$J:$J,MOVIMIENTOS!$E:$E,$A8,MOVIMIENTOS!$B:$B,$B$3,MOVIMIENTOS!$C:$C,J$5,MOVIMIENTOS!$D:$D,"Gasto")</f>
        <v/>
      </c>
      <c r="K8" s="22">
        <f>SUMIFS(MOVIMIENTOS!$J:$J,MOVIMIENTOS!$E:$E,$A8,MOVIMIENTOS!$B:$B,$B$3,MOVIMIENTOS!$C:$C,K$5,MOVIMIENTOS!$D:$D,"Gasto")</f>
        <v/>
      </c>
      <c r="L8" s="22">
        <f>SUMIFS(MOVIMIENTOS!$J:$J,MOVIMIENTOS!$E:$E,$A8,MOVIMIENTOS!$B:$B,$B$3,MOVIMIENTOS!$C:$C,L$5,MOVIMIENTOS!$D:$D,"Gasto")</f>
        <v/>
      </c>
      <c r="M8" s="22">
        <f>SUMIFS(MOVIMIENTOS!$J:$J,MOVIMIENTOS!$E:$E,$A8,MOVIMIENTOS!$B:$B,$B$3,MOVIMIENTOS!$C:$C,M$5,MOVIMIENTOS!$D:$D,"Gasto")</f>
        <v/>
      </c>
      <c r="N8" s="23">
        <f>SUM($B8:$M8)</f>
        <v/>
      </c>
    </row>
    <row r="9">
      <c r="A9" s="6" t="inlineStr">
        <is>
          <t>Impuestos y Tasas</t>
        </is>
      </c>
      <c r="B9" s="22">
        <f>SUMIFS(MOVIMIENTOS!$J:$J,MOVIMIENTOS!$E:$E,$A9,MOVIMIENTOS!$B:$B,$B$3,MOVIMIENTOS!$C:$C,B$5,MOVIMIENTOS!$D:$D,"Gasto")</f>
        <v/>
      </c>
      <c r="C9" s="22">
        <f>SUMIFS(MOVIMIENTOS!$J:$J,MOVIMIENTOS!$E:$E,$A9,MOVIMIENTOS!$B:$B,$B$3,MOVIMIENTOS!$C:$C,C$5,MOVIMIENTOS!$D:$D,"Gasto")</f>
        <v/>
      </c>
      <c r="D9" s="22">
        <f>SUMIFS(MOVIMIENTOS!$J:$J,MOVIMIENTOS!$E:$E,$A9,MOVIMIENTOS!$B:$B,$B$3,MOVIMIENTOS!$C:$C,D$5,MOVIMIENTOS!$D:$D,"Gasto")</f>
        <v/>
      </c>
      <c r="E9" s="22">
        <f>SUMIFS(MOVIMIENTOS!$J:$J,MOVIMIENTOS!$E:$E,$A9,MOVIMIENTOS!$B:$B,$B$3,MOVIMIENTOS!$C:$C,E$5,MOVIMIENTOS!$D:$D,"Gasto")</f>
        <v/>
      </c>
      <c r="F9" s="22">
        <f>SUMIFS(MOVIMIENTOS!$J:$J,MOVIMIENTOS!$E:$E,$A9,MOVIMIENTOS!$B:$B,$B$3,MOVIMIENTOS!$C:$C,F$5,MOVIMIENTOS!$D:$D,"Gasto")</f>
        <v/>
      </c>
      <c r="G9" s="22">
        <f>SUMIFS(MOVIMIENTOS!$J:$J,MOVIMIENTOS!$E:$E,$A9,MOVIMIENTOS!$B:$B,$B$3,MOVIMIENTOS!$C:$C,G$5,MOVIMIENTOS!$D:$D,"Gasto")</f>
        <v/>
      </c>
      <c r="H9" s="22">
        <f>SUMIFS(MOVIMIENTOS!$J:$J,MOVIMIENTOS!$E:$E,$A9,MOVIMIENTOS!$B:$B,$B$3,MOVIMIENTOS!$C:$C,H$5,MOVIMIENTOS!$D:$D,"Gasto")</f>
        <v/>
      </c>
      <c r="I9" s="22">
        <f>SUMIFS(MOVIMIENTOS!$J:$J,MOVIMIENTOS!$E:$E,$A9,MOVIMIENTOS!$B:$B,$B$3,MOVIMIENTOS!$C:$C,I$5,MOVIMIENTOS!$D:$D,"Gasto")</f>
        <v/>
      </c>
      <c r="J9" s="22">
        <f>SUMIFS(MOVIMIENTOS!$J:$J,MOVIMIENTOS!$E:$E,$A9,MOVIMIENTOS!$B:$B,$B$3,MOVIMIENTOS!$C:$C,J$5,MOVIMIENTOS!$D:$D,"Gasto")</f>
        <v/>
      </c>
      <c r="K9" s="22">
        <f>SUMIFS(MOVIMIENTOS!$J:$J,MOVIMIENTOS!$E:$E,$A9,MOVIMIENTOS!$B:$B,$B$3,MOVIMIENTOS!$C:$C,K$5,MOVIMIENTOS!$D:$D,"Gasto")</f>
        <v/>
      </c>
      <c r="L9" s="22">
        <f>SUMIFS(MOVIMIENTOS!$J:$J,MOVIMIENTOS!$E:$E,$A9,MOVIMIENTOS!$B:$B,$B$3,MOVIMIENTOS!$C:$C,L$5,MOVIMIENTOS!$D:$D,"Gasto")</f>
        <v/>
      </c>
      <c r="M9" s="22">
        <f>SUMIFS(MOVIMIENTOS!$J:$J,MOVIMIENTOS!$E:$E,$A9,MOVIMIENTOS!$B:$B,$B$3,MOVIMIENTOS!$C:$C,M$5,MOVIMIENTOS!$D:$D,"Gasto")</f>
        <v/>
      </c>
      <c r="N9" s="23">
        <f>SUM($B9:$M9)</f>
        <v/>
      </c>
    </row>
    <row r="10">
      <c r="A10" s="6" t="inlineStr">
        <is>
          <t>Supermercado</t>
        </is>
      </c>
      <c r="B10" s="22">
        <f>SUMIFS(MOVIMIENTOS!$J:$J,MOVIMIENTOS!$E:$E,$A10,MOVIMIENTOS!$B:$B,$B$3,MOVIMIENTOS!$C:$C,B$5,MOVIMIENTOS!$D:$D,"Gasto")</f>
        <v/>
      </c>
      <c r="C10" s="22">
        <f>SUMIFS(MOVIMIENTOS!$J:$J,MOVIMIENTOS!$E:$E,$A10,MOVIMIENTOS!$B:$B,$B$3,MOVIMIENTOS!$C:$C,C$5,MOVIMIENTOS!$D:$D,"Gasto")</f>
        <v/>
      </c>
      <c r="D10" s="22">
        <f>SUMIFS(MOVIMIENTOS!$J:$J,MOVIMIENTOS!$E:$E,$A10,MOVIMIENTOS!$B:$B,$B$3,MOVIMIENTOS!$C:$C,D$5,MOVIMIENTOS!$D:$D,"Gasto")</f>
        <v/>
      </c>
      <c r="E10" s="22">
        <f>SUMIFS(MOVIMIENTOS!$J:$J,MOVIMIENTOS!$E:$E,$A10,MOVIMIENTOS!$B:$B,$B$3,MOVIMIENTOS!$C:$C,E$5,MOVIMIENTOS!$D:$D,"Gasto")</f>
        <v/>
      </c>
      <c r="F10" s="22">
        <f>SUMIFS(MOVIMIENTOS!$J:$J,MOVIMIENTOS!$E:$E,$A10,MOVIMIENTOS!$B:$B,$B$3,MOVIMIENTOS!$C:$C,F$5,MOVIMIENTOS!$D:$D,"Gasto")</f>
        <v/>
      </c>
      <c r="G10" s="22">
        <f>SUMIFS(MOVIMIENTOS!$J:$J,MOVIMIENTOS!$E:$E,$A10,MOVIMIENTOS!$B:$B,$B$3,MOVIMIENTOS!$C:$C,G$5,MOVIMIENTOS!$D:$D,"Gasto")</f>
        <v/>
      </c>
      <c r="H10" s="22">
        <f>SUMIFS(MOVIMIENTOS!$J:$J,MOVIMIENTOS!$E:$E,$A10,MOVIMIENTOS!$B:$B,$B$3,MOVIMIENTOS!$C:$C,H$5,MOVIMIENTOS!$D:$D,"Gasto")</f>
        <v/>
      </c>
      <c r="I10" s="22">
        <f>SUMIFS(MOVIMIENTOS!$J:$J,MOVIMIENTOS!$E:$E,$A10,MOVIMIENTOS!$B:$B,$B$3,MOVIMIENTOS!$C:$C,I$5,MOVIMIENTOS!$D:$D,"Gasto")</f>
        <v/>
      </c>
      <c r="J10" s="22">
        <f>SUMIFS(MOVIMIENTOS!$J:$J,MOVIMIENTOS!$E:$E,$A10,MOVIMIENTOS!$B:$B,$B$3,MOVIMIENTOS!$C:$C,J$5,MOVIMIENTOS!$D:$D,"Gasto")</f>
        <v/>
      </c>
      <c r="K10" s="22">
        <f>SUMIFS(MOVIMIENTOS!$J:$J,MOVIMIENTOS!$E:$E,$A10,MOVIMIENTOS!$B:$B,$B$3,MOVIMIENTOS!$C:$C,K$5,MOVIMIENTOS!$D:$D,"Gasto")</f>
        <v/>
      </c>
      <c r="L10" s="22">
        <f>SUMIFS(MOVIMIENTOS!$J:$J,MOVIMIENTOS!$E:$E,$A10,MOVIMIENTOS!$B:$B,$B$3,MOVIMIENTOS!$C:$C,L$5,MOVIMIENTOS!$D:$D,"Gasto")</f>
        <v/>
      </c>
      <c r="M10" s="22">
        <f>SUMIFS(MOVIMIENTOS!$J:$J,MOVIMIENTOS!$E:$E,$A10,MOVIMIENTOS!$B:$B,$B$3,MOVIMIENTOS!$C:$C,M$5,MOVIMIENTOS!$D:$D,"Gasto")</f>
        <v/>
      </c>
      <c r="N10" s="23">
        <f>SUM($B10:$M10)</f>
        <v/>
      </c>
    </row>
    <row r="11">
      <c r="A11" s="6" t="inlineStr">
        <is>
          <t>Comida y Salidas</t>
        </is>
      </c>
      <c r="B11" s="22">
        <f>SUMIFS(MOVIMIENTOS!$J:$J,MOVIMIENTOS!$E:$E,$A11,MOVIMIENTOS!$B:$B,$B$3,MOVIMIENTOS!$C:$C,B$5,MOVIMIENTOS!$D:$D,"Gasto")</f>
        <v/>
      </c>
      <c r="C11" s="22">
        <f>SUMIFS(MOVIMIENTOS!$J:$J,MOVIMIENTOS!$E:$E,$A11,MOVIMIENTOS!$B:$B,$B$3,MOVIMIENTOS!$C:$C,C$5,MOVIMIENTOS!$D:$D,"Gasto")</f>
        <v/>
      </c>
      <c r="D11" s="22">
        <f>SUMIFS(MOVIMIENTOS!$J:$J,MOVIMIENTOS!$E:$E,$A11,MOVIMIENTOS!$B:$B,$B$3,MOVIMIENTOS!$C:$C,D$5,MOVIMIENTOS!$D:$D,"Gasto")</f>
        <v/>
      </c>
      <c r="E11" s="22">
        <f>SUMIFS(MOVIMIENTOS!$J:$J,MOVIMIENTOS!$E:$E,$A11,MOVIMIENTOS!$B:$B,$B$3,MOVIMIENTOS!$C:$C,E$5,MOVIMIENTOS!$D:$D,"Gasto")</f>
        <v/>
      </c>
      <c r="F11" s="22">
        <f>SUMIFS(MOVIMIENTOS!$J:$J,MOVIMIENTOS!$E:$E,$A11,MOVIMIENTOS!$B:$B,$B$3,MOVIMIENTOS!$C:$C,F$5,MOVIMIENTOS!$D:$D,"Gasto")</f>
        <v/>
      </c>
      <c r="G11" s="22">
        <f>SUMIFS(MOVIMIENTOS!$J:$J,MOVIMIENTOS!$E:$E,$A11,MOVIMIENTOS!$B:$B,$B$3,MOVIMIENTOS!$C:$C,G$5,MOVIMIENTOS!$D:$D,"Gasto")</f>
        <v/>
      </c>
      <c r="H11" s="22">
        <f>SUMIFS(MOVIMIENTOS!$J:$J,MOVIMIENTOS!$E:$E,$A11,MOVIMIENTOS!$B:$B,$B$3,MOVIMIENTOS!$C:$C,H$5,MOVIMIENTOS!$D:$D,"Gasto")</f>
        <v/>
      </c>
      <c r="I11" s="22">
        <f>SUMIFS(MOVIMIENTOS!$J:$J,MOVIMIENTOS!$E:$E,$A11,MOVIMIENTOS!$B:$B,$B$3,MOVIMIENTOS!$C:$C,I$5,MOVIMIENTOS!$D:$D,"Gasto")</f>
        <v/>
      </c>
      <c r="J11" s="22">
        <f>SUMIFS(MOVIMIENTOS!$J:$J,MOVIMIENTOS!$E:$E,$A11,MOVIMIENTOS!$B:$B,$B$3,MOVIMIENTOS!$C:$C,J$5,MOVIMIENTOS!$D:$D,"Gasto")</f>
        <v/>
      </c>
      <c r="K11" s="22">
        <f>SUMIFS(MOVIMIENTOS!$J:$J,MOVIMIENTOS!$E:$E,$A11,MOVIMIENTOS!$B:$B,$B$3,MOVIMIENTOS!$C:$C,K$5,MOVIMIENTOS!$D:$D,"Gasto")</f>
        <v/>
      </c>
      <c r="L11" s="22">
        <f>SUMIFS(MOVIMIENTOS!$J:$J,MOVIMIENTOS!$E:$E,$A11,MOVIMIENTOS!$B:$B,$B$3,MOVIMIENTOS!$C:$C,L$5,MOVIMIENTOS!$D:$D,"Gasto")</f>
        <v/>
      </c>
      <c r="M11" s="22">
        <f>SUMIFS(MOVIMIENTOS!$J:$J,MOVIMIENTOS!$E:$E,$A11,MOVIMIENTOS!$B:$B,$B$3,MOVIMIENTOS!$C:$C,M$5,MOVIMIENTOS!$D:$D,"Gasto")</f>
        <v/>
      </c>
      <c r="N11" s="23">
        <f>SUM($B11:$M11)</f>
        <v/>
      </c>
    </row>
    <row r="12">
      <c r="A12" s="6" t="inlineStr">
        <is>
          <t>Transporte</t>
        </is>
      </c>
      <c r="B12" s="22">
        <f>SUMIFS(MOVIMIENTOS!$J:$J,MOVIMIENTOS!$E:$E,$A12,MOVIMIENTOS!$B:$B,$B$3,MOVIMIENTOS!$C:$C,B$5,MOVIMIENTOS!$D:$D,"Gasto")</f>
        <v/>
      </c>
      <c r="C12" s="22">
        <f>SUMIFS(MOVIMIENTOS!$J:$J,MOVIMIENTOS!$E:$E,$A12,MOVIMIENTOS!$B:$B,$B$3,MOVIMIENTOS!$C:$C,C$5,MOVIMIENTOS!$D:$D,"Gasto")</f>
        <v/>
      </c>
      <c r="D12" s="22">
        <f>SUMIFS(MOVIMIENTOS!$J:$J,MOVIMIENTOS!$E:$E,$A12,MOVIMIENTOS!$B:$B,$B$3,MOVIMIENTOS!$C:$C,D$5,MOVIMIENTOS!$D:$D,"Gasto")</f>
        <v/>
      </c>
      <c r="E12" s="22">
        <f>SUMIFS(MOVIMIENTOS!$J:$J,MOVIMIENTOS!$E:$E,$A12,MOVIMIENTOS!$B:$B,$B$3,MOVIMIENTOS!$C:$C,E$5,MOVIMIENTOS!$D:$D,"Gasto")</f>
        <v/>
      </c>
      <c r="F12" s="22">
        <f>SUMIFS(MOVIMIENTOS!$J:$J,MOVIMIENTOS!$E:$E,$A12,MOVIMIENTOS!$B:$B,$B$3,MOVIMIENTOS!$C:$C,F$5,MOVIMIENTOS!$D:$D,"Gasto")</f>
        <v/>
      </c>
      <c r="G12" s="22">
        <f>SUMIFS(MOVIMIENTOS!$J:$J,MOVIMIENTOS!$E:$E,$A12,MOVIMIENTOS!$B:$B,$B$3,MOVIMIENTOS!$C:$C,G$5,MOVIMIENTOS!$D:$D,"Gasto")</f>
        <v/>
      </c>
      <c r="H12" s="22">
        <f>SUMIFS(MOVIMIENTOS!$J:$J,MOVIMIENTOS!$E:$E,$A12,MOVIMIENTOS!$B:$B,$B$3,MOVIMIENTOS!$C:$C,H$5,MOVIMIENTOS!$D:$D,"Gasto")</f>
        <v/>
      </c>
      <c r="I12" s="22">
        <f>SUMIFS(MOVIMIENTOS!$J:$J,MOVIMIENTOS!$E:$E,$A12,MOVIMIENTOS!$B:$B,$B$3,MOVIMIENTOS!$C:$C,I$5,MOVIMIENTOS!$D:$D,"Gasto")</f>
        <v/>
      </c>
      <c r="J12" s="22">
        <f>SUMIFS(MOVIMIENTOS!$J:$J,MOVIMIENTOS!$E:$E,$A12,MOVIMIENTOS!$B:$B,$B$3,MOVIMIENTOS!$C:$C,J$5,MOVIMIENTOS!$D:$D,"Gasto")</f>
        <v/>
      </c>
      <c r="K12" s="22">
        <f>SUMIFS(MOVIMIENTOS!$J:$J,MOVIMIENTOS!$E:$E,$A12,MOVIMIENTOS!$B:$B,$B$3,MOVIMIENTOS!$C:$C,K$5,MOVIMIENTOS!$D:$D,"Gasto")</f>
        <v/>
      </c>
      <c r="L12" s="22">
        <f>SUMIFS(MOVIMIENTOS!$J:$J,MOVIMIENTOS!$E:$E,$A12,MOVIMIENTOS!$B:$B,$B$3,MOVIMIENTOS!$C:$C,L$5,MOVIMIENTOS!$D:$D,"Gasto")</f>
        <v/>
      </c>
      <c r="M12" s="22">
        <f>SUMIFS(MOVIMIENTOS!$J:$J,MOVIMIENTOS!$E:$E,$A12,MOVIMIENTOS!$B:$B,$B$3,MOVIMIENTOS!$C:$C,M$5,MOVIMIENTOS!$D:$D,"Gasto")</f>
        <v/>
      </c>
      <c r="N12" s="23">
        <f>SUM($B12:$M12)</f>
        <v/>
      </c>
    </row>
    <row r="13">
      <c r="A13" s="6" t="inlineStr">
        <is>
          <t>Combustible</t>
        </is>
      </c>
      <c r="B13" s="22">
        <f>SUMIFS(MOVIMIENTOS!$J:$J,MOVIMIENTOS!$E:$E,$A13,MOVIMIENTOS!$B:$B,$B$3,MOVIMIENTOS!$C:$C,B$5,MOVIMIENTOS!$D:$D,"Gasto")</f>
        <v/>
      </c>
      <c r="C13" s="22">
        <f>SUMIFS(MOVIMIENTOS!$J:$J,MOVIMIENTOS!$E:$E,$A13,MOVIMIENTOS!$B:$B,$B$3,MOVIMIENTOS!$C:$C,C$5,MOVIMIENTOS!$D:$D,"Gasto")</f>
        <v/>
      </c>
      <c r="D13" s="22">
        <f>SUMIFS(MOVIMIENTOS!$J:$J,MOVIMIENTOS!$E:$E,$A13,MOVIMIENTOS!$B:$B,$B$3,MOVIMIENTOS!$C:$C,D$5,MOVIMIENTOS!$D:$D,"Gasto")</f>
        <v/>
      </c>
      <c r="E13" s="22">
        <f>SUMIFS(MOVIMIENTOS!$J:$J,MOVIMIENTOS!$E:$E,$A13,MOVIMIENTOS!$B:$B,$B$3,MOVIMIENTOS!$C:$C,E$5,MOVIMIENTOS!$D:$D,"Gasto")</f>
        <v/>
      </c>
      <c r="F13" s="22">
        <f>SUMIFS(MOVIMIENTOS!$J:$J,MOVIMIENTOS!$E:$E,$A13,MOVIMIENTOS!$B:$B,$B$3,MOVIMIENTOS!$C:$C,F$5,MOVIMIENTOS!$D:$D,"Gasto")</f>
        <v/>
      </c>
      <c r="G13" s="22">
        <f>SUMIFS(MOVIMIENTOS!$J:$J,MOVIMIENTOS!$E:$E,$A13,MOVIMIENTOS!$B:$B,$B$3,MOVIMIENTOS!$C:$C,G$5,MOVIMIENTOS!$D:$D,"Gasto")</f>
        <v/>
      </c>
      <c r="H13" s="22">
        <f>SUMIFS(MOVIMIENTOS!$J:$J,MOVIMIENTOS!$E:$E,$A13,MOVIMIENTOS!$B:$B,$B$3,MOVIMIENTOS!$C:$C,H$5,MOVIMIENTOS!$D:$D,"Gasto")</f>
        <v/>
      </c>
      <c r="I13" s="22">
        <f>SUMIFS(MOVIMIENTOS!$J:$J,MOVIMIENTOS!$E:$E,$A13,MOVIMIENTOS!$B:$B,$B$3,MOVIMIENTOS!$C:$C,I$5,MOVIMIENTOS!$D:$D,"Gasto")</f>
        <v/>
      </c>
      <c r="J13" s="22">
        <f>SUMIFS(MOVIMIENTOS!$J:$J,MOVIMIENTOS!$E:$E,$A13,MOVIMIENTOS!$B:$B,$B$3,MOVIMIENTOS!$C:$C,J$5,MOVIMIENTOS!$D:$D,"Gasto")</f>
        <v/>
      </c>
      <c r="K13" s="22">
        <f>SUMIFS(MOVIMIENTOS!$J:$J,MOVIMIENTOS!$E:$E,$A13,MOVIMIENTOS!$B:$B,$B$3,MOVIMIENTOS!$C:$C,K$5,MOVIMIENTOS!$D:$D,"Gasto")</f>
        <v/>
      </c>
      <c r="L13" s="22">
        <f>SUMIFS(MOVIMIENTOS!$J:$J,MOVIMIENTOS!$E:$E,$A13,MOVIMIENTOS!$B:$B,$B$3,MOVIMIENTOS!$C:$C,L$5,MOVIMIENTOS!$D:$D,"Gasto")</f>
        <v/>
      </c>
      <c r="M13" s="22">
        <f>SUMIFS(MOVIMIENTOS!$J:$J,MOVIMIENTOS!$E:$E,$A13,MOVIMIENTOS!$B:$B,$B$3,MOVIMIENTOS!$C:$C,M$5,MOVIMIENTOS!$D:$D,"Gasto")</f>
        <v/>
      </c>
      <c r="N13" s="23">
        <f>SUM($B13:$M13)</f>
        <v/>
      </c>
    </row>
    <row r="14">
      <c r="A14" s="6" t="inlineStr">
        <is>
          <t>Vehiculos - Mantenimiento</t>
        </is>
      </c>
      <c r="B14" s="22">
        <f>SUMIFS(MOVIMIENTOS!$J:$J,MOVIMIENTOS!$E:$E,$A14,MOVIMIENTOS!$B:$B,$B$3,MOVIMIENTOS!$C:$C,B$5,MOVIMIENTOS!$D:$D,"Gasto")</f>
        <v/>
      </c>
      <c r="C14" s="22">
        <f>SUMIFS(MOVIMIENTOS!$J:$J,MOVIMIENTOS!$E:$E,$A14,MOVIMIENTOS!$B:$B,$B$3,MOVIMIENTOS!$C:$C,C$5,MOVIMIENTOS!$D:$D,"Gasto")</f>
        <v/>
      </c>
      <c r="D14" s="22">
        <f>SUMIFS(MOVIMIENTOS!$J:$J,MOVIMIENTOS!$E:$E,$A14,MOVIMIENTOS!$B:$B,$B$3,MOVIMIENTOS!$C:$C,D$5,MOVIMIENTOS!$D:$D,"Gasto")</f>
        <v/>
      </c>
      <c r="E14" s="22">
        <f>SUMIFS(MOVIMIENTOS!$J:$J,MOVIMIENTOS!$E:$E,$A14,MOVIMIENTOS!$B:$B,$B$3,MOVIMIENTOS!$C:$C,E$5,MOVIMIENTOS!$D:$D,"Gasto")</f>
        <v/>
      </c>
      <c r="F14" s="22">
        <f>SUMIFS(MOVIMIENTOS!$J:$J,MOVIMIENTOS!$E:$E,$A14,MOVIMIENTOS!$B:$B,$B$3,MOVIMIENTOS!$C:$C,F$5,MOVIMIENTOS!$D:$D,"Gasto")</f>
        <v/>
      </c>
      <c r="G14" s="22">
        <f>SUMIFS(MOVIMIENTOS!$J:$J,MOVIMIENTOS!$E:$E,$A14,MOVIMIENTOS!$B:$B,$B$3,MOVIMIENTOS!$C:$C,G$5,MOVIMIENTOS!$D:$D,"Gasto")</f>
        <v/>
      </c>
      <c r="H14" s="22">
        <f>SUMIFS(MOVIMIENTOS!$J:$J,MOVIMIENTOS!$E:$E,$A14,MOVIMIENTOS!$B:$B,$B$3,MOVIMIENTOS!$C:$C,H$5,MOVIMIENTOS!$D:$D,"Gasto")</f>
        <v/>
      </c>
      <c r="I14" s="22">
        <f>SUMIFS(MOVIMIENTOS!$J:$J,MOVIMIENTOS!$E:$E,$A14,MOVIMIENTOS!$B:$B,$B$3,MOVIMIENTOS!$C:$C,I$5,MOVIMIENTOS!$D:$D,"Gasto")</f>
        <v/>
      </c>
      <c r="J14" s="22">
        <f>SUMIFS(MOVIMIENTOS!$J:$J,MOVIMIENTOS!$E:$E,$A14,MOVIMIENTOS!$B:$B,$B$3,MOVIMIENTOS!$C:$C,J$5,MOVIMIENTOS!$D:$D,"Gasto")</f>
        <v/>
      </c>
      <c r="K14" s="22">
        <f>SUMIFS(MOVIMIENTOS!$J:$J,MOVIMIENTOS!$E:$E,$A14,MOVIMIENTOS!$B:$B,$B$3,MOVIMIENTOS!$C:$C,K$5,MOVIMIENTOS!$D:$D,"Gasto")</f>
        <v/>
      </c>
      <c r="L14" s="22">
        <f>SUMIFS(MOVIMIENTOS!$J:$J,MOVIMIENTOS!$E:$E,$A14,MOVIMIENTOS!$B:$B,$B$3,MOVIMIENTOS!$C:$C,L$5,MOVIMIENTOS!$D:$D,"Gasto")</f>
        <v/>
      </c>
      <c r="M14" s="22">
        <f>SUMIFS(MOVIMIENTOS!$J:$J,MOVIMIENTOS!$E:$E,$A14,MOVIMIENTOS!$B:$B,$B$3,MOVIMIENTOS!$C:$C,M$5,MOVIMIENTOS!$D:$D,"Gasto")</f>
        <v/>
      </c>
      <c r="N14" s="23">
        <f>SUM($B14:$M14)</f>
        <v/>
      </c>
    </row>
    <row r="15">
      <c r="A15" s="6" t="inlineStr">
        <is>
          <t>Seguros</t>
        </is>
      </c>
      <c r="B15" s="22">
        <f>SUMIFS(MOVIMIENTOS!$J:$J,MOVIMIENTOS!$E:$E,$A15,MOVIMIENTOS!$B:$B,$B$3,MOVIMIENTOS!$C:$C,B$5,MOVIMIENTOS!$D:$D,"Gasto")</f>
        <v/>
      </c>
      <c r="C15" s="22">
        <f>SUMIFS(MOVIMIENTOS!$J:$J,MOVIMIENTOS!$E:$E,$A15,MOVIMIENTOS!$B:$B,$B$3,MOVIMIENTOS!$C:$C,C$5,MOVIMIENTOS!$D:$D,"Gasto")</f>
        <v/>
      </c>
      <c r="D15" s="22">
        <f>SUMIFS(MOVIMIENTOS!$J:$J,MOVIMIENTOS!$E:$E,$A15,MOVIMIENTOS!$B:$B,$B$3,MOVIMIENTOS!$C:$C,D$5,MOVIMIENTOS!$D:$D,"Gasto")</f>
        <v/>
      </c>
      <c r="E15" s="22">
        <f>SUMIFS(MOVIMIENTOS!$J:$J,MOVIMIENTOS!$E:$E,$A15,MOVIMIENTOS!$B:$B,$B$3,MOVIMIENTOS!$C:$C,E$5,MOVIMIENTOS!$D:$D,"Gasto")</f>
        <v/>
      </c>
      <c r="F15" s="22">
        <f>SUMIFS(MOVIMIENTOS!$J:$J,MOVIMIENTOS!$E:$E,$A15,MOVIMIENTOS!$B:$B,$B$3,MOVIMIENTOS!$C:$C,F$5,MOVIMIENTOS!$D:$D,"Gasto")</f>
        <v/>
      </c>
      <c r="G15" s="22">
        <f>SUMIFS(MOVIMIENTOS!$J:$J,MOVIMIENTOS!$E:$E,$A15,MOVIMIENTOS!$B:$B,$B$3,MOVIMIENTOS!$C:$C,G$5,MOVIMIENTOS!$D:$D,"Gasto")</f>
        <v/>
      </c>
      <c r="H15" s="22">
        <f>SUMIFS(MOVIMIENTOS!$J:$J,MOVIMIENTOS!$E:$E,$A15,MOVIMIENTOS!$B:$B,$B$3,MOVIMIENTOS!$C:$C,H$5,MOVIMIENTOS!$D:$D,"Gasto")</f>
        <v/>
      </c>
      <c r="I15" s="22">
        <f>SUMIFS(MOVIMIENTOS!$J:$J,MOVIMIENTOS!$E:$E,$A15,MOVIMIENTOS!$B:$B,$B$3,MOVIMIENTOS!$C:$C,I$5,MOVIMIENTOS!$D:$D,"Gasto")</f>
        <v/>
      </c>
      <c r="J15" s="22">
        <f>SUMIFS(MOVIMIENTOS!$J:$J,MOVIMIENTOS!$E:$E,$A15,MOVIMIENTOS!$B:$B,$B$3,MOVIMIENTOS!$C:$C,J$5,MOVIMIENTOS!$D:$D,"Gasto")</f>
        <v/>
      </c>
      <c r="K15" s="22">
        <f>SUMIFS(MOVIMIENTOS!$J:$J,MOVIMIENTOS!$E:$E,$A15,MOVIMIENTOS!$B:$B,$B$3,MOVIMIENTOS!$C:$C,K$5,MOVIMIENTOS!$D:$D,"Gasto")</f>
        <v/>
      </c>
      <c r="L15" s="22">
        <f>SUMIFS(MOVIMIENTOS!$J:$J,MOVIMIENTOS!$E:$E,$A15,MOVIMIENTOS!$B:$B,$B$3,MOVIMIENTOS!$C:$C,L$5,MOVIMIENTOS!$D:$D,"Gasto")</f>
        <v/>
      </c>
      <c r="M15" s="22">
        <f>SUMIFS(MOVIMIENTOS!$J:$J,MOVIMIENTOS!$E:$E,$A15,MOVIMIENTOS!$B:$B,$B$3,MOVIMIENTOS!$C:$C,M$5,MOVIMIENTOS!$D:$D,"Gasto")</f>
        <v/>
      </c>
      <c r="N15" s="23">
        <f>SUM($B15:$M15)</f>
        <v/>
      </c>
    </row>
    <row r="16">
      <c r="A16" s="6" t="inlineStr">
        <is>
          <t>Salud</t>
        </is>
      </c>
      <c r="B16" s="22">
        <f>SUMIFS(MOVIMIENTOS!$J:$J,MOVIMIENTOS!$E:$E,$A16,MOVIMIENTOS!$B:$B,$B$3,MOVIMIENTOS!$C:$C,B$5,MOVIMIENTOS!$D:$D,"Gasto")</f>
        <v/>
      </c>
      <c r="C16" s="22">
        <f>SUMIFS(MOVIMIENTOS!$J:$J,MOVIMIENTOS!$E:$E,$A16,MOVIMIENTOS!$B:$B,$B$3,MOVIMIENTOS!$C:$C,C$5,MOVIMIENTOS!$D:$D,"Gasto")</f>
        <v/>
      </c>
      <c r="D16" s="22">
        <f>SUMIFS(MOVIMIENTOS!$J:$J,MOVIMIENTOS!$E:$E,$A16,MOVIMIENTOS!$B:$B,$B$3,MOVIMIENTOS!$C:$C,D$5,MOVIMIENTOS!$D:$D,"Gasto")</f>
        <v/>
      </c>
      <c r="E16" s="22">
        <f>SUMIFS(MOVIMIENTOS!$J:$J,MOVIMIENTOS!$E:$E,$A16,MOVIMIENTOS!$B:$B,$B$3,MOVIMIENTOS!$C:$C,E$5,MOVIMIENTOS!$D:$D,"Gasto")</f>
        <v/>
      </c>
      <c r="F16" s="22">
        <f>SUMIFS(MOVIMIENTOS!$J:$J,MOVIMIENTOS!$E:$E,$A16,MOVIMIENTOS!$B:$B,$B$3,MOVIMIENTOS!$C:$C,F$5,MOVIMIENTOS!$D:$D,"Gasto")</f>
        <v/>
      </c>
      <c r="G16" s="22">
        <f>SUMIFS(MOVIMIENTOS!$J:$J,MOVIMIENTOS!$E:$E,$A16,MOVIMIENTOS!$B:$B,$B$3,MOVIMIENTOS!$C:$C,G$5,MOVIMIENTOS!$D:$D,"Gasto")</f>
        <v/>
      </c>
      <c r="H16" s="22">
        <f>SUMIFS(MOVIMIENTOS!$J:$J,MOVIMIENTOS!$E:$E,$A16,MOVIMIENTOS!$B:$B,$B$3,MOVIMIENTOS!$C:$C,H$5,MOVIMIENTOS!$D:$D,"Gasto")</f>
        <v/>
      </c>
      <c r="I16" s="22">
        <f>SUMIFS(MOVIMIENTOS!$J:$J,MOVIMIENTOS!$E:$E,$A16,MOVIMIENTOS!$B:$B,$B$3,MOVIMIENTOS!$C:$C,I$5,MOVIMIENTOS!$D:$D,"Gasto")</f>
        <v/>
      </c>
      <c r="J16" s="22">
        <f>SUMIFS(MOVIMIENTOS!$J:$J,MOVIMIENTOS!$E:$E,$A16,MOVIMIENTOS!$B:$B,$B$3,MOVIMIENTOS!$C:$C,J$5,MOVIMIENTOS!$D:$D,"Gasto")</f>
        <v/>
      </c>
      <c r="K16" s="22">
        <f>SUMIFS(MOVIMIENTOS!$J:$J,MOVIMIENTOS!$E:$E,$A16,MOVIMIENTOS!$B:$B,$B$3,MOVIMIENTOS!$C:$C,K$5,MOVIMIENTOS!$D:$D,"Gasto")</f>
        <v/>
      </c>
      <c r="L16" s="22">
        <f>SUMIFS(MOVIMIENTOS!$J:$J,MOVIMIENTOS!$E:$E,$A16,MOVIMIENTOS!$B:$B,$B$3,MOVIMIENTOS!$C:$C,L$5,MOVIMIENTOS!$D:$D,"Gasto")</f>
        <v/>
      </c>
      <c r="M16" s="22">
        <f>SUMIFS(MOVIMIENTOS!$J:$J,MOVIMIENTOS!$E:$E,$A16,MOVIMIENTOS!$B:$B,$B$3,MOVIMIENTOS!$C:$C,M$5,MOVIMIENTOS!$D:$D,"Gasto")</f>
        <v/>
      </c>
      <c r="N16" s="23">
        <f>SUM($B16:$M16)</f>
        <v/>
      </c>
    </row>
    <row r="17">
      <c r="A17" s="6" t="inlineStr">
        <is>
          <t>Educacion</t>
        </is>
      </c>
      <c r="B17" s="22">
        <f>SUMIFS(MOVIMIENTOS!$J:$J,MOVIMIENTOS!$E:$E,$A17,MOVIMIENTOS!$B:$B,$B$3,MOVIMIENTOS!$C:$C,B$5,MOVIMIENTOS!$D:$D,"Gasto")</f>
        <v/>
      </c>
      <c r="C17" s="22">
        <f>SUMIFS(MOVIMIENTOS!$J:$J,MOVIMIENTOS!$E:$E,$A17,MOVIMIENTOS!$B:$B,$B$3,MOVIMIENTOS!$C:$C,C$5,MOVIMIENTOS!$D:$D,"Gasto")</f>
        <v/>
      </c>
      <c r="D17" s="22">
        <f>SUMIFS(MOVIMIENTOS!$J:$J,MOVIMIENTOS!$E:$E,$A17,MOVIMIENTOS!$B:$B,$B$3,MOVIMIENTOS!$C:$C,D$5,MOVIMIENTOS!$D:$D,"Gasto")</f>
        <v/>
      </c>
      <c r="E17" s="22">
        <f>SUMIFS(MOVIMIENTOS!$J:$J,MOVIMIENTOS!$E:$E,$A17,MOVIMIENTOS!$B:$B,$B$3,MOVIMIENTOS!$C:$C,E$5,MOVIMIENTOS!$D:$D,"Gasto")</f>
        <v/>
      </c>
      <c r="F17" s="22">
        <f>SUMIFS(MOVIMIENTOS!$J:$J,MOVIMIENTOS!$E:$E,$A17,MOVIMIENTOS!$B:$B,$B$3,MOVIMIENTOS!$C:$C,F$5,MOVIMIENTOS!$D:$D,"Gasto")</f>
        <v/>
      </c>
      <c r="G17" s="22">
        <f>SUMIFS(MOVIMIENTOS!$J:$J,MOVIMIENTOS!$E:$E,$A17,MOVIMIENTOS!$B:$B,$B$3,MOVIMIENTOS!$C:$C,G$5,MOVIMIENTOS!$D:$D,"Gasto")</f>
        <v/>
      </c>
      <c r="H17" s="22">
        <f>SUMIFS(MOVIMIENTOS!$J:$J,MOVIMIENTOS!$E:$E,$A17,MOVIMIENTOS!$B:$B,$B$3,MOVIMIENTOS!$C:$C,H$5,MOVIMIENTOS!$D:$D,"Gasto")</f>
        <v/>
      </c>
      <c r="I17" s="22">
        <f>SUMIFS(MOVIMIENTOS!$J:$J,MOVIMIENTOS!$E:$E,$A17,MOVIMIENTOS!$B:$B,$B$3,MOVIMIENTOS!$C:$C,I$5,MOVIMIENTOS!$D:$D,"Gasto")</f>
        <v/>
      </c>
      <c r="J17" s="22">
        <f>SUMIFS(MOVIMIENTOS!$J:$J,MOVIMIENTOS!$E:$E,$A17,MOVIMIENTOS!$B:$B,$B$3,MOVIMIENTOS!$C:$C,J$5,MOVIMIENTOS!$D:$D,"Gasto")</f>
        <v/>
      </c>
      <c r="K17" s="22">
        <f>SUMIFS(MOVIMIENTOS!$J:$J,MOVIMIENTOS!$E:$E,$A17,MOVIMIENTOS!$B:$B,$B$3,MOVIMIENTOS!$C:$C,K$5,MOVIMIENTOS!$D:$D,"Gasto")</f>
        <v/>
      </c>
      <c r="L17" s="22">
        <f>SUMIFS(MOVIMIENTOS!$J:$J,MOVIMIENTOS!$E:$E,$A17,MOVIMIENTOS!$B:$B,$B$3,MOVIMIENTOS!$C:$C,L$5,MOVIMIENTOS!$D:$D,"Gasto")</f>
        <v/>
      </c>
      <c r="M17" s="22">
        <f>SUMIFS(MOVIMIENTOS!$J:$J,MOVIMIENTOS!$E:$E,$A17,MOVIMIENTOS!$B:$B,$B$3,MOVIMIENTOS!$C:$C,M$5,MOVIMIENTOS!$D:$D,"Gasto")</f>
        <v/>
      </c>
      <c r="N17" s="23">
        <f>SUM($B17:$M17)</f>
        <v/>
      </c>
    </row>
    <row r="18">
      <c r="A18" s="6" t="inlineStr">
        <is>
          <t>Indumentaria</t>
        </is>
      </c>
      <c r="B18" s="22">
        <f>SUMIFS(MOVIMIENTOS!$J:$J,MOVIMIENTOS!$E:$E,$A18,MOVIMIENTOS!$B:$B,$B$3,MOVIMIENTOS!$C:$C,B$5,MOVIMIENTOS!$D:$D,"Gasto")</f>
        <v/>
      </c>
      <c r="C18" s="22">
        <f>SUMIFS(MOVIMIENTOS!$J:$J,MOVIMIENTOS!$E:$E,$A18,MOVIMIENTOS!$B:$B,$B$3,MOVIMIENTOS!$C:$C,C$5,MOVIMIENTOS!$D:$D,"Gasto")</f>
        <v/>
      </c>
      <c r="D18" s="22">
        <f>SUMIFS(MOVIMIENTOS!$J:$J,MOVIMIENTOS!$E:$E,$A18,MOVIMIENTOS!$B:$B,$B$3,MOVIMIENTOS!$C:$C,D$5,MOVIMIENTOS!$D:$D,"Gasto")</f>
        <v/>
      </c>
      <c r="E18" s="22">
        <f>SUMIFS(MOVIMIENTOS!$J:$J,MOVIMIENTOS!$E:$E,$A18,MOVIMIENTOS!$B:$B,$B$3,MOVIMIENTOS!$C:$C,E$5,MOVIMIENTOS!$D:$D,"Gasto")</f>
        <v/>
      </c>
      <c r="F18" s="22">
        <f>SUMIFS(MOVIMIENTOS!$J:$J,MOVIMIENTOS!$E:$E,$A18,MOVIMIENTOS!$B:$B,$B$3,MOVIMIENTOS!$C:$C,F$5,MOVIMIENTOS!$D:$D,"Gasto")</f>
        <v/>
      </c>
      <c r="G18" s="22">
        <f>SUMIFS(MOVIMIENTOS!$J:$J,MOVIMIENTOS!$E:$E,$A18,MOVIMIENTOS!$B:$B,$B$3,MOVIMIENTOS!$C:$C,G$5,MOVIMIENTOS!$D:$D,"Gasto")</f>
        <v/>
      </c>
      <c r="H18" s="22">
        <f>SUMIFS(MOVIMIENTOS!$J:$J,MOVIMIENTOS!$E:$E,$A18,MOVIMIENTOS!$B:$B,$B$3,MOVIMIENTOS!$C:$C,H$5,MOVIMIENTOS!$D:$D,"Gasto")</f>
        <v/>
      </c>
      <c r="I18" s="22">
        <f>SUMIFS(MOVIMIENTOS!$J:$J,MOVIMIENTOS!$E:$E,$A18,MOVIMIENTOS!$B:$B,$B$3,MOVIMIENTOS!$C:$C,I$5,MOVIMIENTOS!$D:$D,"Gasto")</f>
        <v/>
      </c>
      <c r="J18" s="22">
        <f>SUMIFS(MOVIMIENTOS!$J:$J,MOVIMIENTOS!$E:$E,$A18,MOVIMIENTOS!$B:$B,$B$3,MOVIMIENTOS!$C:$C,J$5,MOVIMIENTOS!$D:$D,"Gasto")</f>
        <v/>
      </c>
      <c r="K18" s="22">
        <f>SUMIFS(MOVIMIENTOS!$J:$J,MOVIMIENTOS!$E:$E,$A18,MOVIMIENTOS!$B:$B,$B$3,MOVIMIENTOS!$C:$C,K$5,MOVIMIENTOS!$D:$D,"Gasto")</f>
        <v/>
      </c>
      <c r="L18" s="22">
        <f>SUMIFS(MOVIMIENTOS!$J:$J,MOVIMIENTOS!$E:$E,$A18,MOVIMIENTOS!$B:$B,$B$3,MOVIMIENTOS!$C:$C,L$5,MOVIMIENTOS!$D:$D,"Gasto")</f>
        <v/>
      </c>
      <c r="M18" s="22">
        <f>SUMIFS(MOVIMIENTOS!$J:$J,MOVIMIENTOS!$E:$E,$A18,MOVIMIENTOS!$B:$B,$B$3,MOVIMIENTOS!$C:$C,M$5,MOVIMIENTOS!$D:$D,"Gasto")</f>
        <v/>
      </c>
      <c r="N18" s="23">
        <f>SUM($B18:$M18)</f>
        <v/>
      </c>
    </row>
    <row r="19">
      <c r="A19" s="6" t="inlineStr">
        <is>
          <t>Sueldos y Cargas</t>
        </is>
      </c>
      <c r="B19" s="22">
        <f>SUMIFS(MOVIMIENTOS!$J:$J,MOVIMIENTOS!$E:$E,$A19,MOVIMIENTOS!$B:$B,$B$3,MOVIMIENTOS!$C:$C,B$5,MOVIMIENTOS!$D:$D,"Gasto")</f>
        <v/>
      </c>
      <c r="C19" s="22">
        <f>SUMIFS(MOVIMIENTOS!$J:$J,MOVIMIENTOS!$E:$E,$A19,MOVIMIENTOS!$B:$B,$B$3,MOVIMIENTOS!$C:$C,C$5,MOVIMIENTOS!$D:$D,"Gasto")</f>
        <v/>
      </c>
      <c r="D19" s="22">
        <f>SUMIFS(MOVIMIENTOS!$J:$J,MOVIMIENTOS!$E:$E,$A19,MOVIMIENTOS!$B:$B,$B$3,MOVIMIENTOS!$C:$C,D$5,MOVIMIENTOS!$D:$D,"Gasto")</f>
        <v/>
      </c>
      <c r="E19" s="22">
        <f>SUMIFS(MOVIMIENTOS!$J:$J,MOVIMIENTOS!$E:$E,$A19,MOVIMIENTOS!$B:$B,$B$3,MOVIMIENTOS!$C:$C,E$5,MOVIMIENTOS!$D:$D,"Gasto")</f>
        <v/>
      </c>
      <c r="F19" s="22">
        <f>SUMIFS(MOVIMIENTOS!$J:$J,MOVIMIENTOS!$E:$E,$A19,MOVIMIENTOS!$B:$B,$B$3,MOVIMIENTOS!$C:$C,F$5,MOVIMIENTOS!$D:$D,"Gasto")</f>
        <v/>
      </c>
      <c r="G19" s="22">
        <f>SUMIFS(MOVIMIENTOS!$J:$J,MOVIMIENTOS!$E:$E,$A19,MOVIMIENTOS!$B:$B,$B$3,MOVIMIENTOS!$C:$C,G$5,MOVIMIENTOS!$D:$D,"Gasto")</f>
        <v/>
      </c>
      <c r="H19" s="22">
        <f>SUMIFS(MOVIMIENTOS!$J:$J,MOVIMIENTOS!$E:$E,$A19,MOVIMIENTOS!$B:$B,$B$3,MOVIMIENTOS!$C:$C,H$5,MOVIMIENTOS!$D:$D,"Gasto")</f>
        <v/>
      </c>
      <c r="I19" s="22">
        <f>SUMIFS(MOVIMIENTOS!$J:$J,MOVIMIENTOS!$E:$E,$A19,MOVIMIENTOS!$B:$B,$B$3,MOVIMIENTOS!$C:$C,I$5,MOVIMIENTOS!$D:$D,"Gasto")</f>
        <v/>
      </c>
      <c r="J19" s="22">
        <f>SUMIFS(MOVIMIENTOS!$J:$J,MOVIMIENTOS!$E:$E,$A19,MOVIMIENTOS!$B:$B,$B$3,MOVIMIENTOS!$C:$C,J$5,MOVIMIENTOS!$D:$D,"Gasto")</f>
        <v/>
      </c>
      <c r="K19" s="22">
        <f>SUMIFS(MOVIMIENTOS!$J:$J,MOVIMIENTOS!$E:$E,$A19,MOVIMIENTOS!$B:$B,$B$3,MOVIMIENTOS!$C:$C,K$5,MOVIMIENTOS!$D:$D,"Gasto")</f>
        <v/>
      </c>
      <c r="L19" s="22">
        <f>SUMIFS(MOVIMIENTOS!$J:$J,MOVIMIENTOS!$E:$E,$A19,MOVIMIENTOS!$B:$B,$B$3,MOVIMIENTOS!$C:$C,L$5,MOVIMIENTOS!$D:$D,"Gasto")</f>
        <v/>
      </c>
      <c r="M19" s="22">
        <f>SUMIFS(MOVIMIENTOS!$J:$J,MOVIMIENTOS!$E:$E,$A19,MOVIMIENTOS!$B:$B,$B$3,MOVIMIENTOS!$C:$C,M$5,MOVIMIENTOS!$D:$D,"Gasto")</f>
        <v/>
      </c>
      <c r="N19" s="23">
        <f>SUM($B19:$M19)</f>
        <v/>
      </c>
    </row>
    <row r="20">
      <c r="A20" s="6" t="inlineStr">
        <is>
          <t>Honorarios Profesionales</t>
        </is>
      </c>
      <c r="B20" s="22">
        <f>SUMIFS(MOVIMIENTOS!$J:$J,MOVIMIENTOS!$E:$E,$A20,MOVIMIENTOS!$B:$B,$B$3,MOVIMIENTOS!$C:$C,B$5,MOVIMIENTOS!$D:$D,"Gasto")</f>
        <v/>
      </c>
      <c r="C20" s="22">
        <f>SUMIFS(MOVIMIENTOS!$J:$J,MOVIMIENTOS!$E:$E,$A20,MOVIMIENTOS!$B:$B,$B$3,MOVIMIENTOS!$C:$C,C$5,MOVIMIENTOS!$D:$D,"Gasto")</f>
        <v/>
      </c>
      <c r="D20" s="22">
        <f>SUMIFS(MOVIMIENTOS!$J:$J,MOVIMIENTOS!$E:$E,$A20,MOVIMIENTOS!$B:$B,$B$3,MOVIMIENTOS!$C:$C,D$5,MOVIMIENTOS!$D:$D,"Gasto")</f>
        <v/>
      </c>
      <c r="E20" s="22">
        <f>SUMIFS(MOVIMIENTOS!$J:$J,MOVIMIENTOS!$E:$E,$A20,MOVIMIENTOS!$B:$B,$B$3,MOVIMIENTOS!$C:$C,E$5,MOVIMIENTOS!$D:$D,"Gasto")</f>
        <v/>
      </c>
      <c r="F20" s="22">
        <f>SUMIFS(MOVIMIENTOS!$J:$J,MOVIMIENTOS!$E:$E,$A20,MOVIMIENTOS!$B:$B,$B$3,MOVIMIENTOS!$C:$C,F$5,MOVIMIENTOS!$D:$D,"Gasto")</f>
        <v/>
      </c>
      <c r="G20" s="22">
        <f>SUMIFS(MOVIMIENTOS!$J:$J,MOVIMIENTOS!$E:$E,$A20,MOVIMIENTOS!$B:$B,$B$3,MOVIMIENTOS!$C:$C,G$5,MOVIMIENTOS!$D:$D,"Gasto")</f>
        <v/>
      </c>
      <c r="H20" s="22">
        <f>SUMIFS(MOVIMIENTOS!$J:$J,MOVIMIENTOS!$E:$E,$A20,MOVIMIENTOS!$B:$B,$B$3,MOVIMIENTOS!$C:$C,H$5,MOVIMIENTOS!$D:$D,"Gasto")</f>
        <v/>
      </c>
      <c r="I20" s="22">
        <f>SUMIFS(MOVIMIENTOS!$J:$J,MOVIMIENTOS!$E:$E,$A20,MOVIMIENTOS!$B:$B,$B$3,MOVIMIENTOS!$C:$C,I$5,MOVIMIENTOS!$D:$D,"Gasto")</f>
        <v/>
      </c>
      <c r="J20" s="22">
        <f>SUMIFS(MOVIMIENTOS!$J:$J,MOVIMIENTOS!$E:$E,$A20,MOVIMIENTOS!$B:$B,$B$3,MOVIMIENTOS!$C:$C,J$5,MOVIMIENTOS!$D:$D,"Gasto")</f>
        <v/>
      </c>
      <c r="K20" s="22">
        <f>SUMIFS(MOVIMIENTOS!$J:$J,MOVIMIENTOS!$E:$E,$A20,MOVIMIENTOS!$B:$B,$B$3,MOVIMIENTOS!$C:$C,K$5,MOVIMIENTOS!$D:$D,"Gasto")</f>
        <v/>
      </c>
      <c r="L20" s="22">
        <f>SUMIFS(MOVIMIENTOS!$J:$J,MOVIMIENTOS!$E:$E,$A20,MOVIMIENTOS!$B:$B,$B$3,MOVIMIENTOS!$C:$C,L$5,MOVIMIENTOS!$D:$D,"Gasto")</f>
        <v/>
      </c>
      <c r="M20" s="22">
        <f>SUMIFS(MOVIMIENTOS!$J:$J,MOVIMIENTOS!$E:$E,$A20,MOVIMIENTOS!$B:$B,$B$3,MOVIMIENTOS!$C:$C,M$5,MOVIMIENTOS!$D:$D,"Gasto")</f>
        <v/>
      </c>
      <c r="N20" s="23">
        <f>SUM($B20:$M20)</f>
        <v/>
      </c>
    </row>
    <row r="21">
      <c r="A21" s="6" t="inlineStr">
        <is>
          <t>Monotributo / AFIP</t>
        </is>
      </c>
      <c r="B21" s="22">
        <f>SUMIFS(MOVIMIENTOS!$J:$J,MOVIMIENTOS!$E:$E,$A21,MOVIMIENTOS!$B:$B,$B$3,MOVIMIENTOS!$C:$C,B$5,MOVIMIENTOS!$D:$D,"Gasto")</f>
        <v/>
      </c>
      <c r="C21" s="22">
        <f>SUMIFS(MOVIMIENTOS!$J:$J,MOVIMIENTOS!$E:$E,$A21,MOVIMIENTOS!$B:$B,$B$3,MOVIMIENTOS!$C:$C,C$5,MOVIMIENTOS!$D:$D,"Gasto")</f>
        <v/>
      </c>
      <c r="D21" s="22">
        <f>SUMIFS(MOVIMIENTOS!$J:$J,MOVIMIENTOS!$E:$E,$A21,MOVIMIENTOS!$B:$B,$B$3,MOVIMIENTOS!$C:$C,D$5,MOVIMIENTOS!$D:$D,"Gasto")</f>
        <v/>
      </c>
      <c r="E21" s="22">
        <f>SUMIFS(MOVIMIENTOS!$J:$J,MOVIMIENTOS!$E:$E,$A21,MOVIMIENTOS!$B:$B,$B$3,MOVIMIENTOS!$C:$C,E$5,MOVIMIENTOS!$D:$D,"Gasto")</f>
        <v/>
      </c>
      <c r="F21" s="22">
        <f>SUMIFS(MOVIMIENTOS!$J:$J,MOVIMIENTOS!$E:$E,$A21,MOVIMIENTOS!$B:$B,$B$3,MOVIMIENTOS!$C:$C,F$5,MOVIMIENTOS!$D:$D,"Gasto")</f>
        <v/>
      </c>
      <c r="G21" s="22">
        <f>SUMIFS(MOVIMIENTOS!$J:$J,MOVIMIENTOS!$E:$E,$A21,MOVIMIENTOS!$B:$B,$B$3,MOVIMIENTOS!$C:$C,G$5,MOVIMIENTOS!$D:$D,"Gasto")</f>
        <v/>
      </c>
      <c r="H21" s="22">
        <f>SUMIFS(MOVIMIENTOS!$J:$J,MOVIMIENTOS!$E:$E,$A21,MOVIMIENTOS!$B:$B,$B$3,MOVIMIENTOS!$C:$C,H$5,MOVIMIENTOS!$D:$D,"Gasto")</f>
        <v/>
      </c>
      <c r="I21" s="22">
        <f>SUMIFS(MOVIMIENTOS!$J:$J,MOVIMIENTOS!$E:$E,$A21,MOVIMIENTOS!$B:$B,$B$3,MOVIMIENTOS!$C:$C,I$5,MOVIMIENTOS!$D:$D,"Gasto")</f>
        <v/>
      </c>
      <c r="J21" s="22">
        <f>SUMIFS(MOVIMIENTOS!$J:$J,MOVIMIENTOS!$E:$E,$A21,MOVIMIENTOS!$B:$B,$B$3,MOVIMIENTOS!$C:$C,J$5,MOVIMIENTOS!$D:$D,"Gasto")</f>
        <v/>
      </c>
      <c r="K21" s="22">
        <f>SUMIFS(MOVIMIENTOS!$J:$J,MOVIMIENTOS!$E:$E,$A21,MOVIMIENTOS!$B:$B,$B$3,MOVIMIENTOS!$C:$C,K$5,MOVIMIENTOS!$D:$D,"Gasto")</f>
        <v/>
      </c>
      <c r="L21" s="22">
        <f>SUMIFS(MOVIMIENTOS!$J:$J,MOVIMIENTOS!$E:$E,$A21,MOVIMIENTOS!$B:$B,$B$3,MOVIMIENTOS!$C:$C,L$5,MOVIMIENTOS!$D:$D,"Gasto")</f>
        <v/>
      </c>
      <c r="M21" s="22">
        <f>SUMIFS(MOVIMIENTOS!$J:$J,MOVIMIENTOS!$E:$E,$A21,MOVIMIENTOS!$B:$B,$B$3,MOVIMIENTOS!$C:$C,M$5,MOVIMIENTOS!$D:$D,"Gasto")</f>
        <v/>
      </c>
      <c r="N21" s="23">
        <f>SUM($B21:$M21)</f>
        <v/>
      </c>
    </row>
    <row r="22">
      <c r="A22" s="6" t="inlineStr">
        <is>
          <t>Bancos y Comisiones</t>
        </is>
      </c>
      <c r="B22" s="22">
        <f>SUMIFS(MOVIMIENTOS!$J:$J,MOVIMIENTOS!$E:$E,$A22,MOVIMIENTOS!$B:$B,$B$3,MOVIMIENTOS!$C:$C,B$5,MOVIMIENTOS!$D:$D,"Gasto")</f>
        <v/>
      </c>
      <c r="C22" s="22">
        <f>SUMIFS(MOVIMIENTOS!$J:$J,MOVIMIENTOS!$E:$E,$A22,MOVIMIENTOS!$B:$B,$B$3,MOVIMIENTOS!$C:$C,C$5,MOVIMIENTOS!$D:$D,"Gasto")</f>
        <v/>
      </c>
      <c r="D22" s="22">
        <f>SUMIFS(MOVIMIENTOS!$J:$J,MOVIMIENTOS!$E:$E,$A22,MOVIMIENTOS!$B:$B,$B$3,MOVIMIENTOS!$C:$C,D$5,MOVIMIENTOS!$D:$D,"Gasto")</f>
        <v/>
      </c>
      <c r="E22" s="22">
        <f>SUMIFS(MOVIMIENTOS!$J:$J,MOVIMIENTOS!$E:$E,$A22,MOVIMIENTOS!$B:$B,$B$3,MOVIMIENTOS!$C:$C,E$5,MOVIMIENTOS!$D:$D,"Gasto")</f>
        <v/>
      </c>
      <c r="F22" s="22">
        <f>SUMIFS(MOVIMIENTOS!$J:$J,MOVIMIENTOS!$E:$E,$A22,MOVIMIENTOS!$B:$B,$B$3,MOVIMIENTOS!$C:$C,F$5,MOVIMIENTOS!$D:$D,"Gasto")</f>
        <v/>
      </c>
      <c r="G22" s="22">
        <f>SUMIFS(MOVIMIENTOS!$J:$J,MOVIMIENTOS!$E:$E,$A22,MOVIMIENTOS!$B:$B,$B$3,MOVIMIENTOS!$C:$C,G$5,MOVIMIENTOS!$D:$D,"Gasto")</f>
        <v/>
      </c>
      <c r="H22" s="22">
        <f>SUMIFS(MOVIMIENTOS!$J:$J,MOVIMIENTOS!$E:$E,$A22,MOVIMIENTOS!$B:$B,$B$3,MOVIMIENTOS!$C:$C,H$5,MOVIMIENTOS!$D:$D,"Gasto")</f>
        <v/>
      </c>
      <c r="I22" s="22">
        <f>SUMIFS(MOVIMIENTOS!$J:$J,MOVIMIENTOS!$E:$E,$A22,MOVIMIENTOS!$B:$B,$B$3,MOVIMIENTOS!$C:$C,I$5,MOVIMIENTOS!$D:$D,"Gasto")</f>
        <v/>
      </c>
      <c r="J22" s="22">
        <f>SUMIFS(MOVIMIENTOS!$J:$J,MOVIMIENTOS!$E:$E,$A22,MOVIMIENTOS!$B:$B,$B$3,MOVIMIENTOS!$C:$C,J$5,MOVIMIENTOS!$D:$D,"Gasto")</f>
        <v/>
      </c>
      <c r="K22" s="22">
        <f>SUMIFS(MOVIMIENTOS!$J:$J,MOVIMIENTOS!$E:$E,$A22,MOVIMIENTOS!$B:$B,$B$3,MOVIMIENTOS!$C:$C,K$5,MOVIMIENTOS!$D:$D,"Gasto")</f>
        <v/>
      </c>
      <c r="L22" s="22">
        <f>SUMIFS(MOVIMIENTOS!$J:$J,MOVIMIENTOS!$E:$E,$A22,MOVIMIENTOS!$B:$B,$B$3,MOVIMIENTOS!$C:$C,L$5,MOVIMIENTOS!$D:$D,"Gasto")</f>
        <v/>
      </c>
      <c r="M22" s="22">
        <f>SUMIFS(MOVIMIENTOS!$J:$J,MOVIMIENTOS!$E:$E,$A22,MOVIMIENTOS!$B:$B,$B$3,MOVIMIENTOS!$C:$C,M$5,MOVIMIENTOS!$D:$D,"Gasto")</f>
        <v/>
      </c>
      <c r="N22" s="23">
        <f>SUM($B22:$M22)</f>
        <v/>
      </c>
    </row>
    <row r="23">
      <c r="A23" s="6" t="inlineStr">
        <is>
          <t>Tarjetas - Cuotas</t>
        </is>
      </c>
      <c r="B23" s="22">
        <f>SUMIFS(MOVIMIENTOS!$J:$J,MOVIMIENTOS!$E:$E,$A23,MOVIMIENTOS!$B:$B,$B$3,MOVIMIENTOS!$C:$C,B$5,MOVIMIENTOS!$D:$D,"Gasto")</f>
        <v/>
      </c>
      <c r="C23" s="22">
        <f>SUMIFS(MOVIMIENTOS!$J:$J,MOVIMIENTOS!$E:$E,$A23,MOVIMIENTOS!$B:$B,$B$3,MOVIMIENTOS!$C:$C,C$5,MOVIMIENTOS!$D:$D,"Gasto")</f>
        <v/>
      </c>
      <c r="D23" s="22">
        <f>SUMIFS(MOVIMIENTOS!$J:$J,MOVIMIENTOS!$E:$E,$A23,MOVIMIENTOS!$B:$B,$B$3,MOVIMIENTOS!$C:$C,D$5,MOVIMIENTOS!$D:$D,"Gasto")</f>
        <v/>
      </c>
      <c r="E23" s="22">
        <f>SUMIFS(MOVIMIENTOS!$J:$J,MOVIMIENTOS!$E:$E,$A23,MOVIMIENTOS!$B:$B,$B$3,MOVIMIENTOS!$C:$C,E$5,MOVIMIENTOS!$D:$D,"Gasto")</f>
        <v/>
      </c>
      <c r="F23" s="22">
        <f>SUMIFS(MOVIMIENTOS!$J:$J,MOVIMIENTOS!$E:$E,$A23,MOVIMIENTOS!$B:$B,$B$3,MOVIMIENTOS!$C:$C,F$5,MOVIMIENTOS!$D:$D,"Gasto")</f>
        <v/>
      </c>
      <c r="G23" s="22">
        <f>SUMIFS(MOVIMIENTOS!$J:$J,MOVIMIENTOS!$E:$E,$A23,MOVIMIENTOS!$B:$B,$B$3,MOVIMIENTOS!$C:$C,G$5,MOVIMIENTOS!$D:$D,"Gasto")</f>
        <v/>
      </c>
      <c r="H23" s="22">
        <f>SUMIFS(MOVIMIENTOS!$J:$J,MOVIMIENTOS!$E:$E,$A23,MOVIMIENTOS!$B:$B,$B$3,MOVIMIENTOS!$C:$C,H$5,MOVIMIENTOS!$D:$D,"Gasto")</f>
        <v/>
      </c>
      <c r="I23" s="22">
        <f>SUMIFS(MOVIMIENTOS!$J:$J,MOVIMIENTOS!$E:$E,$A23,MOVIMIENTOS!$B:$B,$B$3,MOVIMIENTOS!$C:$C,I$5,MOVIMIENTOS!$D:$D,"Gasto")</f>
        <v/>
      </c>
      <c r="J23" s="22">
        <f>SUMIFS(MOVIMIENTOS!$J:$J,MOVIMIENTOS!$E:$E,$A23,MOVIMIENTOS!$B:$B,$B$3,MOVIMIENTOS!$C:$C,J$5,MOVIMIENTOS!$D:$D,"Gasto")</f>
        <v/>
      </c>
      <c r="K23" s="22">
        <f>SUMIFS(MOVIMIENTOS!$J:$J,MOVIMIENTOS!$E:$E,$A23,MOVIMIENTOS!$B:$B,$B$3,MOVIMIENTOS!$C:$C,K$5,MOVIMIENTOS!$D:$D,"Gasto")</f>
        <v/>
      </c>
      <c r="L23" s="22">
        <f>SUMIFS(MOVIMIENTOS!$J:$J,MOVIMIENTOS!$E:$E,$A23,MOVIMIENTOS!$B:$B,$B$3,MOVIMIENTOS!$C:$C,L$5,MOVIMIENTOS!$D:$D,"Gasto")</f>
        <v/>
      </c>
      <c r="M23" s="22">
        <f>SUMIFS(MOVIMIENTOS!$J:$J,MOVIMIENTOS!$E:$E,$A23,MOVIMIENTOS!$B:$B,$B$3,MOVIMIENTOS!$C:$C,M$5,MOVIMIENTOS!$D:$D,"Gasto")</f>
        <v/>
      </c>
      <c r="N23" s="23">
        <f>SUM($B23:$M23)</f>
        <v/>
      </c>
    </row>
    <row r="24">
      <c r="A24" s="6" t="inlineStr">
        <is>
          <t>Prestamos e Intereses</t>
        </is>
      </c>
      <c r="B24" s="22">
        <f>SUMIFS(MOVIMIENTOS!$J:$J,MOVIMIENTOS!$E:$E,$A24,MOVIMIENTOS!$B:$B,$B$3,MOVIMIENTOS!$C:$C,B$5,MOVIMIENTOS!$D:$D,"Gasto")</f>
        <v/>
      </c>
      <c r="C24" s="22">
        <f>SUMIFS(MOVIMIENTOS!$J:$J,MOVIMIENTOS!$E:$E,$A24,MOVIMIENTOS!$B:$B,$B$3,MOVIMIENTOS!$C:$C,C$5,MOVIMIENTOS!$D:$D,"Gasto")</f>
        <v/>
      </c>
      <c r="D24" s="22">
        <f>SUMIFS(MOVIMIENTOS!$J:$J,MOVIMIENTOS!$E:$E,$A24,MOVIMIENTOS!$B:$B,$B$3,MOVIMIENTOS!$C:$C,D$5,MOVIMIENTOS!$D:$D,"Gasto")</f>
        <v/>
      </c>
      <c r="E24" s="22">
        <f>SUMIFS(MOVIMIENTOS!$J:$J,MOVIMIENTOS!$E:$E,$A24,MOVIMIENTOS!$B:$B,$B$3,MOVIMIENTOS!$C:$C,E$5,MOVIMIENTOS!$D:$D,"Gasto")</f>
        <v/>
      </c>
      <c r="F24" s="22">
        <f>SUMIFS(MOVIMIENTOS!$J:$J,MOVIMIENTOS!$E:$E,$A24,MOVIMIENTOS!$B:$B,$B$3,MOVIMIENTOS!$C:$C,F$5,MOVIMIENTOS!$D:$D,"Gasto")</f>
        <v/>
      </c>
      <c r="G24" s="22">
        <f>SUMIFS(MOVIMIENTOS!$J:$J,MOVIMIENTOS!$E:$E,$A24,MOVIMIENTOS!$B:$B,$B$3,MOVIMIENTOS!$C:$C,G$5,MOVIMIENTOS!$D:$D,"Gasto")</f>
        <v/>
      </c>
      <c r="H24" s="22">
        <f>SUMIFS(MOVIMIENTOS!$J:$J,MOVIMIENTOS!$E:$E,$A24,MOVIMIENTOS!$B:$B,$B$3,MOVIMIENTOS!$C:$C,H$5,MOVIMIENTOS!$D:$D,"Gasto")</f>
        <v/>
      </c>
      <c r="I24" s="22">
        <f>SUMIFS(MOVIMIENTOS!$J:$J,MOVIMIENTOS!$E:$E,$A24,MOVIMIENTOS!$B:$B,$B$3,MOVIMIENTOS!$C:$C,I$5,MOVIMIENTOS!$D:$D,"Gasto")</f>
        <v/>
      </c>
      <c r="J24" s="22">
        <f>SUMIFS(MOVIMIENTOS!$J:$J,MOVIMIENTOS!$E:$E,$A24,MOVIMIENTOS!$B:$B,$B$3,MOVIMIENTOS!$C:$C,J$5,MOVIMIENTOS!$D:$D,"Gasto")</f>
        <v/>
      </c>
      <c r="K24" s="22">
        <f>SUMIFS(MOVIMIENTOS!$J:$J,MOVIMIENTOS!$E:$E,$A24,MOVIMIENTOS!$B:$B,$B$3,MOVIMIENTOS!$C:$C,K$5,MOVIMIENTOS!$D:$D,"Gasto")</f>
        <v/>
      </c>
      <c r="L24" s="22">
        <f>SUMIFS(MOVIMIENTOS!$J:$J,MOVIMIENTOS!$E:$E,$A24,MOVIMIENTOS!$B:$B,$B$3,MOVIMIENTOS!$C:$C,L$5,MOVIMIENTOS!$D:$D,"Gasto")</f>
        <v/>
      </c>
      <c r="M24" s="22">
        <f>SUMIFS(MOVIMIENTOS!$J:$J,MOVIMIENTOS!$E:$E,$A24,MOVIMIENTOS!$B:$B,$B$3,MOVIMIENTOS!$C:$C,M$5,MOVIMIENTOS!$D:$D,"Gasto")</f>
        <v/>
      </c>
      <c r="N24" s="23">
        <f>SUM($B24:$M24)</f>
        <v/>
      </c>
    </row>
    <row r="25">
      <c r="A25" s="6" t="inlineStr">
        <is>
          <t>Inversiones</t>
        </is>
      </c>
      <c r="B25" s="22">
        <f>SUMIFS(MOVIMIENTOS!$J:$J,MOVIMIENTOS!$E:$E,$A25,MOVIMIENTOS!$B:$B,$B$3,MOVIMIENTOS!$C:$C,B$5,MOVIMIENTOS!$D:$D,"Gasto")</f>
        <v/>
      </c>
      <c r="C25" s="22">
        <f>SUMIFS(MOVIMIENTOS!$J:$J,MOVIMIENTOS!$E:$E,$A25,MOVIMIENTOS!$B:$B,$B$3,MOVIMIENTOS!$C:$C,C$5,MOVIMIENTOS!$D:$D,"Gasto")</f>
        <v/>
      </c>
      <c r="D25" s="22">
        <f>SUMIFS(MOVIMIENTOS!$J:$J,MOVIMIENTOS!$E:$E,$A25,MOVIMIENTOS!$B:$B,$B$3,MOVIMIENTOS!$C:$C,D$5,MOVIMIENTOS!$D:$D,"Gasto")</f>
        <v/>
      </c>
      <c r="E25" s="22">
        <f>SUMIFS(MOVIMIENTOS!$J:$J,MOVIMIENTOS!$E:$E,$A25,MOVIMIENTOS!$B:$B,$B$3,MOVIMIENTOS!$C:$C,E$5,MOVIMIENTOS!$D:$D,"Gasto")</f>
        <v/>
      </c>
      <c r="F25" s="22">
        <f>SUMIFS(MOVIMIENTOS!$J:$J,MOVIMIENTOS!$E:$E,$A25,MOVIMIENTOS!$B:$B,$B$3,MOVIMIENTOS!$C:$C,F$5,MOVIMIENTOS!$D:$D,"Gasto")</f>
        <v/>
      </c>
      <c r="G25" s="22">
        <f>SUMIFS(MOVIMIENTOS!$J:$J,MOVIMIENTOS!$E:$E,$A25,MOVIMIENTOS!$B:$B,$B$3,MOVIMIENTOS!$C:$C,G$5,MOVIMIENTOS!$D:$D,"Gasto")</f>
        <v/>
      </c>
      <c r="H25" s="22">
        <f>SUMIFS(MOVIMIENTOS!$J:$J,MOVIMIENTOS!$E:$E,$A25,MOVIMIENTOS!$B:$B,$B$3,MOVIMIENTOS!$C:$C,H$5,MOVIMIENTOS!$D:$D,"Gasto")</f>
        <v/>
      </c>
      <c r="I25" s="22">
        <f>SUMIFS(MOVIMIENTOS!$J:$J,MOVIMIENTOS!$E:$E,$A25,MOVIMIENTOS!$B:$B,$B$3,MOVIMIENTOS!$C:$C,I$5,MOVIMIENTOS!$D:$D,"Gasto")</f>
        <v/>
      </c>
      <c r="J25" s="22">
        <f>SUMIFS(MOVIMIENTOS!$J:$J,MOVIMIENTOS!$E:$E,$A25,MOVIMIENTOS!$B:$B,$B$3,MOVIMIENTOS!$C:$C,J$5,MOVIMIENTOS!$D:$D,"Gasto")</f>
        <v/>
      </c>
      <c r="K25" s="22">
        <f>SUMIFS(MOVIMIENTOS!$J:$J,MOVIMIENTOS!$E:$E,$A25,MOVIMIENTOS!$B:$B,$B$3,MOVIMIENTOS!$C:$C,K$5,MOVIMIENTOS!$D:$D,"Gasto")</f>
        <v/>
      </c>
      <c r="L25" s="22">
        <f>SUMIFS(MOVIMIENTOS!$J:$J,MOVIMIENTOS!$E:$E,$A25,MOVIMIENTOS!$B:$B,$B$3,MOVIMIENTOS!$C:$C,L$5,MOVIMIENTOS!$D:$D,"Gasto")</f>
        <v/>
      </c>
      <c r="M25" s="22">
        <f>SUMIFS(MOVIMIENTOS!$J:$J,MOVIMIENTOS!$E:$E,$A25,MOVIMIENTOS!$B:$B,$B$3,MOVIMIENTOS!$C:$C,M$5,MOVIMIENTOS!$D:$D,"Gasto")</f>
        <v/>
      </c>
      <c r="N25" s="23">
        <f>SUM($B25:$M25)</f>
        <v/>
      </c>
    </row>
    <row r="26">
      <c r="A26" s="6" t="inlineStr">
        <is>
          <t>Mercaderia / Stock</t>
        </is>
      </c>
      <c r="B26" s="22">
        <f>SUMIFS(MOVIMIENTOS!$J:$J,MOVIMIENTOS!$E:$E,$A26,MOVIMIENTOS!$B:$B,$B$3,MOVIMIENTOS!$C:$C,B$5,MOVIMIENTOS!$D:$D,"Gasto")</f>
        <v/>
      </c>
      <c r="C26" s="22">
        <f>SUMIFS(MOVIMIENTOS!$J:$J,MOVIMIENTOS!$E:$E,$A26,MOVIMIENTOS!$B:$B,$B$3,MOVIMIENTOS!$C:$C,C$5,MOVIMIENTOS!$D:$D,"Gasto")</f>
        <v/>
      </c>
      <c r="D26" s="22">
        <f>SUMIFS(MOVIMIENTOS!$J:$J,MOVIMIENTOS!$E:$E,$A26,MOVIMIENTOS!$B:$B,$B$3,MOVIMIENTOS!$C:$C,D$5,MOVIMIENTOS!$D:$D,"Gasto")</f>
        <v/>
      </c>
      <c r="E26" s="22">
        <f>SUMIFS(MOVIMIENTOS!$J:$J,MOVIMIENTOS!$E:$E,$A26,MOVIMIENTOS!$B:$B,$B$3,MOVIMIENTOS!$C:$C,E$5,MOVIMIENTOS!$D:$D,"Gasto")</f>
        <v/>
      </c>
      <c r="F26" s="22">
        <f>SUMIFS(MOVIMIENTOS!$J:$J,MOVIMIENTOS!$E:$E,$A26,MOVIMIENTOS!$B:$B,$B$3,MOVIMIENTOS!$C:$C,F$5,MOVIMIENTOS!$D:$D,"Gasto")</f>
        <v/>
      </c>
      <c r="G26" s="22">
        <f>SUMIFS(MOVIMIENTOS!$J:$J,MOVIMIENTOS!$E:$E,$A26,MOVIMIENTOS!$B:$B,$B$3,MOVIMIENTOS!$C:$C,G$5,MOVIMIENTOS!$D:$D,"Gasto")</f>
        <v/>
      </c>
      <c r="H26" s="22">
        <f>SUMIFS(MOVIMIENTOS!$J:$J,MOVIMIENTOS!$E:$E,$A26,MOVIMIENTOS!$B:$B,$B$3,MOVIMIENTOS!$C:$C,H$5,MOVIMIENTOS!$D:$D,"Gasto")</f>
        <v/>
      </c>
      <c r="I26" s="22">
        <f>SUMIFS(MOVIMIENTOS!$J:$J,MOVIMIENTOS!$E:$E,$A26,MOVIMIENTOS!$B:$B,$B$3,MOVIMIENTOS!$C:$C,I$5,MOVIMIENTOS!$D:$D,"Gasto")</f>
        <v/>
      </c>
      <c r="J26" s="22">
        <f>SUMIFS(MOVIMIENTOS!$J:$J,MOVIMIENTOS!$E:$E,$A26,MOVIMIENTOS!$B:$B,$B$3,MOVIMIENTOS!$C:$C,J$5,MOVIMIENTOS!$D:$D,"Gasto")</f>
        <v/>
      </c>
      <c r="K26" s="22">
        <f>SUMIFS(MOVIMIENTOS!$J:$J,MOVIMIENTOS!$E:$E,$A26,MOVIMIENTOS!$B:$B,$B$3,MOVIMIENTOS!$C:$C,K$5,MOVIMIENTOS!$D:$D,"Gasto")</f>
        <v/>
      </c>
      <c r="L26" s="22">
        <f>SUMIFS(MOVIMIENTOS!$J:$J,MOVIMIENTOS!$E:$E,$A26,MOVIMIENTOS!$B:$B,$B$3,MOVIMIENTOS!$C:$C,L$5,MOVIMIENTOS!$D:$D,"Gasto")</f>
        <v/>
      </c>
      <c r="M26" s="22">
        <f>SUMIFS(MOVIMIENTOS!$J:$J,MOVIMIENTOS!$E:$E,$A26,MOVIMIENTOS!$B:$B,$B$3,MOVIMIENTOS!$C:$C,M$5,MOVIMIENTOS!$D:$D,"Gasto")</f>
        <v/>
      </c>
      <c r="N26" s="23">
        <f>SUM($B26:$M26)</f>
        <v/>
      </c>
    </row>
    <row r="27">
      <c r="A27" s="6" t="inlineStr">
        <is>
          <t>Fletes y Logistica</t>
        </is>
      </c>
      <c r="B27" s="22">
        <f>SUMIFS(MOVIMIENTOS!$J:$J,MOVIMIENTOS!$E:$E,$A27,MOVIMIENTOS!$B:$B,$B$3,MOVIMIENTOS!$C:$C,B$5,MOVIMIENTOS!$D:$D,"Gasto")</f>
        <v/>
      </c>
      <c r="C27" s="22">
        <f>SUMIFS(MOVIMIENTOS!$J:$J,MOVIMIENTOS!$E:$E,$A27,MOVIMIENTOS!$B:$B,$B$3,MOVIMIENTOS!$C:$C,C$5,MOVIMIENTOS!$D:$D,"Gasto")</f>
        <v/>
      </c>
      <c r="D27" s="22">
        <f>SUMIFS(MOVIMIENTOS!$J:$J,MOVIMIENTOS!$E:$E,$A27,MOVIMIENTOS!$B:$B,$B$3,MOVIMIENTOS!$C:$C,D$5,MOVIMIENTOS!$D:$D,"Gasto")</f>
        <v/>
      </c>
      <c r="E27" s="22">
        <f>SUMIFS(MOVIMIENTOS!$J:$J,MOVIMIENTOS!$E:$E,$A27,MOVIMIENTOS!$B:$B,$B$3,MOVIMIENTOS!$C:$C,E$5,MOVIMIENTOS!$D:$D,"Gasto")</f>
        <v/>
      </c>
      <c r="F27" s="22">
        <f>SUMIFS(MOVIMIENTOS!$J:$J,MOVIMIENTOS!$E:$E,$A27,MOVIMIENTOS!$B:$B,$B$3,MOVIMIENTOS!$C:$C,F$5,MOVIMIENTOS!$D:$D,"Gasto")</f>
        <v/>
      </c>
      <c r="G27" s="22">
        <f>SUMIFS(MOVIMIENTOS!$J:$J,MOVIMIENTOS!$E:$E,$A27,MOVIMIENTOS!$B:$B,$B$3,MOVIMIENTOS!$C:$C,G$5,MOVIMIENTOS!$D:$D,"Gasto")</f>
        <v/>
      </c>
      <c r="H27" s="22">
        <f>SUMIFS(MOVIMIENTOS!$J:$J,MOVIMIENTOS!$E:$E,$A27,MOVIMIENTOS!$B:$B,$B$3,MOVIMIENTOS!$C:$C,H$5,MOVIMIENTOS!$D:$D,"Gasto")</f>
        <v/>
      </c>
      <c r="I27" s="22">
        <f>SUMIFS(MOVIMIENTOS!$J:$J,MOVIMIENTOS!$E:$E,$A27,MOVIMIENTOS!$B:$B,$B$3,MOVIMIENTOS!$C:$C,I$5,MOVIMIENTOS!$D:$D,"Gasto")</f>
        <v/>
      </c>
      <c r="J27" s="22">
        <f>SUMIFS(MOVIMIENTOS!$J:$J,MOVIMIENTOS!$E:$E,$A27,MOVIMIENTOS!$B:$B,$B$3,MOVIMIENTOS!$C:$C,J$5,MOVIMIENTOS!$D:$D,"Gasto")</f>
        <v/>
      </c>
      <c r="K27" s="22">
        <f>SUMIFS(MOVIMIENTOS!$J:$J,MOVIMIENTOS!$E:$E,$A27,MOVIMIENTOS!$B:$B,$B$3,MOVIMIENTOS!$C:$C,K$5,MOVIMIENTOS!$D:$D,"Gasto")</f>
        <v/>
      </c>
      <c r="L27" s="22">
        <f>SUMIFS(MOVIMIENTOS!$J:$J,MOVIMIENTOS!$E:$E,$A27,MOVIMIENTOS!$B:$B,$B$3,MOVIMIENTOS!$C:$C,L$5,MOVIMIENTOS!$D:$D,"Gasto")</f>
        <v/>
      </c>
      <c r="M27" s="22">
        <f>SUMIFS(MOVIMIENTOS!$J:$J,MOVIMIENTOS!$E:$E,$A27,MOVIMIENTOS!$B:$B,$B$3,MOVIMIENTOS!$C:$C,M$5,MOVIMIENTOS!$D:$D,"Gasto")</f>
        <v/>
      </c>
      <c r="N27" s="23">
        <f>SUM($B27:$M27)</f>
        <v/>
      </c>
    </row>
    <row r="28">
      <c r="A28" s="6" t="inlineStr">
        <is>
          <t>Marketing y Publicidad</t>
        </is>
      </c>
      <c r="B28" s="22">
        <f>SUMIFS(MOVIMIENTOS!$J:$J,MOVIMIENTOS!$E:$E,$A28,MOVIMIENTOS!$B:$B,$B$3,MOVIMIENTOS!$C:$C,B$5,MOVIMIENTOS!$D:$D,"Gasto")</f>
        <v/>
      </c>
      <c r="C28" s="22">
        <f>SUMIFS(MOVIMIENTOS!$J:$J,MOVIMIENTOS!$E:$E,$A28,MOVIMIENTOS!$B:$B,$B$3,MOVIMIENTOS!$C:$C,C$5,MOVIMIENTOS!$D:$D,"Gasto")</f>
        <v/>
      </c>
      <c r="D28" s="22">
        <f>SUMIFS(MOVIMIENTOS!$J:$J,MOVIMIENTOS!$E:$E,$A28,MOVIMIENTOS!$B:$B,$B$3,MOVIMIENTOS!$C:$C,D$5,MOVIMIENTOS!$D:$D,"Gasto")</f>
        <v/>
      </c>
      <c r="E28" s="22">
        <f>SUMIFS(MOVIMIENTOS!$J:$J,MOVIMIENTOS!$E:$E,$A28,MOVIMIENTOS!$B:$B,$B$3,MOVIMIENTOS!$C:$C,E$5,MOVIMIENTOS!$D:$D,"Gasto")</f>
        <v/>
      </c>
      <c r="F28" s="22">
        <f>SUMIFS(MOVIMIENTOS!$J:$J,MOVIMIENTOS!$E:$E,$A28,MOVIMIENTOS!$B:$B,$B$3,MOVIMIENTOS!$C:$C,F$5,MOVIMIENTOS!$D:$D,"Gasto")</f>
        <v/>
      </c>
      <c r="G28" s="22">
        <f>SUMIFS(MOVIMIENTOS!$J:$J,MOVIMIENTOS!$E:$E,$A28,MOVIMIENTOS!$B:$B,$B$3,MOVIMIENTOS!$C:$C,G$5,MOVIMIENTOS!$D:$D,"Gasto")</f>
        <v/>
      </c>
      <c r="H28" s="22">
        <f>SUMIFS(MOVIMIENTOS!$J:$J,MOVIMIENTOS!$E:$E,$A28,MOVIMIENTOS!$B:$B,$B$3,MOVIMIENTOS!$C:$C,H$5,MOVIMIENTOS!$D:$D,"Gasto")</f>
        <v/>
      </c>
      <c r="I28" s="22">
        <f>SUMIFS(MOVIMIENTOS!$J:$J,MOVIMIENTOS!$E:$E,$A28,MOVIMIENTOS!$B:$B,$B$3,MOVIMIENTOS!$C:$C,I$5,MOVIMIENTOS!$D:$D,"Gasto")</f>
        <v/>
      </c>
      <c r="J28" s="22">
        <f>SUMIFS(MOVIMIENTOS!$J:$J,MOVIMIENTOS!$E:$E,$A28,MOVIMIENTOS!$B:$B,$B$3,MOVIMIENTOS!$C:$C,J$5,MOVIMIENTOS!$D:$D,"Gasto")</f>
        <v/>
      </c>
      <c r="K28" s="22">
        <f>SUMIFS(MOVIMIENTOS!$J:$J,MOVIMIENTOS!$E:$E,$A28,MOVIMIENTOS!$B:$B,$B$3,MOVIMIENTOS!$C:$C,K$5,MOVIMIENTOS!$D:$D,"Gasto")</f>
        <v/>
      </c>
      <c r="L28" s="22">
        <f>SUMIFS(MOVIMIENTOS!$J:$J,MOVIMIENTOS!$E:$E,$A28,MOVIMIENTOS!$B:$B,$B$3,MOVIMIENTOS!$C:$C,L$5,MOVIMIENTOS!$D:$D,"Gasto")</f>
        <v/>
      </c>
      <c r="M28" s="22">
        <f>SUMIFS(MOVIMIENTOS!$J:$J,MOVIMIENTOS!$E:$E,$A28,MOVIMIENTOS!$B:$B,$B$3,MOVIMIENTOS!$C:$C,M$5,MOVIMIENTOS!$D:$D,"Gasto")</f>
        <v/>
      </c>
      <c r="N28" s="23">
        <f>SUM($B28:$M28)</f>
        <v/>
      </c>
    </row>
    <row r="29">
      <c r="A29" s="6" t="inlineStr">
        <is>
          <t>Tecnologia y Software</t>
        </is>
      </c>
      <c r="B29" s="22">
        <f>SUMIFS(MOVIMIENTOS!$J:$J,MOVIMIENTOS!$E:$E,$A29,MOVIMIENTOS!$B:$B,$B$3,MOVIMIENTOS!$C:$C,B$5,MOVIMIENTOS!$D:$D,"Gasto")</f>
        <v/>
      </c>
      <c r="C29" s="22">
        <f>SUMIFS(MOVIMIENTOS!$J:$J,MOVIMIENTOS!$E:$E,$A29,MOVIMIENTOS!$B:$B,$B$3,MOVIMIENTOS!$C:$C,C$5,MOVIMIENTOS!$D:$D,"Gasto")</f>
        <v/>
      </c>
      <c r="D29" s="22">
        <f>SUMIFS(MOVIMIENTOS!$J:$J,MOVIMIENTOS!$E:$E,$A29,MOVIMIENTOS!$B:$B,$B$3,MOVIMIENTOS!$C:$C,D$5,MOVIMIENTOS!$D:$D,"Gasto")</f>
        <v/>
      </c>
      <c r="E29" s="22">
        <f>SUMIFS(MOVIMIENTOS!$J:$J,MOVIMIENTOS!$E:$E,$A29,MOVIMIENTOS!$B:$B,$B$3,MOVIMIENTOS!$C:$C,E$5,MOVIMIENTOS!$D:$D,"Gasto")</f>
        <v/>
      </c>
      <c r="F29" s="22">
        <f>SUMIFS(MOVIMIENTOS!$J:$J,MOVIMIENTOS!$E:$E,$A29,MOVIMIENTOS!$B:$B,$B$3,MOVIMIENTOS!$C:$C,F$5,MOVIMIENTOS!$D:$D,"Gasto")</f>
        <v/>
      </c>
      <c r="G29" s="22">
        <f>SUMIFS(MOVIMIENTOS!$J:$J,MOVIMIENTOS!$E:$E,$A29,MOVIMIENTOS!$B:$B,$B$3,MOVIMIENTOS!$C:$C,G$5,MOVIMIENTOS!$D:$D,"Gasto")</f>
        <v/>
      </c>
      <c r="H29" s="22">
        <f>SUMIFS(MOVIMIENTOS!$J:$J,MOVIMIENTOS!$E:$E,$A29,MOVIMIENTOS!$B:$B,$B$3,MOVIMIENTOS!$C:$C,H$5,MOVIMIENTOS!$D:$D,"Gasto")</f>
        <v/>
      </c>
      <c r="I29" s="22">
        <f>SUMIFS(MOVIMIENTOS!$J:$J,MOVIMIENTOS!$E:$E,$A29,MOVIMIENTOS!$B:$B,$B$3,MOVIMIENTOS!$C:$C,I$5,MOVIMIENTOS!$D:$D,"Gasto")</f>
        <v/>
      </c>
      <c r="J29" s="22">
        <f>SUMIFS(MOVIMIENTOS!$J:$J,MOVIMIENTOS!$E:$E,$A29,MOVIMIENTOS!$B:$B,$B$3,MOVIMIENTOS!$C:$C,J$5,MOVIMIENTOS!$D:$D,"Gasto")</f>
        <v/>
      </c>
      <c r="K29" s="22">
        <f>SUMIFS(MOVIMIENTOS!$J:$J,MOVIMIENTOS!$E:$E,$A29,MOVIMIENTOS!$B:$B,$B$3,MOVIMIENTOS!$C:$C,K$5,MOVIMIENTOS!$D:$D,"Gasto")</f>
        <v/>
      </c>
      <c r="L29" s="22">
        <f>SUMIFS(MOVIMIENTOS!$J:$J,MOVIMIENTOS!$E:$E,$A29,MOVIMIENTOS!$B:$B,$B$3,MOVIMIENTOS!$C:$C,L$5,MOVIMIENTOS!$D:$D,"Gasto")</f>
        <v/>
      </c>
      <c r="M29" s="22">
        <f>SUMIFS(MOVIMIENTOS!$J:$J,MOVIMIENTOS!$E:$E,$A29,MOVIMIENTOS!$B:$B,$B$3,MOVIMIENTOS!$C:$C,M$5,MOVIMIENTOS!$D:$D,"Gasto")</f>
        <v/>
      </c>
      <c r="N29" s="23">
        <f>SUM($B29:$M29)</f>
        <v/>
      </c>
    </row>
    <row r="30">
      <c r="A30" s="6" t="inlineStr">
        <is>
          <t>Alquileres Comerciales</t>
        </is>
      </c>
      <c r="B30" s="22">
        <f>SUMIFS(MOVIMIENTOS!$J:$J,MOVIMIENTOS!$E:$E,$A30,MOVIMIENTOS!$B:$B,$B$3,MOVIMIENTOS!$C:$C,B$5,MOVIMIENTOS!$D:$D,"Gasto")</f>
        <v/>
      </c>
      <c r="C30" s="22">
        <f>SUMIFS(MOVIMIENTOS!$J:$J,MOVIMIENTOS!$E:$E,$A30,MOVIMIENTOS!$B:$B,$B$3,MOVIMIENTOS!$C:$C,C$5,MOVIMIENTOS!$D:$D,"Gasto")</f>
        <v/>
      </c>
      <c r="D30" s="22">
        <f>SUMIFS(MOVIMIENTOS!$J:$J,MOVIMIENTOS!$E:$E,$A30,MOVIMIENTOS!$B:$B,$B$3,MOVIMIENTOS!$C:$C,D$5,MOVIMIENTOS!$D:$D,"Gasto")</f>
        <v/>
      </c>
      <c r="E30" s="22">
        <f>SUMIFS(MOVIMIENTOS!$J:$J,MOVIMIENTOS!$E:$E,$A30,MOVIMIENTOS!$B:$B,$B$3,MOVIMIENTOS!$C:$C,E$5,MOVIMIENTOS!$D:$D,"Gasto")</f>
        <v/>
      </c>
      <c r="F30" s="22">
        <f>SUMIFS(MOVIMIENTOS!$J:$J,MOVIMIENTOS!$E:$E,$A30,MOVIMIENTOS!$B:$B,$B$3,MOVIMIENTOS!$C:$C,F$5,MOVIMIENTOS!$D:$D,"Gasto")</f>
        <v/>
      </c>
      <c r="G30" s="22">
        <f>SUMIFS(MOVIMIENTOS!$J:$J,MOVIMIENTOS!$E:$E,$A30,MOVIMIENTOS!$B:$B,$B$3,MOVIMIENTOS!$C:$C,G$5,MOVIMIENTOS!$D:$D,"Gasto")</f>
        <v/>
      </c>
      <c r="H30" s="22">
        <f>SUMIFS(MOVIMIENTOS!$J:$J,MOVIMIENTOS!$E:$E,$A30,MOVIMIENTOS!$B:$B,$B$3,MOVIMIENTOS!$C:$C,H$5,MOVIMIENTOS!$D:$D,"Gasto")</f>
        <v/>
      </c>
      <c r="I30" s="22">
        <f>SUMIFS(MOVIMIENTOS!$J:$J,MOVIMIENTOS!$E:$E,$A30,MOVIMIENTOS!$B:$B,$B$3,MOVIMIENTOS!$C:$C,I$5,MOVIMIENTOS!$D:$D,"Gasto")</f>
        <v/>
      </c>
      <c r="J30" s="22">
        <f>SUMIFS(MOVIMIENTOS!$J:$J,MOVIMIENTOS!$E:$E,$A30,MOVIMIENTOS!$B:$B,$B$3,MOVIMIENTOS!$C:$C,J$5,MOVIMIENTOS!$D:$D,"Gasto")</f>
        <v/>
      </c>
      <c r="K30" s="22">
        <f>SUMIFS(MOVIMIENTOS!$J:$J,MOVIMIENTOS!$E:$E,$A30,MOVIMIENTOS!$B:$B,$B$3,MOVIMIENTOS!$C:$C,K$5,MOVIMIENTOS!$D:$D,"Gasto")</f>
        <v/>
      </c>
      <c r="L30" s="22">
        <f>SUMIFS(MOVIMIENTOS!$J:$J,MOVIMIENTOS!$E:$E,$A30,MOVIMIENTOS!$B:$B,$B$3,MOVIMIENTOS!$C:$C,L$5,MOVIMIENTOS!$D:$D,"Gasto")</f>
        <v/>
      </c>
      <c r="M30" s="22">
        <f>SUMIFS(MOVIMIENTOS!$J:$J,MOVIMIENTOS!$E:$E,$A30,MOVIMIENTOS!$B:$B,$B$3,MOVIMIENTOS!$C:$C,M$5,MOVIMIENTOS!$D:$D,"Gasto")</f>
        <v/>
      </c>
      <c r="N30" s="23">
        <f>SUM($B30:$M30)</f>
        <v/>
      </c>
    </row>
    <row r="31">
      <c r="A31" s="6" t="inlineStr">
        <is>
          <t>Viajes</t>
        </is>
      </c>
      <c r="B31" s="22">
        <f>SUMIFS(MOVIMIENTOS!$J:$J,MOVIMIENTOS!$E:$E,$A31,MOVIMIENTOS!$B:$B,$B$3,MOVIMIENTOS!$C:$C,B$5,MOVIMIENTOS!$D:$D,"Gasto")</f>
        <v/>
      </c>
      <c r="C31" s="22">
        <f>SUMIFS(MOVIMIENTOS!$J:$J,MOVIMIENTOS!$E:$E,$A31,MOVIMIENTOS!$B:$B,$B$3,MOVIMIENTOS!$C:$C,C$5,MOVIMIENTOS!$D:$D,"Gasto")</f>
        <v/>
      </c>
      <c r="D31" s="22">
        <f>SUMIFS(MOVIMIENTOS!$J:$J,MOVIMIENTOS!$E:$E,$A31,MOVIMIENTOS!$B:$B,$B$3,MOVIMIENTOS!$C:$C,D$5,MOVIMIENTOS!$D:$D,"Gasto")</f>
        <v/>
      </c>
      <c r="E31" s="22">
        <f>SUMIFS(MOVIMIENTOS!$J:$J,MOVIMIENTOS!$E:$E,$A31,MOVIMIENTOS!$B:$B,$B$3,MOVIMIENTOS!$C:$C,E$5,MOVIMIENTOS!$D:$D,"Gasto")</f>
        <v/>
      </c>
      <c r="F31" s="22">
        <f>SUMIFS(MOVIMIENTOS!$J:$J,MOVIMIENTOS!$E:$E,$A31,MOVIMIENTOS!$B:$B,$B$3,MOVIMIENTOS!$C:$C,F$5,MOVIMIENTOS!$D:$D,"Gasto")</f>
        <v/>
      </c>
      <c r="G31" s="22">
        <f>SUMIFS(MOVIMIENTOS!$J:$J,MOVIMIENTOS!$E:$E,$A31,MOVIMIENTOS!$B:$B,$B$3,MOVIMIENTOS!$C:$C,G$5,MOVIMIENTOS!$D:$D,"Gasto")</f>
        <v/>
      </c>
      <c r="H31" s="22">
        <f>SUMIFS(MOVIMIENTOS!$J:$J,MOVIMIENTOS!$E:$E,$A31,MOVIMIENTOS!$B:$B,$B$3,MOVIMIENTOS!$C:$C,H$5,MOVIMIENTOS!$D:$D,"Gasto")</f>
        <v/>
      </c>
      <c r="I31" s="22">
        <f>SUMIFS(MOVIMIENTOS!$J:$J,MOVIMIENTOS!$E:$E,$A31,MOVIMIENTOS!$B:$B,$B$3,MOVIMIENTOS!$C:$C,I$5,MOVIMIENTOS!$D:$D,"Gasto")</f>
        <v/>
      </c>
      <c r="J31" s="22">
        <f>SUMIFS(MOVIMIENTOS!$J:$J,MOVIMIENTOS!$E:$E,$A31,MOVIMIENTOS!$B:$B,$B$3,MOVIMIENTOS!$C:$C,J$5,MOVIMIENTOS!$D:$D,"Gasto")</f>
        <v/>
      </c>
      <c r="K31" s="22">
        <f>SUMIFS(MOVIMIENTOS!$J:$J,MOVIMIENTOS!$E:$E,$A31,MOVIMIENTOS!$B:$B,$B$3,MOVIMIENTOS!$C:$C,K$5,MOVIMIENTOS!$D:$D,"Gasto")</f>
        <v/>
      </c>
      <c r="L31" s="22">
        <f>SUMIFS(MOVIMIENTOS!$J:$J,MOVIMIENTOS!$E:$E,$A31,MOVIMIENTOS!$B:$B,$B$3,MOVIMIENTOS!$C:$C,L$5,MOVIMIENTOS!$D:$D,"Gasto")</f>
        <v/>
      </c>
      <c r="M31" s="22">
        <f>SUMIFS(MOVIMIENTOS!$J:$J,MOVIMIENTOS!$E:$E,$A31,MOVIMIENTOS!$B:$B,$B$3,MOVIMIENTOS!$C:$C,M$5,MOVIMIENTOS!$D:$D,"Gasto")</f>
        <v/>
      </c>
      <c r="N31" s="23">
        <f>SUM($B31:$M31)</f>
        <v/>
      </c>
    </row>
    <row r="32">
      <c r="A32" s="6" t="inlineStr">
        <is>
          <t>Regalos y Donaciones</t>
        </is>
      </c>
      <c r="B32" s="22">
        <f>SUMIFS(MOVIMIENTOS!$J:$J,MOVIMIENTOS!$E:$E,$A32,MOVIMIENTOS!$B:$B,$B$3,MOVIMIENTOS!$C:$C,B$5,MOVIMIENTOS!$D:$D,"Gasto")</f>
        <v/>
      </c>
      <c r="C32" s="22">
        <f>SUMIFS(MOVIMIENTOS!$J:$J,MOVIMIENTOS!$E:$E,$A32,MOVIMIENTOS!$B:$B,$B$3,MOVIMIENTOS!$C:$C,C$5,MOVIMIENTOS!$D:$D,"Gasto")</f>
        <v/>
      </c>
      <c r="D32" s="22">
        <f>SUMIFS(MOVIMIENTOS!$J:$J,MOVIMIENTOS!$E:$E,$A32,MOVIMIENTOS!$B:$B,$B$3,MOVIMIENTOS!$C:$C,D$5,MOVIMIENTOS!$D:$D,"Gasto")</f>
        <v/>
      </c>
      <c r="E32" s="22">
        <f>SUMIFS(MOVIMIENTOS!$J:$J,MOVIMIENTOS!$E:$E,$A32,MOVIMIENTOS!$B:$B,$B$3,MOVIMIENTOS!$C:$C,E$5,MOVIMIENTOS!$D:$D,"Gasto")</f>
        <v/>
      </c>
      <c r="F32" s="22">
        <f>SUMIFS(MOVIMIENTOS!$J:$J,MOVIMIENTOS!$E:$E,$A32,MOVIMIENTOS!$B:$B,$B$3,MOVIMIENTOS!$C:$C,F$5,MOVIMIENTOS!$D:$D,"Gasto")</f>
        <v/>
      </c>
      <c r="G32" s="22">
        <f>SUMIFS(MOVIMIENTOS!$J:$J,MOVIMIENTOS!$E:$E,$A32,MOVIMIENTOS!$B:$B,$B$3,MOVIMIENTOS!$C:$C,G$5,MOVIMIENTOS!$D:$D,"Gasto")</f>
        <v/>
      </c>
      <c r="H32" s="22">
        <f>SUMIFS(MOVIMIENTOS!$J:$J,MOVIMIENTOS!$E:$E,$A32,MOVIMIENTOS!$B:$B,$B$3,MOVIMIENTOS!$C:$C,H$5,MOVIMIENTOS!$D:$D,"Gasto")</f>
        <v/>
      </c>
      <c r="I32" s="22">
        <f>SUMIFS(MOVIMIENTOS!$J:$J,MOVIMIENTOS!$E:$E,$A32,MOVIMIENTOS!$B:$B,$B$3,MOVIMIENTOS!$C:$C,I$5,MOVIMIENTOS!$D:$D,"Gasto")</f>
        <v/>
      </c>
      <c r="J32" s="22">
        <f>SUMIFS(MOVIMIENTOS!$J:$J,MOVIMIENTOS!$E:$E,$A32,MOVIMIENTOS!$B:$B,$B$3,MOVIMIENTOS!$C:$C,J$5,MOVIMIENTOS!$D:$D,"Gasto")</f>
        <v/>
      </c>
      <c r="K32" s="22">
        <f>SUMIFS(MOVIMIENTOS!$J:$J,MOVIMIENTOS!$E:$E,$A32,MOVIMIENTOS!$B:$B,$B$3,MOVIMIENTOS!$C:$C,K$5,MOVIMIENTOS!$D:$D,"Gasto")</f>
        <v/>
      </c>
      <c r="L32" s="22">
        <f>SUMIFS(MOVIMIENTOS!$J:$J,MOVIMIENTOS!$E:$E,$A32,MOVIMIENTOS!$B:$B,$B$3,MOVIMIENTOS!$C:$C,L$5,MOVIMIENTOS!$D:$D,"Gasto")</f>
        <v/>
      </c>
      <c r="M32" s="22">
        <f>SUMIFS(MOVIMIENTOS!$J:$J,MOVIMIENTOS!$E:$E,$A32,MOVIMIENTOS!$B:$B,$B$3,MOVIMIENTOS!$C:$C,M$5,MOVIMIENTOS!$D:$D,"Gasto")</f>
        <v/>
      </c>
      <c r="N32" s="23">
        <f>SUM($B32:$M32)</f>
        <v/>
      </c>
    </row>
    <row r="33">
      <c r="A33" s="6" t="inlineStr">
        <is>
          <t>Mascotas</t>
        </is>
      </c>
      <c r="B33" s="22">
        <f>SUMIFS(MOVIMIENTOS!$J:$J,MOVIMIENTOS!$E:$E,$A33,MOVIMIENTOS!$B:$B,$B$3,MOVIMIENTOS!$C:$C,B$5,MOVIMIENTOS!$D:$D,"Gasto")</f>
        <v/>
      </c>
      <c r="C33" s="22">
        <f>SUMIFS(MOVIMIENTOS!$J:$J,MOVIMIENTOS!$E:$E,$A33,MOVIMIENTOS!$B:$B,$B$3,MOVIMIENTOS!$C:$C,C$5,MOVIMIENTOS!$D:$D,"Gasto")</f>
        <v/>
      </c>
      <c r="D33" s="22">
        <f>SUMIFS(MOVIMIENTOS!$J:$J,MOVIMIENTOS!$E:$E,$A33,MOVIMIENTOS!$B:$B,$B$3,MOVIMIENTOS!$C:$C,D$5,MOVIMIENTOS!$D:$D,"Gasto")</f>
        <v/>
      </c>
      <c r="E33" s="22">
        <f>SUMIFS(MOVIMIENTOS!$J:$J,MOVIMIENTOS!$E:$E,$A33,MOVIMIENTOS!$B:$B,$B$3,MOVIMIENTOS!$C:$C,E$5,MOVIMIENTOS!$D:$D,"Gasto")</f>
        <v/>
      </c>
      <c r="F33" s="22">
        <f>SUMIFS(MOVIMIENTOS!$J:$J,MOVIMIENTOS!$E:$E,$A33,MOVIMIENTOS!$B:$B,$B$3,MOVIMIENTOS!$C:$C,F$5,MOVIMIENTOS!$D:$D,"Gasto")</f>
        <v/>
      </c>
      <c r="G33" s="22">
        <f>SUMIFS(MOVIMIENTOS!$J:$J,MOVIMIENTOS!$E:$E,$A33,MOVIMIENTOS!$B:$B,$B$3,MOVIMIENTOS!$C:$C,G$5,MOVIMIENTOS!$D:$D,"Gasto")</f>
        <v/>
      </c>
      <c r="H33" s="22">
        <f>SUMIFS(MOVIMIENTOS!$J:$J,MOVIMIENTOS!$E:$E,$A33,MOVIMIENTOS!$B:$B,$B$3,MOVIMIENTOS!$C:$C,H$5,MOVIMIENTOS!$D:$D,"Gasto")</f>
        <v/>
      </c>
      <c r="I33" s="22">
        <f>SUMIFS(MOVIMIENTOS!$J:$J,MOVIMIENTOS!$E:$E,$A33,MOVIMIENTOS!$B:$B,$B$3,MOVIMIENTOS!$C:$C,I$5,MOVIMIENTOS!$D:$D,"Gasto")</f>
        <v/>
      </c>
      <c r="J33" s="22">
        <f>SUMIFS(MOVIMIENTOS!$J:$J,MOVIMIENTOS!$E:$E,$A33,MOVIMIENTOS!$B:$B,$B$3,MOVIMIENTOS!$C:$C,J$5,MOVIMIENTOS!$D:$D,"Gasto")</f>
        <v/>
      </c>
      <c r="K33" s="22">
        <f>SUMIFS(MOVIMIENTOS!$J:$J,MOVIMIENTOS!$E:$E,$A33,MOVIMIENTOS!$B:$B,$B$3,MOVIMIENTOS!$C:$C,K$5,MOVIMIENTOS!$D:$D,"Gasto")</f>
        <v/>
      </c>
      <c r="L33" s="22">
        <f>SUMIFS(MOVIMIENTOS!$J:$J,MOVIMIENTOS!$E:$E,$A33,MOVIMIENTOS!$B:$B,$B$3,MOVIMIENTOS!$C:$C,L$5,MOVIMIENTOS!$D:$D,"Gasto")</f>
        <v/>
      </c>
      <c r="M33" s="22">
        <f>SUMIFS(MOVIMIENTOS!$J:$J,MOVIMIENTOS!$E:$E,$A33,MOVIMIENTOS!$B:$B,$B$3,MOVIMIENTOS!$C:$C,M$5,MOVIMIENTOS!$D:$D,"Gasto")</f>
        <v/>
      </c>
      <c r="N33" s="23">
        <f>SUM($B33:$M33)</f>
        <v/>
      </c>
    </row>
    <row r="34">
      <c r="A34" s="6" t="inlineStr">
        <is>
          <t>Ocio y Suscripciones</t>
        </is>
      </c>
      <c r="B34" s="22">
        <f>SUMIFS(MOVIMIENTOS!$J:$J,MOVIMIENTOS!$E:$E,$A34,MOVIMIENTOS!$B:$B,$B$3,MOVIMIENTOS!$C:$C,B$5,MOVIMIENTOS!$D:$D,"Gasto")</f>
        <v/>
      </c>
      <c r="C34" s="22">
        <f>SUMIFS(MOVIMIENTOS!$J:$J,MOVIMIENTOS!$E:$E,$A34,MOVIMIENTOS!$B:$B,$B$3,MOVIMIENTOS!$C:$C,C$5,MOVIMIENTOS!$D:$D,"Gasto")</f>
        <v/>
      </c>
      <c r="D34" s="22">
        <f>SUMIFS(MOVIMIENTOS!$J:$J,MOVIMIENTOS!$E:$E,$A34,MOVIMIENTOS!$B:$B,$B$3,MOVIMIENTOS!$C:$C,D$5,MOVIMIENTOS!$D:$D,"Gasto")</f>
        <v/>
      </c>
      <c r="E34" s="22">
        <f>SUMIFS(MOVIMIENTOS!$J:$J,MOVIMIENTOS!$E:$E,$A34,MOVIMIENTOS!$B:$B,$B$3,MOVIMIENTOS!$C:$C,E$5,MOVIMIENTOS!$D:$D,"Gasto")</f>
        <v/>
      </c>
      <c r="F34" s="22">
        <f>SUMIFS(MOVIMIENTOS!$J:$J,MOVIMIENTOS!$E:$E,$A34,MOVIMIENTOS!$B:$B,$B$3,MOVIMIENTOS!$C:$C,F$5,MOVIMIENTOS!$D:$D,"Gasto")</f>
        <v/>
      </c>
      <c r="G34" s="22">
        <f>SUMIFS(MOVIMIENTOS!$J:$J,MOVIMIENTOS!$E:$E,$A34,MOVIMIENTOS!$B:$B,$B$3,MOVIMIENTOS!$C:$C,G$5,MOVIMIENTOS!$D:$D,"Gasto")</f>
        <v/>
      </c>
      <c r="H34" s="22">
        <f>SUMIFS(MOVIMIENTOS!$J:$J,MOVIMIENTOS!$E:$E,$A34,MOVIMIENTOS!$B:$B,$B$3,MOVIMIENTOS!$C:$C,H$5,MOVIMIENTOS!$D:$D,"Gasto")</f>
        <v/>
      </c>
      <c r="I34" s="22">
        <f>SUMIFS(MOVIMIENTOS!$J:$J,MOVIMIENTOS!$E:$E,$A34,MOVIMIENTOS!$B:$B,$B$3,MOVIMIENTOS!$C:$C,I$5,MOVIMIENTOS!$D:$D,"Gasto")</f>
        <v/>
      </c>
      <c r="J34" s="22">
        <f>SUMIFS(MOVIMIENTOS!$J:$J,MOVIMIENTOS!$E:$E,$A34,MOVIMIENTOS!$B:$B,$B$3,MOVIMIENTOS!$C:$C,J$5,MOVIMIENTOS!$D:$D,"Gasto")</f>
        <v/>
      </c>
      <c r="K34" s="22">
        <f>SUMIFS(MOVIMIENTOS!$J:$J,MOVIMIENTOS!$E:$E,$A34,MOVIMIENTOS!$B:$B,$B$3,MOVIMIENTOS!$C:$C,K$5,MOVIMIENTOS!$D:$D,"Gasto")</f>
        <v/>
      </c>
      <c r="L34" s="22">
        <f>SUMIFS(MOVIMIENTOS!$J:$J,MOVIMIENTOS!$E:$E,$A34,MOVIMIENTOS!$B:$B,$B$3,MOVIMIENTOS!$C:$C,L$5,MOVIMIENTOS!$D:$D,"Gasto")</f>
        <v/>
      </c>
      <c r="M34" s="22">
        <f>SUMIFS(MOVIMIENTOS!$J:$J,MOVIMIENTOS!$E:$E,$A34,MOVIMIENTOS!$B:$B,$B$3,MOVIMIENTOS!$C:$C,M$5,MOVIMIENTOS!$D:$D,"Gasto")</f>
        <v/>
      </c>
      <c r="N34" s="23">
        <f>SUM($B34:$M34)</f>
        <v/>
      </c>
    </row>
    <row r="35">
      <c r="A35" s="6" t="inlineStr">
        <is>
          <t>Gastos Varios</t>
        </is>
      </c>
      <c r="B35" s="22">
        <f>SUMIFS(MOVIMIENTOS!$J:$J,MOVIMIENTOS!$E:$E,$A35,MOVIMIENTOS!$B:$B,$B$3,MOVIMIENTOS!$C:$C,B$5,MOVIMIENTOS!$D:$D,"Gasto")</f>
        <v/>
      </c>
      <c r="C35" s="22">
        <f>SUMIFS(MOVIMIENTOS!$J:$J,MOVIMIENTOS!$E:$E,$A35,MOVIMIENTOS!$B:$B,$B$3,MOVIMIENTOS!$C:$C,C$5,MOVIMIENTOS!$D:$D,"Gasto")</f>
        <v/>
      </c>
      <c r="D35" s="22">
        <f>SUMIFS(MOVIMIENTOS!$J:$J,MOVIMIENTOS!$E:$E,$A35,MOVIMIENTOS!$B:$B,$B$3,MOVIMIENTOS!$C:$C,D$5,MOVIMIENTOS!$D:$D,"Gasto")</f>
        <v/>
      </c>
      <c r="E35" s="22">
        <f>SUMIFS(MOVIMIENTOS!$J:$J,MOVIMIENTOS!$E:$E,$A35,MOVIMIENTOS!$B:$B,$B$3,MOVIMIENTOS!$C:$C,E$5,MOVIMIENTOS!$D:$D,"Gasto")</f>
        <v/>
      </c>
      <c r="F35" s="22">
        <f>SUMIFS(MOVIMIENTOS!$J:$J,MOVIMIENTOS!$E:$E,$A35,MOVIMIENTOS!$B:$B,$B$3,MOVIMIENTOS!$C:$C,F$5,MOVIMIENTOS!$D:$D,"Gasto")</f>
        <v/>
      </c>
      <c r="G35" s="22">
        <f>SUMIFS(MOVIMIENTOS!$J:$J,MOVIMIENTOS!$E:$E,$A35,MOVIMIENTOS!$B:$B,$B$3,MOVIMIENTOS!$C:$C,G$5,MOVIMIENTOS!$D:$D,"Gasto")</f>
        <v/>
      </c>
      <c r="H35" s="22">
        <f>SUMIFS(MOVIMIENTOS!$J:$J,MOVIMIENTOS!$E:$E,$A35,MOVIMIENTOS!$B:$B,$B$3,MOVIMIENTOS!$C:$C,H$5,MOVIMIENTOS!$D:$D,"Gasto")</f>
        <v/>
      </c>
      <c r="I35" s="22">
        <f>SUMIFS(MOVIMIENTOS!$J:$J,MOVIMIENTOS!$E:$E,$A35,MOVIMIENTOS!$B:$B,$B$3,MOVIMIENTOS!$C:$C,I$5,MOVIMIENTOS!$D:$D,"Gasto")</f>
        <v/>
      </c>
      <c r="J35" s="22">
        <f>SUMIFS(MOVIMIENTOS!$J:$J,MOVIMIENTOS!$E:$E,$A35,MOVIMIENTOS!$B:$B,$B$3,MOVIMIENTOS!$C:$C,J$5,MOVIMIENTOS!$D:$D,"Gasto")</f>
        <v/>
      </c>
      <c r="K35" s="22">
        <f>SUMIFS(MOVIMIENTOS!$J:$J,MOVIMIENTOS!$E:$E,$A35,MOVIMIENTOS!$B:$B,$B$3,MOVIMIENTOS!$C:$C,K$5,MOVIMIENTOS!$D:$D,"Gasto")</f>
        <v/>
      </c>
      <c r="L35" s="22">
        <f>SUMIFS(MOVIMIENTOS!$J:$J,MOVIMIENTOS!$E:$E,$A35,MOVIMIENTOS!$B:$B,$B$3,MOVIMIENTOS!$C:$C,L$5,MOVIMIENTOS!$D:$D,"Gasto")</f>
        <v/>
      </c>
      <c r="M35" s="22">
        <f>SUMIFS(MOVIMIENTOS!$J:$J,MOVIMIENTOS!$E:$E,$A35,MOVIMIENTOS!$B:$B,$B$3,MOVIMIENTOS!$C:$C,M$5,MOVIMIENTOS!$D:$D,"Gasto")</f>
        <v/>
      </c>
      <c r="N35" s="23">
        <f>SUM($B35:$M35)</f>
        <v/>
      </c>
    </row>
    <row r="36">
      <c r="A36" s="24" t="inlineStr">
        <is>
          <t>TOTAL GASTOS</t>
        </is>
      </c>
      <c r="B36" s="25">
        <f>SUM(B7:B35)</f>
        <v/>
      </c>
      <c r="C36" s="25">
        <f>SUM(C7:C35)</f>
        <v/>
      </c>
      <c r="D36" s="25">
        <f>SUM(D7:D35)</f>
        <v/>
      </c>
      <c r="E36" s="25">
        <f>SUM(E7:E35)</f>
        <v/>
      </c>
      <c r="F36" s="25">
        <f>SUM(F7:F35)</f>
        <v/>
      </c>
      <c r="G36" s="25">
        <f>SUM(G7:G35)</f>
        <v/>
      </c>
      <c r="H36" s="25">
        <f>SUM(H7:H35)</f>
        <v/>
      </c>
      <c r="I36" s="25">
        <f>SUM(I7:I35)</f>
        <v/>
      </c>
      <c r="J36" s="25">
        <f>SUM(J7:J35)</f>
        <v/>
      </c>
      <c r="K36" s="25">
        <f>SUM(K7:K35)</f>
        <v/>
      </c>
      <c r="L36" s="25">
        <f>SUM(L7:L35)</f>
        <v/>
      </c>
      <c r="M36" s="25">
        <f>SUM(M7:M35)</f>
        <v/>
      </c>
      <c r="N36" s="25">
        <f>SUM(N7:N35)</f>
        <v/>
      </c>
    </row>
    <row r="38">
      <c r="A38" s="13" t="inlineStr">
        <is>
          <t>INGRESOS</t>
        </is>
      </c>
    </row>
    <row r="39" ht="30" customHeight="1">
      <c r="A39" s="26" t="inlineStr">
        <is>
          <t>CATEGORIA</t>
        </is>
      </c>
      <c r="B39" s="26" t="inlineStr">
        <is>
          <t>Enero</t>
        </is>
      </c>
      <c r="C39" s="26" t="inlineStr">
        <is>
          <t>Febrero</t>
        </is>
      </c>
      <c r="D39" s="26" t="inlineStr">
        <is>
          <t>Marzo</t>
        </is>
      </c>
      <c r="E39" s="26" t="inlineStr">
        <is>
          <t>Abril</t>
        </is>
      </c>
      <c r="F39" s="26" t="inlineStr">
        <is>
          <t>Mayo</t>
        </is>
      </c>
      <c r="G39" s="26" t="inlineStr">
        <is>
          <t>Junio</t>
        </is>
      </c>
      <c r="H39" s="26" t="inlineStr">
        <is>
          <t>Julio</t>
        </is>
      </c>
      <c r="I39" s="26" t="inlineStr">
        <is>
          <t>Agosto</t>
        </is>
      </c>
      <c r="J39" s="26" t="inlineStr">
        <is>
          <t>Septiembre</t>
        </is>
      </c>
      <c r="K39" s="26" t="inlineStr">
        <is>
          <t>Octubre</t>
        </is>
      </c>
      <c r="L39" s="26" t="inlineStr">
        <is>
          <t>Noviembre</t>
        </is>
      </c>
      <c r="M39" s="26" t="inlineStr">
        <is>
          <t>Diciembre</t>
        </is>
      </c>
      <c r="N39" s="26" t="inlineStr">
        <is>
          <t>TOTAL AÑO</t>
        </is>
      </c>
    </row>
    <row r="40">
      <c r="A40" s="6" t="inlineStr">
        <is>
          <t>Ventas</t>
        </is>
      </c>
      <c r="B40" s="22">
        <f>SUMIFS(MOVIMIENTOS!$J:$J,MOVIMIENTOS!$E:$E,$A40,MOVIMIENTOS!$B:$B,$B$3,MOVIMIENTOS!$C:$C,B$5,MOVIMIENTOS!$D:$D,"Ingreso")</f>
        <v/>
      </c>
      <c r="C40" s="22">
        <f>SUMIFS(MOVIMIENTOS!$J:$J,MOVIMIENTOS!$E:$E,$A40,MOVIMIENTOS!$B:$B,$B$3,MOVIMIENTOS!$C:$C,C$5,MOVIMIENTOS!$D:$D,"Ingreso")</f>
        <v/>
      </c>
      <c r="D40" s="22">
        <f>SUMIFS(MOVIMIENTOS!$J:$J,MOVIMIENTOS!$E:$E,$A40,MOVIMIENTOS!$B:$B,$B$3,MOVIMIENTOS!$C:$C,D$5,MOVIMIENTOS!$D:$D,"Ingreso")</f>
        <v/>
      </c>
      <c r="E40" s="22">
        <f>SUMIFS(MOVIMIENTOS!$J:$J,MOVIMIENTOS!$E:$E,$A40,MOVIMIENTOS!$B:$B,$B$3,MOVIMIENTOS!$C:$C,E$5,MOVIMIENTOS!$D:$D,"Ingreso")</f>
        <v/>
      </c>
      <c r="F40" s="22">
        <f>SUMIFS(MOVIMIENTOS!$J:$J,MOVIMIENTOS!$E:$E,$A40,MOVIMIENTOS!$B:$B,$B$3,MOVIMIENTOS!$C:$C,F$5,MOVIMIENTOS!$D:$D,"Ingreso")</f>
        <v/>
      </c>
      <c r="G40" s="22">
        <f>SUMIFS(MOVIMIENTOS!$J:$J,MOVIMIENTOS!$E:$E,$A40,MOVIMIENTOS!$B:$B,$B$3,MOVIMIENTOS!$C:$C,G$5,MOVIMIENTOS!$D:$D,"Ingreso")</f>
        <v/>
      </c>
      <c r="H40" s="22">
        <f>SUMIFS(MOVIMIENTOS!$J:$J,MOVIMIENTOS!$E:$E,$A40,MOVIMIENTOS!$B:$B,$B$3,MOVIMIENTOS!$C:$C,H$5,MOVIMIENTOS!$D:$D,"Ingreso")</f>
        <v/>
      </c>
      <c r="I40" s="22">
        <f>SUMIFS(MOVIMIENTOS!$J:$J,MOVIMIENTOS!$E:$E,$A40,MOVIMIENTOS!$B:$B,$B$3,MOVIMIENTOS!$C:$C,I$5,MOVIMIENTOS!$D:$D,"Ingreso")</f>
        <v/>
      </c>
      <c r="J40" s="22">
        <f>SUMIFS(MOVIMIENTOS!$J:$J,MOVIMIENTOS!$E:$E,$A40,MOVIMIENTOS!$B:$B,$B$3,MOVIMIENTOS!$C:$C,J$5,MOVIMIENTOS!$D:$D,"Ingreso")</f>
        <v/>
      </c>
      <c r="K40" s="22">
        <f>SUMIFS(MOVIMIENTOS!$J:$J,MOVIMIENTOS!$E:$E,$A40,MOVIMIENTOS!$B:$B,$B$3,MOVIMIENTOS!$C:$C,K$5,MOVIMIENTOS!$D:$D,"Ingreso")</f>
        <v/>
      </c>
      <c r="L40" s="22">
        <f>SUMIFS(MOVIMIENTOS!$J:$J,MOVIMIENTOS!$E:$E,$A40,MOVIMIENTOS!$B:$B,$B$3,MOVIMIENTOS!$C:$C,L$5,MOVIMIENTOS!$D:$D,"Ingreso")</f>
        <v/>
      </c>
      <c r="M40" s="22">
        <f>SUMIFS(MOVIMIENTOS!$J:$J,MOVIMIENTOS!$E:$E,$A40,MOVIMIENTOS!$B:$B,$B$3,MOVIMIENTOS!$C:$C,M$5,MOVIMIENTOS!$D:$D,"Ingreso")</f>
        <v/>
      </c>
      <c r="N40" s="23">
        <f>SUM($B40:$M40)</f>
        <v/>
      </c>
    </row>
    <row r="41">
      <c r="A41" s="6" t="inlineStr">
        <is>
          <t>Cobranza de Cuotas</t>
        </is>
      </c>
      <c r="B41" s="22">
        <f>SUMIFS(MOVIMIENTOS!$J:$J,MOVIMIENTOS!$E:$E,$A41,MOVIMIENTOS!$B:$B,$B$3,MOVIMIENTOS!$C:$C,B$5,MOVIMIENTOS!$D:$D,"Ingreso")</f>
        <v/>
      </c>
      <c r="C41" s="22">
        <f>SUMIFS(MOVIMIENTOS!$J:$J,MOVIMIENTOS!$E:$E,$A41,MOVIMIENTOS!$B:$B,$B$3,MOVIMIENTOS!$C:$C,C$5,MOVIMIENTOS!$D:$D,"Ingreso")</f>
        <v/>
      </c>
      <c r="D41" s="22">
        <f>SUMIFS(MOVIMIENTOS!$J:$J,MOVIMIENTOS!$E:$E,$A41,MOVIMIENTOS!$B:$B,$B$3,MOVIMIENTOS!$C:$C,D$5,MOVIMIENTOS!$D:$D,"Ingreso")</f>
        <v/>
      </c>
      <c r="E41" s="22">
        <f>SUMIFS(MOVIMIENTOS!$J:$J,MOVIMIENTOS!$E:$E,$A41,MOVIMIENTOS!$B:$B,$B$3,MOVIMIENTOS!$C:$C,E$5,MOVIMIENTOS!$D:$D,"Ingreso")</f>
        <v/>
      </c>
      <c r="F41" s="22">
        <f>SUMIFS(MOVIMIENTOS!$J:$J,MOVIMIENTOS!$E:$E,$A41,MOVIMIENTOS!$B:$B,$B$3,MOVIMIENTOS!$C:$C,F$5,MOVIMIENTOS!$D:$D,"Ingreso")</f>
        <v/>
      </c>
      <c r="G41" s="22">
        <f>SUMIFS(MOVIMIENTOS!$J:$J,MOVIMIENTOS!$E:$E,$A41,MOVIMIENTOS!$B:$B,$B$3,MOVIMIENTOS!$C:$C,G$5,MOVIMIENTOS!$D:$D,"Ingreso")</f>
        <v/>
      </c>
      <c r="H41" s="22">
        <f>SUMIFS(MOVIMIENTOS!$J:$J,MOVIMIENTOS!$E:$E,$A41,MOVIMIENTOS!$B:$B,$B$3,MOVIMIENTOS!$C:$C,H$5,MOVIMIENTOS!$D:$D,"Ingreso")</f>
        <v/>
      </c>
      <c r="I41" s="22">
        <f>SUMIFS(MOVIMIENTOS!$J:$J,MOVIMIENTOS!$E:$E,$A41,MOVIMIENTOS!$B:$B,$B$3,MOVIMIENTOS!$C:$C,I$5,MOVIMIENTOS!$D:$D,"Ingreso")</f>
        <v/>
      </c>
      <c r="J41" s="22">
        <f>SUMIFS(MOVIMIENTOS!$J:$J,MOVIMIENTOS!$E:$E,$A41,MOVIMIENTOS!$B:$B,$B$3,MOVIMIENTOS!$C:$C,J$5,MOVIMIENTOS!$D:$D,"Ingreso")</f>
        <v/>
      </c>
      <c r="K41" s="22">
        <f>SUMIFS(MOVIMIENTOS!$J:$J,MOVIMIENTOS!$E:$E,$A41,MOVIMIENTOS!$B:$B,$B$3,MOVIMIENTOS!$C:$C,K$5,MOVIMIENTOS!$D:$D,"Ingreso")</f>
        <v/>
      </c>
      <c r="L41" s="22">
        <f>SUMIFS(MOVIMIENTOS!$J:$J,MOVIMIENTOS!$E:$E,$A41,MOVIMIENTOS!$B:$B,$B$3,MOVIMIENTOS!$C:$C,L$5,MOVIMIENTOS!$D:$D,"Ingreso")</f>
        <v/>
      </c>
      <c r="M41" s="22">
        <f>SUMIFS(MOVIMIENTOS!$J:$J,MOVIMIENTOS!$E:$E,$A41,MOVIMIENTOS!$B:$B,$B$3,MOVIMIENTOS!$C:$C,M$5,MOVIMIENTOS!$D:$D,"Ingreso")</f>
        <v/>
      </c>
      <c r="N41" s="23">
        <f>SUM($B41:$M41)</f>
        <v/>
      </c>
    </row>
    <row r="42">
      <c r="A42" s="6" t="inlineStr">
        <is>
          <t>Alquileres Cobrados</t>
        </is>
      </c>
      <c r="B42" s="22">
        <f>SUMIFS(MOVIMIENTOS!$J:$J,MOVIMIENTOS!$E:$E,$A42,MOVIMIENTOS!$B:$B,$B$3,MOVIMIENTOS!$C:$C,B$5,MOVIMIENTOS!$D:$D,"Ingreso")</f>
        <v/>
      </c>
      <c r="C42" s="22">
        <f>SUMIFS(MOVIMIENTOS!$J:$J,MOVIMIENTOS!$E:$E,$A42,MOVIMIENTOS!$B:$B,$B$3,MOVIMIENTOS!$C:$C,C$5,MOVIMIENTOS!$D:$D,"Ingreso")</f>
        <v/>
      </c>
      <c r="D42" s="22">
        <f>SUMIFS(MOVIMIENTOS!$J:$J,MOVIMIENTOS!$E:$E,$A42,MOVIMIENTOS!$B:$B,$B$3,MOVIMIENTOS!$C:$C,D$5,MOVIMIENTOS!$D:$D,"Ingreso")</f>
        <v/>
      </c>
      <c r="E42" s="22">
        <f>SUMIFS(MOVIMIENTOS!$J:$J,MOVIMIENTOS!$E:$E,$A42,MOVIMIENTOS!$B:$B,$B$3,MOVIMIENTOS!$C:$C,E$5,MOVIMIENTOS!$D:$D,"Ingreso")</f>
        <v/>
      </c>
      <c r="F42" s="22">
        <f>SUMIFS(MOVIMIENTOS!$J:$J,MOVIMIENTOS!$E:$E,$A42,MOVIMIENTOS!$B:$B,$B$3,MOVIMIENTOS!$C:$C,F$5,MOVIMIENTOS!$D:$D,"Ingreso")</f>
        <v/>
      </c>
      <c r="G42" s="22">
        <f>SUMIFS(MOVIMIENTOS!$J:$J,MOVIMIENTOS!$E:$E,$A42,MOVIMIENTOS!$B:$B,$B$3,MOVIMIENTOS!$C:$C,G$5,MOVIMIENTOS!$D:$D,"Ingreso")</f>
        <v/>
      </c>
      <c r="H42" s="22">
        <f>SUMIFS(MOVIMIENTOS!$J:$J,MOVIMIENTOS!$E:$E,$A42,MOVIMIENTOS!$B:$B,$B$3,MOVIMIENTOS!$C:$C,H$5,MOVIMIENTOS!$D:$D,"Ingreso")</f>
        <v/>
      </c>
      <c r="I42" s="22">
        <f>SUMIFS(MOVIMIENTOS!$J:$J,MOVIMIENTOS!$E:$E,$A42,MOVIMIENTOS!$B:$B,$B$3,MOVIMIENTOS!$C:$C,I$5,MOVIMIENTOS!$D:$D,"Ingreso")</f>
        <v/>
      </c>
      <c r="J42" s="22">
        <f>SUMIFS(MOVIMIENTOS!$J:$J,MOVIMIENTOS!$E:$E,$A42,MOVIMIENTOS!$B:$B,$B$3,MOVIMIENTOS!$C:$C,J$5,MOVIMIENTOS!$D:$D,"Ingreso")</f>
        <v/>
      </c>
      <c r="K42" s="22">
        <f>SUMIFS(MOVIMIENTOS!$J:$J,MOVIMIENTOS!$E:$E,$A42,MOVIMIENTOS!$B:$B,$B$3,MOVIMIENTOS!$C:$C,K$5,MOVIMIENTOS!$D:$D,"Ingreso")</f>
        <v/>
      </c>
      <c r="L42" s="22">
        <f>SUMIFS(MOVIMIENTOS!$J:$J,MOVIMIENTOS!$E:$E,$A42,MOVIMIENTOS!$B:$B,$B$3,MOVIMIENTOS!$C:$C,L$5,MOVIMIENTOS!$D:$D,"Ingreso")</f>
        <v/>
      </c>
      <c r="M42" s="22">
        <f>SUMIFS(MOVIMIENTOS!$J:$J,MOVIMIENTOS!$E:$E,$A42,MOVIMIENTOS!$B:$B,$B$3,MOVIMIENTOS!$C:$C,M$5,MOVIMIENTOS!$D:$D,"Ingreso")</f>
        <v/>
      </c>
      <c r="N42" s="23">
        <f>SUM($B42:$M42)</f>
        <v/>
      </c>
    </row>
    <row r="43">
      <c r="A43" s="6" t="inlineStr">
        <is>
          <t>Intereses Ganados</t>
        </is>
      </c>
      <c r="B43" s="22">
        <f>SUMIFS(MOVIMIENTOS!$J:$J,MOVIMIENTOS!$E:$E,$A43,MOVIMIENTOS!$B:$B,$B$3,MOVIMIENTOS!$C:$C,B$5,MOVIMIENTOS!$D:$D,"Ingreso")</f>
        <v/>
      </c>
      <c r="C43" s="22">
        <f>SUMIFS(MOVIMIENTOS!$J:$J,MOVIMIENTOS!$E:$E,$A43,MOVIMIENTOS!$B:$B,$B$3,MOVIMIENTOS!$C:$C,C$5,MOVIMIENTOS!$D:$D,"Ingreso")</f>
        <v/>
      </c>
      <c r="D43" s="22">
        <f>SUMIFS(MOVIMIENTOS!$J:$J,MOVIMIENTOS!$E:$E,$A43,MOVIMIENTOS!$B:$B,$B$3,MOVIMIENTOS!$C:$C,D$5,MOVIMIENTOS!$D:$D,"Ingreso")</f>
        <v/>
      </c>
      <c r="E43" s="22">
        <f>SUMIFS(MOVIMIENTOS!$J:$J,MOVIMIENTOS!$E:$E,$A43,MOVIMIENTOS!$B:$B,$B$3,MOVIMIENTOS!$C:$C,E$5,MOVIMIENTOS!$D:$D,"Ingreso")</f>
        <v/>
      </c>
      <c r="F43" s="22">
        <f>SUMIFS(MOVIMIENTOS!$J:$J,MOVIMIENTOS!$E:$E,$A43,MOVIMIENTOS!$B:$B,$B$3,MOVIMIENTOS!$C:$C,F$5,MOVIMIENTOS!$D:$D,"Ingreso")</f>
        <v/>
      </c>
      <c r="G43" s="22">
        <f>SUMIFS(MOVIMIENTOS!$J:$J,MOVIMIENTOS!$E:$E,$A43,MOVIMIENTOS!$B:$B,$B$3,MOVIMIENTOS!$C:$C,G$5,MOVIMIENTOS!$D:$D,"Ingreso")</f>
        <v/>
      </c>
      <c r="H43" s="22">
        <f>SUMIFS(MOVIMIENTOS!$J:$J,MOVIMIENTOS!$E:$E,$A43,MOVIMIENTOS!$B:$B,$B$3,MOVIMIENTOS!$C:$C,H$5,MOVIMIENTOS!$D:$D,"Ingreso")</f>
        <v/>
      </c>
      <c r="I43" s="22">
        <f>SUMIFS(MOVIMIENTOS!$J:$J,MOVIMIENTOS!$E:$E,$A43,MOVIMIENTOS!$B:$B,$B$3,MOVIMIENTOS!$C:$C,I$5,MOVIMIENTOS!$D:$D,"Ingreso")</f>
        <v/>
      </c>
      <c r="J43" s="22">
        <f>SUMIFS(MOVIMIENTOS!$J:$J,MOVIMIENTOS!$E:$E,$A43,MOVIMIENTOS!$B:$B,$B$3,MOVIMIENTOS!$C:$C,J$5,MOVIMIENTOS!$D:$D,"Ingreso")</f>
        <v/>
      </c>
      <c r="K43" s="22">
        <f>SUMIFS(MOVIMIENTOS!$J:$J,MOVIMIENTOS!$E:$E,$A43,MOVIMIENTOS!$B:$B,$B$3,MOVIMIENTOS!$C:$C,K$5,MOVIMIENTOS!$D:$D,"Ingreso")</f>
        <v/>
      </c>
      <c r="L43" s="22">
        <f>SUMIFS(MOVIMIENTOS!$J:$J,MOVIMIENTOS!$E:$E,$A43,MOVIMIENTOS!$B:$B,$B$3,MOVIMIENTOS!$C:$C,L$5,MOVIMIENTOS!$D:$D,"Ingreso")</f>
        <v/>
      </c>
      <c r="M43" s="22">
        <f>SUMIFS(MOVIMIENTOS!$J:$J,MOVIMIENTOS!$E:$E,$A43,MOVIMIENTOS!$B:$B,$B$3,MOVIMIENTOS!$C:$C,M$5,MOVIMIENTOS!$D:$D,"Ingreso")</f>
        <v/>
      </c>
      <c r="N43" s="23">
        <f>SUM($B43:$M43)</f>
        <v/>
      </c>
    </row>
    <row r="44">
      <c r="A44" s="6" t="inlineStr">
        <is>
          <t>Sueldo</t>
        </is>
      </c>
      <c r="B44" s="22">
        <f>SUMIFS(MOVIMIENTOS!$J:$J,MOVIMIENTOS!$E:$E,$A44,MOVIMIENTOS!$B:$B,$B$3,MOVIMIENTOS!$C:$C,B$5,MOVIMIENTOS!$D:$D,"Ingreso")</f>
        <v/>
      </c>
      <c r="C44" s="22">
        <f>SUMIFS(MOVIMIENTOS!$J:$J,MOVIMIENTOS!$E:$E,$A44,MOVIMIENTOS!$B:$B,$B$3,MOVIMIENTOS!$C:$C,C$5,MOVIMIENTOS!$D:$D,"Ingreso")</f>
        <v/>
      </c>
      <c r="D44" s="22">
        <f>SUMIFS(MOVIMIENTOS!$J:$J,MOVIMIENTOS!$E:$E,$A44,MOVIMIENTOS!$B:$B,$B$3,MOVIMIENTOS!$C:$C,D$5,MOVIMIENTOS!$D:$D,"Ingreso")</f>
        <v/>
      </c>
      <c r="E44" s="22">
        <f>SUMIFS(MOVIMIENTOS!$J:$J,MOVIMIENTOS!$E:$E,$A44,MOVIMIENTOS!$B:$B,$B$3,MOVIMIENTOS!$C:$C,E$5,MOVIMIENTOS!$D:$D,"Ingreso")</f>
        <v/>
      </c>
      <c r="F44" s="22">
        <f>SUMIFS(MOVIMIENTOS!$J:$J,MOVIMIENTOS!$E:$E,$A44,MOVIMIENTOS!$B:$B,$B$3,MOVIMIENTOS!$C:$C,F$5,MOVIMIENTOS!$D:$D,"Ingreso")</f>
        <v/>
      </c>
      <c r="G44" s="22">
        <f>SUMIFS(MOVIMIENTOS!$J:$J,MOVIMIENTOS!$E:$E,$A44,MOVIMIENTOS!$B:$B,$B$3,MOVIMIENTOS!$C:$C,G$5,MOVIMIENTOS!$D:$D,"Ingreso")</f>
        <v/>
      </c>
      <c r="H44" s="22">
        <f>SUMIFS(MOVIMIENTOS!$J:$J,MOVIMIENTOS!$E:$E,$A44,MOVIMIENTOS!$B:$B,$B$3,MOVIMIENTOS!$C:$C,H$5,MOVIMIENTOS!$D:$D,"Ingreso")</f>
        <v/>
      </c>
      <c r="I44" s="22">
        <f>SUMIFS(MOVIMIENTOS!$J:$J,MOVIMIENTOS!$E:$E,$A44,MOVIMIENTOS!$B:$B,$B$3,MOVIMIENTOS!$C:$C,I$5,MOVIMIENTOS!$D:$D,"Ingreso")</f>
        <v/>
      </c>
      <c r="J44" s="22">
        <f>SUMIFS(MOVIMIENTOS!$J:$J,MOVIMIENTOS!$E:$E,$A44,MOVIMIENTOS!$B:$B,$B$3,MOVIMIENTOS!$C:$C,J$5,MOVIMIENTOS!$D:$D,"Ingreso")</f>
        <v/>
      </c>
      <c r="K44" s="22">
        <f>SUMIFS(MOVIMIENTOS!$J:$J,MOVIMIENTOS!$E:$E,$A44,MOVIMIENTOS!$B:$B,$B$3,MOVIMIENTOS!$C:$C,K$5,MOVIMIENTOS!$D:$D,"Ingreso")</f>
        <v/>
      </c>
      <c r="L44" s="22">
        <f>SUMIFS(MOVIMIENTOS!$J:$J,MOVIMIENTOS!$E:$E,$A44,MOVIMIENTOS!$B:$B,$B$3,MOVIMIENTOS!$C:$C,L$5,MOVIMIENTOS!$D:$D,"Ingreso")</f>
        <v/>
      </c>
      <c r="M44" s="22">
        <f>SUMIFS(MOVIMIENTOS!$J:$J,MOVIMIENTOS!$E:$E,$A44,MOVIMIENTOS!$B:$B,$B$3,MOVIMIENTOS!$C:$C,M$5,MOVIMIENTOS!$D:$D,"Ingreso")</f>
        <v/>
      </c>
      <c r="N44" s="23">
        <f>SUM($B44:$M44)</f>
        <v/>
      </c>
    </row>
    <row r="45">
      <c r="A45" s="6" t="inlineStr">
        <is>
          <t>Honorarios</t>
        </is>
      </c>
      <c r="B45" s="22">
        <f>SUMIFS(MOVIMIENTOS!$J:$J,MOVIMIENTOS!$E:$E,$A45,MOVIMIENTOS!$B:$B,$B$3,MOVIMIENTOS!$C:$C,B$5,MOVIMIENTOS!$D:$D,"Ingreso")</f>
        <v/>
      </c>
      <c r="C45" s="22">
        <f>SUMIFS(MOVIMIENTOS!$J:$J,MOVIMIENTOS!$E:$E,$A45,MOVIMIENTOS!$B:$B,$B$3,MOVIMIENTOS!$C:$C,C$5,MOVIMIENTOS!$D:$D,"Ingreso")</f>
        <v/>
      </c>
      <c r="D45" s="22">
        <f>SUMIFS(MOVIMIENTOS!$J:$J,MOVIMIENTOS!$E:$E,$A45,MOVIMIENTOS!$B:$B,$B$3,MOVIMIENTOS!$C:$C,D$5,MOVIMIENTOS!$D:$D,"Ingreso")</f>
        <v/>
      </c>
      <c r="E45" s="22">
        <f>SUMIFS(MOVIMIENTOS!$J:$J,MOVIMIENTOS!$E:$E,$A45,MOVIMIENTOS!$B:$B,$B$3,MOVIMIENTOS!$C:$C,E$5,MOVIMIENTOS!$D:$D,"Ingreso")</f>
        <v/>
      </c>
      <c r="F45" s="22">
        <f>SUMIFS(MOVIMIENTOS!$J:$J,MOVIMIENTOS!$E:$E,$A45,MOVIMIENTOS!$B:$B,$B$3,MOVIMIENTOS!$C:$C,F$5,MOVIMIENTOS!$D:$D,"Ingreso")</f>
        <v/>
      </c>
      <c r="G45" s="22">
        <f>SUMIFS(MOVIMIENTOS!$J:$J,MOVIMIENTOS!$E:$E,$A45,MOVIMIENTOS!$B:$B,$B$3,MOVIMIENTOS!$C:$C,G$5,MOVIMIENTOS!$D:$D,"Ingreso")</f>
        <v/>
      </c>
      <c r="H45" s="22">
        <f>SUMIFS(MOVIMIENTOS!$J:$J,MOVIMIENTOS!$E:$E,$A45,MOVIMIENTOS!$B:$B,$B$3,MOVIMIENTOS!$C:$C,H$5,MOVIMIENTOS!$D:$D,"Ingreso")</f>
        <v/>
      </c>
      <c r="I45" s="22">
        <f>SUMIFS(MOVIMIENTOS!$J:$J,MOVIMIENTOS!$E:$E,$A45,MOVIMIENTOS!$B:$B,$B$3,MOVIMIENTOS!$C:$C,I$5,MOVIMIENTOS!$D:$D,"Ingreso")</f>
        <v/>
      </c>
      <c r="J45" s="22">
        <f>SUMIFS(MOVIMIENTOS!$J:$J,MOVIMIENTOS!$E:$E,$A45,MOVIMIENTOS!$B:$B,$B$3,MOVIMIENTOS!$C:$C,J$5,MOVIMIENTOS!$D:$D,"Ingreso")</f>
        <v/>
      </c>
      <c r="K45" s="22">
        <f>SUMIFS(MOVIMIENTOS!$J:$J,MOVIMIENTOS!$E:$E,$A45,MOVIMIENTOS!$B:$B,$B$3,MOVIMIENTOS!$C:$C,K$5,MOVIMIENTOS!$D:$D,"Ingreso")</f>
        <v/>
      </c>
      <c r="L45" s="22">
        <f>SUMIFS(MOVIMIENTOS!$J:$J,MOVIMIENTOS!$E:$E,$A45,MOVIMIENTOS!$B:$B,$B$3,MOVIMIENTOS!$C:$C,L$5,MOVIMIENTOS!$D:$D,"Ingreso")</f>
        <v/>
      </c>
      <c r="M45" s="22">
        <f>SUMIFS(MOVIMIENTOS!$J:$J,MOVIMIENTOS!$E:$E,$A45,MOVIMIENTOS!$B:$B,$B$3,MOVIMIENTOS!$C:$C,M$5,MOVIMIENTOS!$D:$D,"Ingreso")</f>
        <v/>
      </c>
      <c r="N45" s="23">
        <f>SUM($B45:$M45)</f>
        <v/>
      </c>
    </row>
    <row r="46">
      <c r="A46" s="6" t="inlineStr">
        <is>
          <t>Devoluciones</t>
        </is>
      </c>
      <c r="B46" s="22">
        <f>SUMIFS(MOVIMIENTOS!$J:$J,MOVIMIENTOS!$E:$E,$A46,MOVIMIENTOS!$B:$B,$B$3,MOVIMIENTOS!$C:$C,B$5,MOVIMIENTOS!$D:$D,"Ingreso")</f>
        <v/>
      </c>
      <c r="C46" s="22">
        <f>SUMIFS(MOVIMIENTOS!$J:$J,MOVIMIENTOS!$E:$E,$A46,MOVIMIENTOS!$B:$B,$B$3,MOVIMIENTOS!$C:$C,C$5,MOVIMIENTOS!$D:$D,"Ingreso")</f>
        <v/>
      </c>
      <c r="D46" s="22">
        <f>SUMIFS(MOVIMIENTOS!$J:$J,MOVIMIENTOS!$E:$E,$A46,MOVIMIENTOS!$B:$B,$B$3,MOVIMIENTOS!$C:$C,D$5,MOVIMIENTOS!$D:$D,"Ingreso")</f>
        <v/>
      </c>
      <c r="E46" s="22">
        <f>SUMIFS(MOVIMIENTOS!$J:$J,MOVIMIENTOS!$E:$E,$A46,MOVIMIENTOS!$B:$B,$B$3,MOVIMIENTOS!$C:$C,E$5,MOVIMIENTOS!$D:$D,"Ingreso")</f>
        <v/>
      </c>
      <c r="F46" s="22">
        <f>SUMIFS(MOVIMIENTOS!$J:$J,MOVIMIENTOS!$E:$E,$A46,MOVIMIENTOS!$B:$B,$B$3,MOVIMIENTOS!$C:$C,F$5,MOVIMIENTOS!$D:$D,"Ingreso")</f>
        <v/>
      </c>
      <c r="G46" s="22">
        <f>SUMIFS(MOVIMIENTOS!$J:$J,MOVIMIENTOS!$E:$E,$A46,MOVIMIENTOS!$B:$B,$B$3,MOVIMIENTOS!$C:$C,G$5,MOVIMIENTOS!$D:$D,"Ingreso")</f>
        <v/>
      </c>
      <c r="H46" s="22">
        <f>SUMIFS(MOVIMIENTOS!$J:$J,MOVIMIENTOS!$E:$E,$A46,MOVIMIENTOS!$B:$B,$B$3,MOVIMIENTOS!$C:$C,H$5,MOVIMIENTOS!$D:$D,"Ingreso")</f>
        <v/>
      </c>
      <c r="I46" s="22">
        <f>SUMIFS(MOVIMIENTOS!$J:$J,MOVIMIENTOS!$E:$E,$A46,MOVIMIENTOS!$B:$B,$B$3,MOVIMIENTOS!$C:$C,I$5,MOVIMIENTOS!$D:$D,"Ingreso")</f>
        <v/>
      </c>
      <c r="J46" s="22">
        <f>SUMIFS(MOVIMIENTOS!$J:$J,MOVIMIENTOS!$E:$E,$A46,MOVIMIENTOS!$B:$B,$B$3,MOVIMIENTOS!$C:$C,J$5,MOVIMIENTOS!$D:$D,"Ingreso")</f>
        <v/>
      </c>
      <c r="K46" s="22">
        <f>SUMIFS(MOVIMIENTOS!$J:$J,MOVIMIENTOS!$E:$E,$A46,MOVIMIENTOS!$B:$B,$B$3,MOVIMIENTOS!$C:$C,K$5,MOVIMIENTOS!$D:$D,"Ingreso")</f>
        <v/>
      </c>
      <c r="L46" s="22">
        <f>SUMIFS(MOVIMIENTOS!$J:$J,MOVIMIENTOS!$E:$E,$A46,MOVIMIENTOS!$B:$B,$B$3,MOVIMIENTOS!$C:$C,L$5,MOVIMIENTOS!$D:$D,"Ingreso")</f>
        <v/>
      </c>
      <c r="M46" s="22">
        <f>SUMIFS(MOVIMIENTOS!$J:$J,MOVIMIENTOS!$E:$E,$A46,MOVIMIENTOS!$B:$B,$B$3,MOVIMIENTOS!$C:$C,M$5,MOVIMIENTOS!$D:$D,"Ingreso")</f>
        <v/>
      </c>
      <c r="N46" s="23">
        <f>SUM($B46:$M46)</f>
        <v/>
      </c>
    </row>
    <row r="47">
      <c r="A47" s="6" t="inlineStr">
        <is>
          <t>Aportes de Socios</t>
        </is>
      </c>
      <c r="B47" s="22">
        <f>SUMIFS(MOVIMIENTOS!$J:$J,MOVIMIENTOS!$E:$E,$A47,MOVIMIENTOS!$B:$B,$B$3,MOVIMIENTOS!$C:$C,B$5,MOVIMIENTOS!$D:$D,"Ingreso")</f>
        <v/>
      </c>
      <c r="C47" s="22">
        <f>SUMIFS(MOVIMIENTOS!$J:$J,MOVIMIENTOS!$E:$E,$A47,MOVIMIENTOS!$B:$B,$B$3,MOVIMIENTOS!$C:$C,C$5,MOVIMIENTOS!$D:$D,"Ingreso")</f>
        <v/>
      </c>
      <c r="D47" s="22">
        <f>SUMIFS(MOVIMIENTOS!$J:$J,MOVIMIENTOS!$E:$E,$A47,MOVIMIENTOS!$B:$B,$B$3,MOVIMIENTOS!$C:$C,D$5,MOVIMIENTOS!$D:$D,"Ingreso")</f>
        <v/>
      </c>
      <c r="E47" s="22">
        <f>SUMIFS(MOVIMIENTOS!$J:$J,MOVIMIENTOS!$E:$E,$A47,MOVIMIENTOS!$B:$B,$B$3,MOVIMIENTOS!$C:$C,E$5,MOVIMIENTOS!$D:$D,"Ingreso")</f>
        <v/>
      </c>
      <c r="F47" s="22">
        <f>SUMIFS(MOVIMIENTOS!$J:$J,MOVIMIENTOS!$E:$E,$A47,MOVIMIENTOS!$B:$B,$B$3,MOVIMIENTOS!$C:$C,F$5,MOVIMIENTOS!$D:$D,"Ingreso")</f>
        <v/>
      </c>
      <c r="G47" s="22">
        <f>SUMIFS(MOVIMIENTOS!$J:$J,MOVIMIENTOS!$E:$E,$A47,MOVIMIENTOS!$B:$B,$B$3,MOVIMIENTOS!$C:$C,G$5,MOVIMIENTOS!$D:$D,"Ingreso")</f>
        <v/>
      </c>
      <c r="H47" s="22">
        <f>SUMIFS(MOVIMIENTOS!$J:$J,MOVIMIENTOS!$E:$E,$A47,MOVIMIENTOS!$B:$B,$B$3,MOVIMIENTOS!$C:$C,H$5,MOVIMIENTOS!$D:$D,"Ingreso")</f>
        <v/>
      </c>
      <c r="I47" s="22">
        <f>SUMIFS(MOVIMIENTOS!$J:$J,MOVIMIENTOS!$E:$E,$A47,MOVIMIENTOS!$B:$B,$B$3,MOVIMIENTOS!$C:$C,I$5,MOVIMIENTOS!$D:$D,"Ingreso")</f>
        <v/>
      </c>
      <c r="J47" s="22">
        <f>SUMIFS(MOVIMIENTOS!$J:$J,MOVIMIENTOS!$E:$E,$A47,MOVIMIENTOS!$B:$B,$B$3,MOVIMIENTOS!$C:$C,J$5,MOVIMIENTOS!$D:$D,"Ingreso")</f>
        <v/>
      </c>
      <c r="K47" s="22">
        <f>SUMIFS(MOVIMIENTOS!$J:$J,MOVIMIENTOS!$E:$E,$A47,MOVIMIENTOS!$B:$B,$B$3,MOVIMIENTOS!$C:$C,K$5,MOVIMIENTOS!$D:$D,"Ingreso")</f>
        <v/>
      </c>
      <c r="L47" s="22">
        <f>SUMIFS(MOVIMIENTOS!$J:$J,MOVIMIENTOS!$E:$E,$A47,MOVIMIENTOS!$B:$B,$B$3,MOVIMIENTOS!$C:$C,L$5,MOVIMIENTOS!$D:$D,"Ingreso")</f>
        <v/>
      </c>
      <c r="M47" s="22">
        <f>SUMIFS(MOVIMIENTOS!$J:$J,MOVIMIENTOS!$E:$E,$A47,MOVIMIENTOS!$B:$B,$B$3,MOVIMIENTOS!$C:$C,M$5,MOVIMIENTOS!$D:$D,"Ingreso")</f>
        <v/>
      </c>
      <c r="N47" s="23">
        <f>SUM($B47:$M47)</f>
        <v/>
      </c>
    </row>
    <row r="48">
      <c r="A48" s="6" t="inlineStr">
        <is>
          <t>Otros Ingresos</t>
        </is>
      </c>
      <c r="B48" s="22">
        <f>SUMIFS(MOVIMIENTOS!$J:$J,MOVIMIENTOS!$E:$E,$A48,MOVIMIENTOS!$B:$B,$B$3,MOVIMIENTOS!$C:$C,B$5,MOVIMIENTOS!$D:$D,"Ingreso")</f>
        <v/>
      </c>
      <c r="C48" s="22">
        <f>SUMIFS(MOVIMIENTOS!$J:$J,MOVIMIENTOS!$E:$E,$A48,MOVIMIENTOS!$B:$B,$B$3,MOVIMIENTOS!$C:$C,C$5,MOVIMIENTOS!$D:$D,"Ingreso")</f>
        <v/>
      </c>
      <c r="D48" s="22">
        <f>SUMIFS(MOVIMIENTOS!$J:$J,MOVIMIENTOS!$E:$E,$A48,MOVIMIENTOS!$B:$B,$B$3,MOVIMIENTOS!$C:$C,D$5,MOVIMIENTOS!$D:$D,"Ingreso")</f>
        <v/>
      </c>
      <c r="E48" s="22">
        <f>SUMIFS(MOVIMIENTOS!$J:$J,MOVIMIENTOS!$E:$E,$A48,MOVIMIENTOS!$B:$B,$B$3,MOVIMIENTOS!$C:$C,E$5,MOVIMIENTOS!$D:$D,"Ingreso")</f>
        <v/>
      </c>
      <c r="F48" s="22">
        <f>SUMIFS(MOVIMIENTOS!$J:$J,MOVIMIENTOS!$E:$E,$A48,MOVIMIENTOS!$B:$B,$B$3,MOVIMIENTOS!$C:$C,F$5,MOVIMIENTOS!$D:$D,"Ingreso")</f>
        <v/>
      </c>
      <c r="G48" s="22">
        <f>SUMIFS(MOVIMIENTOS!$J:$J,MOVIMIENTOS!$E:$E,$A48,MOVIMIENTOS!$B:$B,$B$3,MOVIMIENTOS!$C:$C,G$5,MOVIMIENTOS!$D:$D,"Ingreso")</f>
        <v/>
      </c>
      <c r="H48" s="22">
        <f>SUMIFS(MOVIMIENTOS!$J:$J,MOVIMIENTOS!$E:$E,$A48,MOVIMIENTOS!$B:$B,$B$3,MOVIMIENTOS!$C:$C,H$5,MOVIMIENTOS!$D:$D,"Ingreso")</f>
        <v/>
      </c>
      <c r="I48" s="22">
        <f>SUMIFS(MOVIMIENTOS!$J:$J,MOVIMIENTOS!$E:$E,$A48,MOVIMIENTOS!$B:$B,$B$3,MOVIMIENTOS!$C:$C,I$5,MOVIMIENTOS!$D:$D,"Ingreso")</f>
        <v/>
      </c>
      <c r="J48" s="22">
        <f>SUMIFS(MOVIMIENTOS!$J:$J,MOVIMIENTOS!$E:$E,$A48,MOVIMIENTOS!$B:$B,$B$3,MOVIMIENTOS!$C:$C,J$5,MOVIMIENTOS!$D:$D,"Ingreso")</f>
        <v/>
      </c>
      <c r="K48" s="22">
        <f>SUMIFS(MOVIMIENTOS!$J:$J,MOVIMIENTOS!$E:$E,$A48,MOVIMIENTOS!$B:$B,$B$3,MOVIMIENTOS!$C:$C,K$5,MOVIMIENTOS!$D:$D,"Ingreso")</f>
        <v/>
      </c>
      <c r="L48" s="22">
        <f>SUMIFS(MOVIMIENTOS!$J:$J,MOVIMIENTOS!$E:$E,$A48,MOVIMIENTOS!$B:$B,$B$3,MOVIMIENTOS!$C:$C,L$5,MOVIMIENTOS!$D:$D,"Ingreso")</f>
        <v/>
      </c>
      <c r="M48" s="22">
        <f>SUMIFS(MOVIMIENTOS!$J:$J,MOVIMIENTOS!$E:$E,$A48,MOVIMIENTOS!$B:$B,$B$3,MOVIMIENTOS!$C:$C,M$5,MOVIMIENTOS!$D:$D,"Ingreso")</f>
        <v/>
      </c>
      <c r="N48" s="23">
        <f>SUM($B48:$M48)</f>
        <v/>
      </c>
    </row>
    <row r="49">
      <c r="A49" s="27" t="inlineStr">
        <is>
          <t>TOTAL INGRESOS</t>
        </is>
      </c>
      <c r="B49" s="28">
        <f>SUM(B40:B48)</f>
        <v/>
      </c>
      <c r="C49" s="28">
        <f>SUM(C40:C48)</f>
        <v/>
      </c>
      <c r="D49" s="28">
        <f>SUM(D40:D48)</f>
        <v/>
      </c>
      <c r="E49" s="28">
        <f>SUM(E40:E48)</f>
        <v/>
      </c>
      <c r="F49" s="28">
        <f>SUM(F40:F48)</f>
        <v/>
      </c>
      <c r="G49" s="28">
        <f>SUM(G40:G48)</f>
        <v/>
      </c>
      <c r="H49" s="28">
        <f>SUM(H40:H48)</f>
        <v/>
      </c>
      <c r="I49" s="28">
        <f>SUM(I40:I48)</f>
        <v/>
      </c>
      <c r="J49" s="28">
        <f>SUM(J40:J48)</f>
        <v/>
      </c>
      <c r="K49" s="28">
        <f>SUM(K40:K48)</f>
        <v/>
      </c>
      <c r="L49" s="28">
        <f>SUM(L40:L48)</f>
        <v/>
      </c>
      <c r="M49" s="28">
        <f>SUM(M40:M48)</f>
        <v/>
      </c>
      <c r="N49" s="28">
        <f>SUM(N40:N48)</f>
        <v/>
      </c>
    </row>
    <row r="51">
      <c r="A51" s="29" t="inlineStr">
        <is>
          <t>RESULTADO (Ingresos - Gastos)</t>
        </is>
      </c>
      <c r="B51" s="30">
        <f>B49-B36</f>
        <v/>
      </c>
      <c r="C51" s="30">
        <f>C49-C36</f>
        <v/>
      </c>
      <c r="D51" s="30">
        <f>D49-D36</f>
        <v/>
      </c>
      <c r="E51" s="30">
        <f>E49-E36</f>
        <v/>
      </c>
      <c r="F51" s="30">
        <f>F49-F36</f>
        <v/>
      </c>
      <c r="G51" s="30">
        <f>G49-G36</f>
        <v/>
      </c>
      <c r="H51" s="30">
        <f>H49-H36</f>
        <v/>
      </c>
      <c r="I51" s="30">
        <f>I49-I36</f>
        <v/>
      </c>
      <c r="J51" s="30">
        <f>J49-J36</f>
        <v/>
      </c>
      <c r="K51" s="30">
        <f>K49-K36</f>
        <v/>
      </c>
      <c r="L51" s="30">
        <f>L49-L36</f>
        <v/>
      </c>
      <c r="M51" s="30">
        <f>M49-M36</f>
        <v/>
      </c>
      <c r="N51" s="30">
        <f>N49-N36</f>
        <v/>
      </c>
    </row>
    <row r="53">
      <c r="A53" s="9" t="inlineStr">
        <is>
          <t>Todos los importes estan expresados en U$D (columna Importe U$D de MOVIMIENTOS).</t>
        </is>
      </c>
    </row>
    <row r="54">
      <c r="A54" s="9" t="inlineStr">
        <is>
          <t>Si preferis verlo en pesos, multiplica por la cotizacion del mes de la solapa CONFIG.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 ht="26" customHeight="1">
      <c r="A1" s="1" t="inlineStr">
        <is>
          <t>PRESUPUESTO VS REAL</t>
        </is>
      </c>
    </row>
    <row r="2">
      <c r="A2" s="4" t="inlineStr">
        <is>
          <t>Poné cuanto pensas gastar por mes en cada categoria. La planilla compara contra lo que gastaste de verdad.</t>
        </is>
      </c>
    </row>
    <row r="3">
      <c r="A3" s="13" t="inlineStr">
        <is>
          <t>AÑO:</t>
        </is>
      </c>
      <c r="B3" s="20">
        <f>+'RESUMEN MENSUAL'!$B$3</f>
        <v/>
      </c>
      <c r="C3" s="9" t="inlineStr">
        <is>
          <t>(toma el año del RESUMEN MENSUAL)</t>
        </is>
      </c>
    </row>
    <row r="5" ht="30" customHeight="1">
      <c r="A5" s="5" t="inlineStr">
        <is>
          <t>CATEGORIA</t>
        </is>
      </c>
      <c r="B5" s="5" t="inlineStr">
        <is>
          <t>Presupuesto Mensual</t>
        </is>
      </c>
      <c r="C5" s="5" t="inlineStr">
        <is>
          <t>Presupuesto Año</t>
        </is>
      </c>
      <c r="D5" s="5" t="inlineStr">
        <is>
          <t>Gasto Real Año</t>
        </is>
      </c>
      <c r="E5" s="5" t="inlineStr">
        <is>
          <t>Desvio</t>
        </is>
      </c>
      <c r="F5" s="5" t="inlineStr">
        <is>
          <t>% Usado</t>
        </is>
      </c>
      <c r="G5" s="5" t="inlineStr">
        <is>
          <t>Semaforo</t>
        </is>
      </c>
    </row>
    <row r="6">
      <c r="A6" s="6" t="inlineStr">
        <is>
          <t>Vivienda</t>
        </is>
      </c>
      <c r="B6" s="31" t="n">
        <v>0</v>
      </c>
      <c r="C6" s="32">
        <f>$B6*12</f>
        <v/>
      </c>
      <c r="D6" s="32">
        <f>IFERROR(VLOOKUP($A6,'RESUMEN MENSUAL'!$A$7:$N$35,14,FALSE),0)</f>
        <v/>
      </c>
      <c r="E6" s="32">
        <f>$C6-$D6</f>
        <v/>
      </c>
      <c r="F6" s="33">
        <f>IF($C6=0,"",$D6/$C6)</f>
        <v/>
      </c>
      <c r="G6" s="34">
        <f>IF($C6=0,"sin presupuesto",IF($D6&gt;$C6,"EXCEDIDO",IF($D6&gt;$C6*0.9,"al limite","ok")))</f>
        <v/>
      </c>
    </row>
    <row r="7">
      <c r="A7" s="6" t="inlineStr">
        <is>
          <t>Servicios</t>
        </is>
      </c>
      <c r="B7" s="31" t="n">
        <v>0</v>
      </c>
      <c r="C7" s="32">
        <f>$B7*12</f>
        <v/>
      </c>
      <c r="D7" s="32">
        <f>IFERROR(VLOOKUP($A7,'RESUMEN MENSUAL'!$A$7:$N$35,14,FALSE),0)</f>
        <v/>
      </c>
      <c r="E7" s="32">
        <f>$C7-$D7</f>
        <v/>
      </c>
      <c r="F7" s="33">
        <f>IF($C7=0,"",$D7/$C7)</f>
        <v/>
      </c>
      <c r="G7" s="34">
        <f>IF($C7=0,"sin presupuesto",IF($D7&gt;$C7,"EXCEDIDO",IF($D7&gt;$C7*0.9,"al limite","ok")))</f>
        <v/>
      </c>
    </row>
    <row r="8">
      <c r="A8" s="6" t="inlineStr">
        <is>
          <t>Impuestos y Tasas</t>
        </is>
      </c>
      <c r="B8" s="31" t="n">
        <v>0</v>
      </c>
      <c r="C8" s="32">
        <f>$B8*12</f>
        <v/>
      </c>
      <c r="D8" s="32">
        <f>IFERROR(VLOOKUP($A8,'RESUMEN MENSUAL'!$A$7:$N$35,14,FALSE),0)</f>
        <v/>
      </c>
      <c r="E8" s="32">
        <f>$C8-$D8</f>
        <v/>
      </c>
      <c r="F8" s="33">
        <f>IF($C8=0,"",$D8/$C8)</f>
        <v/>
      </c>
      <c r="G8" s="34">
        <f>IF($C8=0,"sin presupuesto",IF($D8&gt;$C8,"EXCEDIDO",IF($D8&gt;$C8*0.9,"al limite","ok")))</f>
        <v/>
      </c>
    </row>
    <row r="9">
      <c r="A9" s="6" t="inlineStr">
        <is>
          <t>Supermercado</t>
        </is>
      </c>
      <c r="B9" s="31" t="n">
        <v>0</v>
      </c>
      <c r="C9" s="32">
        <f>$B9*12</f>
        <v/>
      </c>
      <c r="D9" s="32">
        <f>IFERROR(VLOOKUP($A9,'RESUMEN MENSUAL'!$A$7:$N$35,14,FALSE),0)</f>
        <v/>
      </c>
      <c r="E9" s="32">
        <f>$C9-$D9</f>
        <v/>
      </c>
      <c r="F9" s="33">
        <f>IF($C9=0,"",$D9/$C9)</f>
        <v/>
      </c>
      <c r="G9" s="34">
        <f>IF($C9=0,"sin presupuesto",IF($D9&gt;$C9,"EXCEDIDO",IF($D9&gt;$C9*0.9,"al limite","ok")))</f>
        <v/>
      </c>
    </row>
    <row r="10">
      <c r="A10" s="6" t="inlineStr">
        <is>
          <t>Comida y Salidas</t>
        </is>
      </c>
      <c r="B10" s="31" t="n">
        <v>0</v>
      </c>
      <c r="C10" s="32">
        <f>$B10*12</f>
        <v/>
      </c>
      <c r="D10" s="32">
        <f>IFERROR(VLOOKUP($A10,'RESUMEN MENSUAL'!$A$7:$N$35,14,FALSE),0)</f>
        <v/>
      </c>
      <c r="E10" s="32">
        <f>$C10-$D10</f>
        <v/>
      </c>
      <c r="F10" s="33">
        <f>IF($C10=0,"",$D10/$C10)</f>
        <v/>
      </c>
      <c r="G10" s="34">
        <f>IF($C10=0,"sin presupuesto",IF($D10&gt;$C10,"EXCEDIDO",IF($D10&gt;$C10*0.9,"al limite","ok")))</f>
        <v/>
      </c>
    </row>
    <row r="11">
      <c r="A11" s="6" t="inlineStr">
        <is>
          <t>Transporte</t>
        </is>
      </c>
      <c r="B11" s="31" t="n">
        <v>0</v>
      </c>
      <c r="C11" s="32">
        <f>$B11*12</f>
        <v/>
      </c>
      <c r="D11" s="32">
        <f>IFERROR(VLOOKUP($A11,'RESUMEN MENSUAL'!$A$7:$N$35,14,FALSE),0)</f>
        <v/>
      </c>
      <c r="E11" s="32">
        <f>$C11-$D11</f>
        <v/>
      </c>
      <c r="F11" s="33">
        <f>IF($C11=0,"",$D11/$C11)</f>
        <v/>
      </c>
      <c r="G11" s="34">
        <f>IF($C11=0,"sin presupuesto",IF($D11&gt;$C11,"EXCEDIDO",IF($D11&gt;$C11*0.9,"al limite","ok")))</f>
        <v/>
      </c>
    </row>
    <row r="12">
      <c r="A12" s="6" t="inlineStr">
        <is>
          <t>Combustible</t>
        </is>
      </c>
      <c r="B12" s="31" t="n">
        <v>0</v>
      </c>
      <c r="C12" s="32">
        <f>$B12*12</f>
        <v/>
      </c>
      <c r="D12" s="32">
        <f>IFERROR(VLOOKUP($A12,'RESUMEN MENSUAL'!$A$7:$N$35,14,FALSE),0)</f>
        <v/>
      </c>
      <c r="E12" s="32">
        <f>$C12-$D12</f>
        <v/>
      </c>
      <c r="F12" s="33">
        <f>IF($C12=0,"",$D12/$C12)</f>
        <v/>
      </c>
      <c r="G12" s="34">
        <f>IF($C12=0,"sin presupuesto",IF($D12&gt;$C12,"EXCEDIDO",IF($D12&gt;$C12*0.9,"al limite","ok")))</f>
        <v/>
      </c>
    </row>
    <row r="13">
      <c r="A13" s="6" t="inlineStr">
        <is>
          <t>Vehiculos - Mantenimiento</t>
        </is>
      </c>
      <c r="B13" s="31" t="n">
        <v>0</v>
      </c>
      <c r="C13" s="32">
        <f>$B13*12</f>
        <v/>
      </c>
      <c r="D13" s="32">
        <f>IFERROR(VLOOKUP($A13,'RESUMEN MENSUAL'!$A$7:$N$35,14,FALSE),0)</f>
        <v/>
      </c>
      <c r="E13" s="32">
        <f>$C13-$D13</f>
        <v/>
      </c>
      <c r="F13" s="33">
        <f>IF($C13=0,"",$D13/$C13)</f>
        <v/>
      </c>
      <c r="G13" s="34">
        <f>IF($C13=0,"sin presupuesto",IF($D13&gt;$C13,"EXCEDIDO",IF($D13&gt;$C13*0.9,"al limite","ok")))</f>
        <v/>
      </c>
    </row>
    <row r="14">
      <c r="A14" s="6" t="inlineStr">
        <is>
          <t>Seguros</t>
        </is>
      </c>
      <c r="B14" s="31" t="n">
        <v>0</v>
      </c>
      <c r="C14" s="32">
        <f>$B14*12</f>
        <v/>
      </c>
      <c r="D14" s="32">
        <f>IFERROR(VLOOKUP($A14,'RESUMEN MENSUAL'!$A$7:$N$35,14,FALSE),0)</f>
        <v/>
      </c>
      <c r="E14" s="32">
        <f>$C14-$D14</f>
        <v/>
      </c>
      <c r="F14" s="33">
        <f>IF($C14=0,"",$D14/$C14)</f>
        <v/>
      </c>
      <c r="G14" s="34">
        <f>IF($C14=0,"sin presupuesto",IF($D14&gt;$C14,"EXCEDIDO",IF($D14&gt;$C14*0.9,"al limite","ok")))</f>
        <v/>
      </c>
    </row>
    <row r="15">
      <c r="A15" s="6" t="inlineStr">
        <is>
          <t>Salud</t>
        </is>
      </c>
      <c r="B15" s="31" t="n">
        <v>0</v>
      </c>
      <c r="C15" s="32">
        <f>$B15*12</f>
        <v/>
      </c>
      <c r="D15" s="32">
        <f>IFERROR(VLOOKUP($A15,'RESUMEN MENSUAL'!$A$7:$N$35,14,FALSE),0)</f>
        <v/>
      </c>
      <c r="E15" s="32">
        <f>$C15-$D15</f>
        <v/>
      </c>
      <c r="F15" s="33">
        <f>IF($C15=0,"",$D15/$C15)</f>
        <v/>
      </c>
      <c r="G15" s="34">
        <f>IF($C15=0,"sin presupuesto",IF($D15&gt;$C15,"EXCEDIDO",IF($D15&gt;$C15*0.9,"al limite","ok")))</f>
        <v/>
      </c>
    </row>
    <row r="16">
      <c r="A16" s="6" t="inlineStr">
        <is>
          <t>Educacion</t>
        </is>
      </c>
      <c r="B16" s="31" t="n">
        <v>0</v>
      </c>
      <c r="C16" s="32">
        <f>$B16*12</f>
        <v/>
      </c>
      <c r="D16" s="32">
        <f>IFERROR(VLOOKUP($A16,'RESUMEN MENSUAL'!$A$7:$N$35,14,FALSE),0)</f>
        <v/>
      </c>
      <c r="E16" s="32">
        <f>$C16-$D16</f>
        <v/>
      </c>
      <c r="F16" s="33">
        <f>IF($C16=0,"",$D16/$C16)</f>
        <v/>
      </c>
      <c r="G16" s="34">
        <f>IF($C16=0,"sin presupuesto",IF($D16&gt;$C16,"EXCEDIDO",IF($D16&gt;$C16*0.9,"al limite","ok")))</f>
        <v/>
      </c>
    </row>
    <row r="17">
      <c r="A17" s="6" t="inlineStr">
        <is>
          <t>Indumentaria</t>
        </is>
      </c>
      <c r="B17" s="31" t="n">
        <v>0</v>
      </c>
      <c r="C17" s="32">
        <f>$B17*12</f>
        <v/>
      </c>
      <c r="D17" s="32">
        <f>IFERROR(VLOOKUP($A17,'RESUMEN MENSUAL'!$A$7:$N$35,14,FALSE),0)</f>
        <v/>
      </c>
      <c r="E17" s="32">
        <f>$C17-$D17</f>
        <v/>
      </c>
      <c r="F17" s="33">
        <f>IF($C17=0,"",$D17/$C17)</f>
        <v/>
      </c>
      <c r="G17" s="34">
        <f>IF($C17=0,"sin presupuesto",IF($D17&gt;$C17,"EXCEDIDO",IF($D17&gt;$C17*0.9,"al limite","ok")))</f>
        <v/>
      </c>
    </row>
    <row r="18">
      <c r="A18" s="6" t="inlineStr">
        <is>
          <t>Sueldos y Cargas</t>
        </is>
      </c>
      <c r="B18" s="31" t="n">
        <v>0</v>
      </c>
      <c r="C18" s="32">
        <f>$B18*12</f>
        <v/>
      </c>
      <c r="D18" s="32">
        <f>IFERROR(VLOOKUP($A18,'RESUMEN MENSUAL'!$A$7:$N$35,14,FALSE),0)</f>
        <v/>
      </c>
      <c r="E18" s="32">
        <f>$C18-$D18</f>
        <v/>
      </c>
      <c r="F18" s="33">
        <f>IF($C18=0,"",$D18/$C18)</f>
        <v/>
      </c>
      <c r="G18" s="34">
        <f>IF($C18=0,"sin presupuesto",IF($D18&gt;$C18,"EXCEDIDO",IF($D18&gt;$C18*0.9,"al limite","ok")))</f>
        <v/>
      </c>
    </row>
    <row r="19">
      <c r="A19" s="6" t="inlineStr">
        <is>
          <t>Honorarios Profesionales</t>
        </is>
      </c>
      <c r="B19" s="31" t="n">
        <v>0</v>
      </c>
      <c r="C19" s="32">
        <f>$B19*12</f>
        <v/>
      </c>
      <c r="D19" s="32">
        <f>IFERROR(VLOOKUP($A19,'RESUMEN MENSUAL'!$A$7:$N$35,14,FALSE),0)</f>
        <v/>
      </c>
      <c r="E19" s="32">
        <f>$C19-$D19</f>
        <v/>
      </c>
      <c r="F19" s="33">
        <f>IF($C19=0,"",$D19/$C19)</f>
        <v/>
      </c>
      <c r="G19" s="34">
        <f>IF($C19=0,"sin presupuesto",IF($D19&gt;$C19,"EXCEDIDO",IF($D19&gt;$C19*0.9,"al limite","ok")))</f>
        <v/>
      </c>
    </row>
    <row r="20">
      <c r="A20" s="6" t="inlineStr">
        <is>
          <t>Monotributo / AFIP</t>
        </is>
      </c>
      <c r="B20" s="31" t="n">
        <v>0</v>
      </c>
      <c r="C20" s="32">
        <f>$B20*12</f>
        <v/>
      </c>
      <c r="D20" s="32">
        <f>IFERROR(VLOOKUP($A20,'RESUMEN MENSUAL'!$A$7:$N$35,14,FALSE),0)</f>
        <v/>
      </c>
      <c r="E20" s="32">
        <f>$C20-$D20</f>
        <v/>
      </c>
      <c r="F20" s="33">
        <f>IF($C20=0,"",$D20/$C20)</f>
        <v/>
      </c>
      <c r="G20" s="34">
        <f>IF($C20=0,"sin presupuesto",IF($D20&gt;$C20,"EXCEDIDO",IF($D20&gt;$C20*0.9,"al limite","ok")))</f>
        <v/>
      </c>
    </row>
    <row r="21">
      <c r="A21" s="6" t="inlineStr">
        <is>
          <t>Bancos y Comisiones</t>
        </is>
      </c>
      <c r="B21" s="31" t="n">
        <v>0</v>
      </c>
      <c r="C21" s="32">
        <f>$B21*12</f>
        <v/>
      </c>
      <c r="D21" s="32">
        <f>IFERROR(VLOOKUP($A21,'RESUMEN MENSUAL'!$A$7:$N$35,14,FALSE),0)</f>
        <v/>
      </c>
      <c r="E21" s="32">
        <f>$C21-$D21</f>
        <v/>
      </c>
      <c r="F21" s="33">
        <f>IF($C21=0,"",$D21/$C21)</f>
        <v/>
      </c>
      <c r="G21" s="34">
        <f>IF($C21=0,"sin presupuesto",IF($D21&gt;$C21,"EXCEDIDO",IF($D21&gt;$C21*0.9,"al limite","ok")))</f>
        <v/>
      </c>
    </row>
    <row r="22">
      <c r="A22" s="6" t="inlineStr">
        <is>
          <t>Tarjetas - Cuotas</t>
        </is>
      </c>
      <c r="B22" s="31" t="n">
        <v>0</v>
      </c>
      <c r="C22" s="32">
        <f>$B22*12</f>
        <v/>
      </c>
      <c r="D22" s="32">
        <f>IFERROR(VLOOKUP($A22,'RESUMEN MENSUAL'!$A$7:$N$35,14,FALSE),0)</f>
        <v/>
      </c>
      <c r="E22" s="32">
        <f>$C22-$D22</f>
        <v/>
      </c>
      <c r="F22" s="33">
        <f>IF($C22=0,"",$D22/$C22)</f>
        <v/>
      </c>
      <c r="G22" s="34">
        <f>IF($C22=0,"sin presupuesto",IF($D22&gt;$C22,"EXCEDIDO",IF($D22&gt;$C22*0.9,"al limite","ok")))</f>
        <v/>
      </c>
    </row>
    <row r="23">
      <c r="A23" s="6" t="inlineStr">
        <is>
          <t>Prestamos e Intereses</t>
        </is>
      </c>
      <c r="B23" s="31" t="n">
        <v>0</v>
      </c>
      <c r="C23" s="32">
        <f>$B23*12</f>
        <v/>
      </c>
      <c r="D23" s="32">
        <f>IFERROR(VLOOKUP($A23,'RESUMEN MENSUAL'!$A$7:$N$35,14,FALSE),0)</f>
        <v/>
      </c>
      <c r="E23" s="32">
        <f>$C23-$D23</f>
        <v/>
      </c>
      <c r="F23" s="33">
        <f>IF($C23=0,"",$D23/$C23)</f>
        <v/>
      </c>
      <c r="G23" s="34">
        <f>IF($C23=0,"sin presupuesto",IF($D23&gt;$C23,"EXCEDIDO",IF($D23&gt;$C23*0.9,"al limite","ok")))</f>
        <v/>
      </c>
    </row>
    <row r="24">
      <c r="A24" s="6" t="inlineStr">
        <is>
          <t>Inversiones</t>
        </is>
      </c>
      <c r="B24" s="31" t="n">
        <v>0</v>
      </c>
      <c r="C24" s="32">
        <f>$B24*12</f>
        <v/>
      </c>
      <c r="D24" s="32">
        <f>IFERROR(VLOOKUP($A24,'RESUMEN MENSUAL'!$A$7:$N$35,14,FALSE),0)</f>
        <v/>
      </c>
      <c r="E24" s="32">
        <f>$C24-$D24</f>
        <v/>
      </c>
      <c r="F24" s="33">
        <f>IF($C24=0,"",$D24/$C24)</f>
        <v/>
      </c>
      <c r="G24" s="34">
        <f>IF($C24=0,"sin presupuesto",IF($D24&gt;$C24,"EXCEDIDO",IF($D24&gt;$C24*0.9,"al limite","ok")))</f>
        <v/>
      </c>
    </row>
    <row r="25">
      <c r="A25" s="6" t="inlineStr">
        <is>
          <t>Mercaderia / Stock</t>
        </is>
      </c>
      <c r="B25" s="31" t="n">
        <v>0</v>
      </c>
      <c r="C25" s="32">
        <f>$B25*12</f>
        <v/>
      </c>
      <c r="D25" s="32">
        <f>IFERROR(VLOOKUP($A25,'RESUMEN MENSUAL'!$A$7:$N$35,14,FALSE),0)</f>
        <v/>
      </c>
      <c r="E25" s="32">
        <f>$C25-$D25</f>
        <v/>
      </c>
      <c r="F25" s="33">
        <f>IF($C25=0,"",$D25/$C25)</f>
        <v/>
      </c>
      <c r="G25" s="34">
        <f>IF($C25=0,"sin presupuesto",IF($D25&gt;$C25,"EXCEDIDO",IF($D25&gt;$C25*0.9,"al limite","ok")))</f>
        <v/>
      </c>
    </row>
    <row r="26">
      <c r="A26" s="6" t="inlineStr">
        <is>
          <t>Fletes y Logistica</t>
        </is>
      </c>
      <c r="B26" s="31" t="n">
        <v>0</v>
      </c>
      <c r="C26" s="32">
        <f>$B26*12</f>
        <v/>
      </c>
      <c r="D26" s="32">
        <f>IFERROR(VLOOKUP($A26,'RESUMEN MENSUAL'!$A$7:$N$35,14,FALSE),0)</f>
        <v/>
      </c>
      <c r="E26" s="32">
        <f>$C26-$D26</f>
        <v/>
      </c>
      <c r="F26" s="33">
        <f>IF($C26=0,"",$D26/$C26)</f>
        <v/>
      </c>
      <c r="G26" s="34">
        <f>IF($C26=0,"sin presupuesto",IF($D26&gt;$C26,"EXCEDIDO",IF($D26&gt;$C26*0.9,"al limite","ok")))</f>
        <v/>
      </c>
    </row>
    <row r="27">
      <c r="A27" s="6" t="inlineStr">
        <is>
          <t>Marketing y Publicidad</t>
        </is>
      </c>
      <c r="B27" s="31" t="n">
        <v>0</v>
      </c>
      <c r="C27" s="32">
        <f>$B27*12</f>
        <v/>
      </c>
      <c r="D27" s="32">
        <f>IFERROR(VLOOKUP($A27,'RESUMEN MENSUAL'!$A$7:$N$35,14,FALSE),0)</f>
        <v/>
      </c>
      <c r="E27" s="32">
        <f>$C27-$D27</f>
        <v/>
      </c>
      <c r="F27" s="33">
        <f>IF($C27=0,"",$D27/$C27)</f>
        <v/>
      </c>
      <c r="G27" s="34">
        <f>IF($C27=0,"sin presupuesto",IF($D27&gt;$C27,"EXCEDIDO",IF($D27&gt;$C27*0.9,"al limite","ok")))</f>
        <v/>
      </c>
    </row>
    <row r="28">
      <c r="A28" s="6" t="inlineStr">
        <is>
          <t>Tecnologia y Software</t>
        </is>
      </c>
      <c r="B28" s="31" t="n">
        <v>0</v>
      </c>
      <c r="C28" s="32">
        <f>$B28*12</f>
        <v/>
      </c>
      <c r="D28" s="32">
        <f>IFERROR(VLOOKUP($A28,'RESUMEN MENSUAL'!$A$7:$N$35,14,FALSE),0)</f>
        <v/>
      </c>
      <c r="E28" s="32">
        <f>$C28-$D28</f>
        <v/>
      </c>
      <c r="F28" s="33">
        <f>IF($C28=0,"",$D28/$C28)</f>
        <v/>
      </c>
      <c r="G28" s="34">
        <f>IF($C28=0,"sin presupuesto",IF($D28&gt;$C28,"EXCEDIDO",IF($D28&gt;$C28*0.9,"al limite","ok")))</f>
        <v/>
      </c>
    </row>
    <row r="29">
      <c r="A29" s="6" t="inlineStr">
        <is>
          <t>Alquileres Comerciales</t>
        </is>
      </c>
      <c r="B29" s="31" t="n">
        <v>0</v>
      </c>
      <c r="C29" s="32">
        <f>$B29*12</f>
        <v/>
      </c>
      <c r="D29" s="32">
        <f>IFERROR(VLOOKUP($A29,'RESUMEN MENSUAL'!$A$7:$N$35,14,FALSE),0)</f>
        <v/>
      </c>
      <c r="E29" s="32">
        <f>$C29-$D29</f>
        <v/>
      </c>
      <c r="F29" s="33">
        <f>IF($C29=0,"",$D29/$C29)</f>
        <v/>
      </c>
      <c r="G29" s="34">
        <f>IF($C29=0,"sin presupuesto",IF($D29&gt;$C29,"EXCEDIDO",IF($D29&gt;$C29*0.9,"al limite","ok")))</f>
        <v/>
      </c>
    </row>
    <row r="30">
      <c r="A30" s="6" t="inlineStr">
        <is>
          <t>Viajes</t>
        </is>
      </c>
      <c r="B30" s="31" t="n">
        <v>0</v>
      </c>
      <c r="C30" s="32">
        <f>$B30*12</f>
        <v/>
      </c>
      <c r="D30" s="32">
        <f>IFERROR(VLOOKUP($A30,'RESUMEN MENSUAL'!$A$7:$N$35,14,FALSE),0)</f>
        <v/>
      </c>
      <c r="E30" s="32">
        <f>$C30-$D30</f>
        <v/>
      </c>
      <c r="F30" s="33">
        <f>IF($C30=0,"",$D30/$C30)</f>
        <v/>
      </c>
      <c r="G30" s="34">
        <f>IF($C30=0,"sin presupuesto",IF($D30&gt;$C30,"EXCEDIDO",IF($D30&gt;$C30*0.9,"al limite","ok")))</f>
        <v/>
      </c>
    </row>
    <row r="31">
      <c r="A31" s="6" t="inlineStr">
        <is>
          <t>Regalos y Donaciones</t>
        </is>
      </c>
      <c r="B31" s="31" t="n">
        <v>0</v>
      </c>
      <c r="C31" s="32">
        <f>$B31*12</f>
        <v/>
      </c>
      <c r="D31" s="32">
        <f>IFERROR(VLOOKUP($A31,'RESUMEN MENSUAL'!$A$7:$N$35,14,FALSE),0)</f>
        <v/>
      </c>
      <c r="E31" s="32">
        <f>$C31-$D31</f>
        <v/>
      </c>
      <c r="F31" s="33">
        <f>IF($C31=0,"",$D31/$C31)</f>
        <v/>
      </c>
      <c r="G31" s="34">
        <f>IF($C31=0,"sin presupuesto",IF($D31&gt;$C31,"EXCEDIDO",IF($D31&gt;$C31*0.9,"al limite","ok")))</f>
        <v/>
      </c>
    </row>
    <row r="32">
      <c r="A32" s="6" t="inlineStr">
        <is>
          <t>Mascotas</t>
        </is>
      </c>
      <c r="B32" s="31" t="n">
        <v>0</v>
      </c>
      <c r="C32" s="32">
        <f>$B32*12</f>
        <v/>
      </c>
      <c r="D32" s="32">
        <f>IFERROR(VLOOKUP($A32,'RESUMEN MENSUAL'!$A$7:$N$35,14,FALSE),0)</f>
        <v/>
      </c>
      <c r="E32" s="32">
        <f>$C32-$D32</f>
        <v/>
      </c>
      <c r="F32" s="33">
        <f>IF($C32=0,"",$D32/$C32)</f>
        <v/>
      </c>
      <c r="G32" s="34">
        <f>IF($C32=0,"sin presupuesto",IF($D32&gt;$C32,"EXCEDIDO",IF($D32&gt;$C32*0.9,"al limite","ok")))</f>
        <v/>
      </c>
    </row>
    <row r="33">
      <c r="A33" s="6" t="inlineStr">
        <is>
          <t>Ocio y Suscripciones</t>
        </is>
      </c>
      <c r="B33" s="31" t="n">
        <v>0</v>
      </c>
      <c r="C33" s="32">
        <f>$B33*12</f>
        <v/>
      </c>
      <c r="D33" s="32">
        <f>IFERROR(VLOOKUP($A33,'RESUMEN MENSUAL'!$A$7:$N$35,14,FALSE),0)</f>
        <v/>
      </c>
      <c r="E33" s="32">
        <f>$C33-$D33</f>
        <v/>
      </c>
      <c r="F33" s="33">
        <f>IF($C33=0,"",$D33/$C33)</f>
        <v/>
      </c>
      <c r="G33" s="34">
        <f>IF($C33=0,"sin presupuesto",IF($D33&gt;$C33,"EXCEDIDO",IF($D33&gt;$C33*0.9,"al limite","ok")))</f>
        <v/>
      </c>
    </row>
    <row r="34">
      <c r="A34" s="6" t="inlineStr">
        <is>
          <t>Gastos Varios</t>
        </is>
      </c>
      <c r="B34" s="31" t="n">
        <v>0</v>
      </c>
      <c r="C34" s="32">
        <f>$B34*12</f>
        <v/>
      </c>
      <c r="D34" s="32">
        <f>IFERROR(VLOOKUP($A34,'RESUMEN MENSUAL'!$A$7:$N$35,14,FALSE),0)</f>
        <v/>
      </c>
      <c r="E34" s="32">
        <f>$C34-$D34</f>
        <v/>
      </c>
      <c r="F34" s="33">
        <f>IF($C34=0,"",$D34/$C34)</f>
        <v/>
      </c>
      <c r="G34" s="34">
        <f>IF($C34=0,"sin presupuesto",IF($D34&gt;$C34,"EXCEDIDO",IF($D34&gt;$C34*0.9,"al limite","ok")))</f>
        <v/>
      </c>
    </row>
    <row r="35">
      <c r="A35" s="29" t="inlineStr">
        <is>
          <t>TOTAL</t>
        </is>
      </c>
      <c r="B35" s="30">
        <f>SUM(B6:B34)</f>
        <v/>
      </c>
      <c r="C35" s="30">
        <f>SUM(C6:C34)</f>
        <v/>
      </c>
      <c r="D35" s="30">
        <f>SUM(D6:D34)</f>
        <v/>
      </c>
      <c r="E35" s="30">
        <f>SUM(E6:E34)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" customWidth="1" min="3" max="3"/>
    <col width="30" customWidth="1" min="4" max="4"/>
    <col width="18" customWidth="1" min="5" max="5"/>
    <col width="6" customWidth="1" min="6" max="6"/>
    <col width="20" customWidth="1" min="7" max="7"/>
    <col width="20" customWidth="1" min="8" max="8"/>
  </cols>
  <sheetData>
    <row r="1" ht="26" customHeight="1">
      <c r="A1" s="1" t="inlineStr">
        <is>
          <t>TABLERO DEL AÑO</t>
        </is>
      </c>
    </row>
    <row r="2">
      <c r="A2" s="4" t="inlineStr">
        <is>
          <t>Los numeros grandes. Todo se calcula solo.</t>
        </is>
      </c>
    </row>
    <row r="3">
      <c r="A3" s="13" t="inlineStr">
        <is>
          <t>AÑO:</t>
        </is>
      </c>
      <c r="B3" s="20">
        <f>+'RESUMEN MENSUAL'!$B$3</f>
        <v/>
      </c>
    </row>
    <row r="5">
      <c r="A5" s="35" t="inlineStr">
        <is>
          <t>Total Ingresos del año (U$D)</t>
        </is>
      </c>
      <c r="B5" s="36">
        <f>+'RESUMEN MENSUAL'!$N$49</f>
        <v/>
      </c>
      <c r="D5" s="13" t="inlineStr">
        <is>
          <t>TOP CATEGORIAS DE GASTO DEL AÑO</t>
        </is>
      </c>
    </row>
    <row r="6" ht="30" customHeight="1">
      <c r="A6" s="37" t="inlineStr">
        <is>
          <t>Total Gastos del año (U$D)</t>
        </is>
      </c>
      <c r="B6" s="38">
        <f>+'RESUMEN MENSUAL'!$N$36</f>
        <v/>
      </c>
      <c r="D6" s="5" t="inlineStr">
        <is>
          <t>Categoria</t>
        </is>
      </c>
      <c r="E6" s="5" t="inlineStr">
        <is>
          <t>Gasto U$D</t>
        </is>
      </c>
    </row>
    <row r="7">
      <c r="A7" s="39" t="inlineStr">
        <is>
          <t>Resultado del año (U$D)</t>
        </is>
      </c>
      <c r="B7" s="40">
        <f>+'RESUMEN MENSUAL'!$N$51</f>
        <v/>
      </c>
      <c r="D7" s="6">
        <f>IFERROR(IF(LARGE('RESUMEN MENSUAL'!$N$7:$N$35,1)=0,"",INDEX('RESUMEN MENSUAL'!$A$7:$A$35,MATCH(LARGE('RESUMEN MENSUAL'!$N$7:$N$35,1),'RESUMEN MENSUAL'!$N$7:$N$35,0))),"")</f>
        <v/>
      </c>
      <c r="E7" s="22">
        <f>IFERROR(IF(LARGE('RESUMEN MENSUAL'!$N$7:$N$35,1)=0,"",LARGE('RESUMEN MENSUAL'!$N$7:$N$35,1)),"")</f>
        <v/>
      </c>
    </row>
    <row r="8">
      <c r="A8" s="41" t="inlineStr">
        <is>
          <t>Gasto promedio por mes (U$D)</t>
        </is>
      </c>
      <c r="B8" s="42">
        <f>IFERROR(AVERAGE('RESUMEN MENSUAL'!$B$36:$M$36),0)</f>
        <v/>
      </c>
      <c r="D8" s="6">
        <f>IFERROR(IF(LARGE('RESUMEN MENSUAL'!$N$7:$N$35,2)=0,"",INDEX('RESUMEN MENSUAL'!$A$7:$A$35,MATCH(LARGE('RESUMEN MENSUAL'!$N$7:$N$35,2),'RESUMEN MENSUAL'!$N$7:$N$35,0))),"")</f>
        <v/>
      </c>
      <c r="E8" s="22">
        <f>IFERROR(IF(LARGE('RESUMEN MENSUAL'!$N$7:$N$35,2)=0,"",LARGE('RESUMEN MENSUAL'!$N$7:$N$35,2)),"")</f>
        <v/>
      </c>
    </row>
    <row r="9">
      <c r="A9" s="41" t="inlineStr">
        <is>
          <t>Mes de mayor gasto</t>
        </is>
      </c>
      <c r="B9" s="42">
        <f>IFERROR(INDEX('RESUMEN MENSUAL'!$B$6:$M$6,MATCH(MAX('RESUMEN MENSUAL'!$B$36:$M$36),'RESUMEN MENSUAL'!$B$36:$M$36,0)),"-")</f>
        <v/>
      </c>
      <c r="D9" s="6">
        <f>IFERROR(IF(LARGE('RESUMEN MENSUAL'!$N$7:$N$35,3)=0,"",INDEX('RESUMEN MENSUAL'!$A$7:$A$35,MATCH(LARGE('RESUMEN MENSUAL'!$N$7:$N$35,3),'RESUMEN MENSUAL'!$N$7:$N$35,0))),"")</f>
        <v/>
      </c>
      <c r="E9" s="22">
        <f>IFERROR(IF(LARGE('RESUMEN MENSUAL'!$N$7:$N$35,3)=0,"",LARGE('RESUMEN MENSUAL'!$N$7:$N$35,3)),"")</f>
        <v/>
      </c>
    </row>
    <row r="10">
      <c r="A10" s="41" t="inlineStr">
        <is>
          <t>Mayor gasto de un mes (U$D)</t>
        </is>
      </c>
      <c r="B10" s="42">
        <f>MAX('RESUMEN MENSUAL'!$B$36:$M$36)</f>
        <v/>
      </c>
      <c r="D10" s="6">
        <f>IFERROR(IF(LARGE('RESUMEN MENSUAL'!$N$7:$N$35,4)=0,"",INDEX('RESUMEN MENSUAL'!$A$7:$A$35,MATCH(LARGE('RESUMEN MENSUAL'!$N$7:$N$35,4),'RESUMEN MENSUAL'!$N$7:$N$35,0))),"")</f>
        <v/>
      </c>
      <c r="E10" s="22">
        <f>IFERROR(IF(LARGE('RESUMEN MENSUAL'!$N$7:$N$35,4)=0,"",LARGE('RESUMEN MENSUAL'!$N$7:$N$35,4)),"")</f>
        <v/>
      </c>
    </row>
    <row r="11">
      <c r="A11" s="43" t="inlineStr">
        <is>
          <t>Movimientos cargados</t>
        </is>
      </c>
      <c r="B11" s="44">
        <f>COUNTA(MOVIMIENTOS!$A$5:$A$804)</f>
        <v/>
      </c>
      <c r="D11" s="6">
        <f>IFERROR(IF(LARGE('RESUMEN MENSUAL'!$N$7:$N$35,5)=0,"",INDEX('RESUMEN MENSUAL'!$A$7:$A$35,MATCH(LARGE('RESUMEN MENSUAL'!$N$7:$N$35,5),'RESUMEN MENSUAL'!$N$7:$N$35,0))),"")</f>
        <v/>
      </c>
      <c r="E11" s="22">
        <f>IFERROR(IF(LARGE('RESUMEN MENSUAL'!$N$7:$N$35,5)=0,"",LARGE('RESUMEN MENSUAL'!$N$7:$N$35,5)),"")</f>
        <v/>
      </c>
    </row>
    <row r="12">
      <c r="A12" s="37" t="inlineStr">
        <is>
          <t>Gastos pendientes de pago (U$D)</t>
        </is>
      </c>
      <c r="B12" s="38">
        <f>SUMIFS(MOVIMIENTOS!$J:$J,MOVIMIENTOS!$L:$L,"Pendiente",MOVIMIENTOS!$D:$D,"Gasto")</f>
        <v/>
      </c>
      <c r="D12" s="6">
        <f>IFERROR(IF(LARGE('RESUMEN MENSUAL'!$N$7:$N$35,6)=0,"",INDEX('RESUMEN MENSUAL'!$A$7:$A$35,MATCH(LARGE('RESUMEN MENSUAL'!$N$7:$N$35,6),'RESUMEN MENSUAL'!$N$7:$N$35,0))),"")</f>
        <v/>
      </c>
      <c r="E12" s="22">
        <f>IFERROR(IF(LARGE('RESUMEN MENSUAL'!$N$7:$N$35,6)=0,"",LARGE('RESUMEN MENSUAL'!$N$7:$N$35,6)),"")</f>
        <v/>
      </c>
    </row>
    <row r="13">
      <c r="A13" s="37" t="inlineStr">
        <is>
          <t>Saldo en cuotas por pagar ($)</t>
        </is>
      </c>
      <c r="B13" s="38">
        <f>+'TARJETAS Y CUOTAS'!$J$87</f>
        <v/>
      </c>
      <c r="D13" s="6">
        <f>IFERROR(IF(LARGE('RESUMEN MENSUAL'!$N$7:$N$35,7)=0,"",INDEX('RESUMEN MENSUAL'!$A$7:$A$35,MATCH(LARGE('RESUMEN MENSUAL'!$N$7:$N$35,7),'RESUMEN MENSUAL'!$N$7:$N$35,0))),"")</f>
        <v/>
      </c>
      <c r="E13" s="22">
        <f>IFERROR(IF(LARGE('RESUMEN MENSUAL'!$N$7:$N$35,7)=0,"",LARGE('RESUMEN MENSUAL'!$N$7:$N$35,7)),"")</f>
        <v/>
      </c>
    </row>
    <row r="14">
      <c r="A14" s="41" t="inlineStr">
        <is>
          <t>Total gastos fijos activos ($)</t>
        </is>
      </c>
      <c r="B14" s="42">
        <f>+'GASTOS FIJOS'!$C$66</f>
        <v/>
      </c>
      <c r="D14" s="6">
        <f>IFERROR(IF(LARGE('RESUMEN MENSUAL'!$N$7:$N$35,8)=0,"",INDEX('RESUMEN MENSUAL'!$A$7:$A$35,MATCH(LARGE('RESUMEN MENSUAL'!$N$7:$N$35,8),'RESUMEN MENSUAL'!$N$7:$N$35,0))),"")</f>
        <v/>
      </c>
      <c r="E14" s="22">
        <f>IFERROR(IF(LARGE('RESUMEN MENSUAL'!$N$7:$N$35,8)=0,"",LARGE('RESUMEN MENSUAL'!$N$7:$N$35,8)),"")</f>
        <v/>
      </c>
    </row>
    <row r="15">
      <c r="D15" s="6">
        <f>IFERROR(IF(LARGE('RESUMEN MENSUAL'!$N$7:$N$35,9)=0,"",INDEX('RESUMEN MENSUAL'!$A$7:$A$35,MATCH(LARGE('RESUMEN MENSUAL'!$N$7:$N$35,9),'RESUMEN MENSUAL'!$N$7:$N$35,0))),"")</f>
        <v/>
      </c>
      <c r="E15" s="22">
        <f>IFERROR(IF(LARGE('RESUMEN MENSUAL'!$N$7:$N$35,9)=0,"",LARGE('RESUMEN MENSUAL'!$N$7:$N$35,9)),"")</f>
        <v/>
      </c>
    </row>
    <row r="16">
      <c r="A16" s="9" t="inlineStr">
        <is>
          <t>Los importes en U$D salen de la columna Importe U$D de MOVIMIENTOS.</t>
        </is>
      </c>
      <c r="D16" s="6">
        <f>IFERROR(IF(LARGE('RESUMEN MENSUAL'!$N$7:$N$35,10)=0,"",INDEX('RESUMEN MENSUAL'!$A$7:$A$35,MATCH(LARGE('RESUMEN MENSUAL'!$N$7:$N$35,10),'RESUMEN MENSUAL'!$N$7:$N$35,0))),"")</f>
        <v/>
      </c>
      <c r="E16" s="22">
        <f>IFERROR(IF(LARGE('RESUMEN MENSUAL'!$N$7:$N$35,10)=0,"",LARGE('RESUMEN MENSUAL'!$N$7:$N$35,10)),"")</f>
        <v/>
      </c>
    </row>
    <row r="17">
      <c r="A17" s="9" t="inlineStr">
        <is>
          <t>Los que dicen ($) estan en pesos porque vienen de las solapas de fijos y cuotas.</t>
        </is>
      </c>
    </row>
    <row r="18">
      <c r="D18" s="9" t="inlineStr">
        <is>
          <t>Si dos categorias empatan puede repetirse el nombre; es normal.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2026-09-05T23:26:09Z</dcterms:created>
  <dcterms:modified xmlns:dcterms="http://purl.org/dc/terms/" xmlns:xsi="http://www.w3.org/2001/XMLSchema-instance" xsi:type="dcterms:W3CDTF">2026-09-05T23:26:09Z</dcterms:modified>
</cp:coreProperties>
</file>